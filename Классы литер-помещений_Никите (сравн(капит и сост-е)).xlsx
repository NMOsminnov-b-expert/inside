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X:\Личные папки\Никита Шулин\!Работа\08. Август 2026\!. Новая папка\Базы\"/>
    </mc:Choice>
  </mc:AlternateContent>
  <xr:revisionPtr revIDLastSave="0" documentId="13_ncr:1_{ED24C53D-4F1C-4B4D-BC33-78166F7D2AEA}" xr6:coauthVersionLast="47" xr6:coauthVersionMax="47" xr10:uidLastSave="{00000000-0000-0000-0000-000000000000}"/>
  <bookViews>
    <workbookView xWindow="-28920" yWindow="-105" windowWidth="29040" windowHeight="15720" tabRatio="897" activeTab="1" xr2:uid="{7E625225-B29C-476B-B55D-ECEDBCB2DDEC}"/>
  </bookViews>
  <sheets>
    <sheet name="dict" sheetId="3" r:id="rId1"/>
    <sheet name="Таблица объектов" sheetId="4" r:id="rId2"/>
    <sheet name="Шкалы" sheetId="14" r:id="rId3"/>
    <sheet name="Выжимка" sheetId="6" r:id="rId4"/>
    <sheet name="1.2 Алыкулова" sheetId="15" r:id="rId5"/>
    <sheet name="1.1 Алыкулова" sheetId="7" r:id="rId6"/>
    <sheet name="1. Алыкулова" sheetId="5" r:id="rId7"/>
    <sheet name="2.2 Мурманская" sheetId="16" r:id="rId8"/>
    <sheet name="2.1 Мурманская" sheetId="9" r:id="rId9"/>
    <sheet name="2. Мурманская" sheetId="8" r:id="rId10"/>
    <sheet name="3.2 Триод" sheetId="17" r:id="rId11"/>
    <sheet name="3.1 Триод" sheetId="11" r:id="rId12"/>
    <sheet name="3. Триод" sheetId="10" r:id="rId13"/>
    <sheet name="4.2 Слон" sheetId="18" r:id="rId14"/>
    <sheet name="4.1 Слон" sheetId="13" r:id="rId15"/>
    <sheet name="4. Слон" sheetId="12" r:id="rId16"/>
    <sheet name="Гражданские" sheetId="2" r:id="rId17"/>
    <sheet name="Произв-склад и спец корпусные" sheetId="1" r:id="rId18"/>
  </sheets>
  <definedNames>
    <definedName name="value_list" localSheetId="5">коэф_произв[Значение]</definedName>
    <definedName name="value_list" localSheetId="4">коэф_произв[Значение]</definedName>
    <definedName name="value_list" localSheetId="8">коэф_произв[Значение]</definedName>
    <definedName name="value_list" localSheetId="7">коэф_произв[Значение]</definedName>
    <definedName name="value_list" localSheetId="11">коэф_произв[Значение]</definedName>
    <definedName name="value_list" localSheetId="10">коэф_произв[Значение]</definedName>
    <definedName name="value_list" localSheetId="14">коэф_произв[Значение]</definedName>
    <definedName name="value_list" localSheetId="13">коэф_произв[Значение]</definedName>
    <definedName name="value_list">коэф_произв[Значение]</definedName>
    <definedName name="долл">dict!$G$1</definedName>
    <definedName name="Класс" localSheetId="5">Таблица2[Класс]</definedName>
    <definedName name="Класс" localSheetId="4">Таблица2[Класс]</definedName>
    <definedName name="Класс" localSheetId="8">Таблица2[Класс]</definedName>
    <definedName name="Класс" localSheetId="7">Таблица2[Класс]</definedName>
    <definedName name="Класс" localSheetId="11">Таблица2[Класс]</definedName>
    <definedName name="Класс" localSheetId="10">Таблица2[Класс]</definedName>
    <definedName name="Класс" localSheetId="14">Таблица2[Класс]</definedName>
    <definedName name="Класс" localSheetId="13">Таблица2[Класс]</definedName>
    <definedName name="Класс">Таблица2[Класс]</definedName>
    <definedName name="Объект_оценки_аналог" localSheetId="5">Таблица2[Объект оценки/ аналог]</definedName>
    <definedName name="Объект_оценки_аналог" localSheetId="4">Таблица2[Объект оценки/ аналог]</definedName>
    <definedName name="Объект_оценки_аналог" localSheetId="8">Таблица2[Объект оценки/ аналог]</definedName>
    <definedName name="Объект_оценки_аналог" localSheetId="7">Таблица2[Объект оценки/ аналог]</definedName>
    <definedName name="Объект_оценки_аналог" localSheetId="11">Таблица2[Объект оценки/ аналог]</definedName>
    <definedName name="Объект_оценки_аналог" localSheetId="10">Таблица2[Объект оценки/ аналог]</definedName>
    <definedName name="Объект_оценки_аналог" localSheetId="14">Таблица2[Объект оценки/ аналог]</definedName>
    <definedName name="Объект_оценки_аналог" localSheetId="13">Таблица2[Объект оценки/ аналог]</definedName>
    <definedName name="Объект_оценки_аналог">Таблица2[Объект оценки/ аналог]</definedName>
    <definedName name="Площадь" localSheetId="5">Таблица2[Площадь, м2]</definedName>
    <definedName name="Площадь" localSheetId="4">Таблица2[Площадь, м2]</definedName>
    <definedName name="Площадь" localSheetId="8">Таблица2[Площадь, м2]</definedName>
    <definedName name="Площадь" localSheetId="7">Таблица2[Площадь, м2]</definedName>
    <definedName name="Площадь" localSheetId="11">Таблица2[Площадь, м2]</definedName>
    <definedName name="Площадь" localSheetId="10">Таблица2[Площадь, м2]</definedName>
    <definedName name="Площадь" localSheetId="14">Таблица2[Площадь, м2]</definedName>
    <definedName name="Площадь" localSheetId="13">Таблица2[Площадь, м2]</definedName>
    <definedName name="Площадь">Таблица2[Площадь, м2]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0" i="6" l="1"/>
  <c r="K68" i="4"/>
  <c r="K69" i="4"/>
  <c r="K70" i="4"/>
  <c r="K71" i="4"/>
  <c r="K72" i="4"/>
  <c r="K73" i="4"/>
  <c r="K74" i="4"/>
  <c r="K75" i="4"/>
  <c r="K76" i="4"/>
  <c r="K77" i="4"/>
  <c r="K78" i="4"/>
  <c r="K67"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F57" i="13"/>
  <c r="E57" i="13"/>
  <c r="B11" i="6"/>
  <c r="B4" i="6"/>
  <c r="A16" i="7" s="1"/>
  <c r="B5" i="6"/>
  <c r="B6" i="6"/>
  <c r="A18" i="15" s="1"/>
  <c r="A98" i="15" s="1"/>
  <c r="B7" i="6"/>
  <c r="A19" i="7" s="1"/>
  <c r="B8" i="6"/>
  <c r="B9" i="6"/>
  <c r="A21" i="15" s="1"/>
  <c r="A101" i="15" s="1"/>
  <c r="B10" i="6"/>
  <c r="A22" i="7" s="1"/>
  <c r="B3" i="6"/>
  <c r="A15" i="15" s="1"/>
  <c r="A95" i="15" s="1"/>
  <c r="A16" i="15"/>
  <c r="A17" i="15"/>
  <c r="A97" i="15" s="1"/>
  <c r="A20" i="15"/>
  <c r="A22" i="15"/>
  <c r="A102" i="15" s="1"/>
  <c r="A15" i="7"/>
  <c r="A17" i="7"/>
  <c r="A18" i="7"/>
  <c r="A20" i="7"/>
  <c r="A15" i="16"/>
  <c r="A85" i="16" s="1"/>
  <c r="A16" i="16"/>
  <c r="A86" i="16" s="1"/>
  <c r="A17" i="16"/>
  <c r="A87" i="16" s="1"/>
  <c r="A18" i="16"/>
  <c r="A88" i="16" s="1"/>
  <c r="A19" i="16"/>
  <c r="A89" i="16" s="1"/>
  <c r="A20" i="16"/>
  <c r="A90" i="16" s="1"/>
  <c r="A21" i="16"/>
  <c r="A91" i="16" s="1"/>
  <c r="A22" i="16"/>
  <c r="A92" i="16" s="1"/>
  <c r="AG133" i="18"/>
  <c r="AJ128" i="18"/>
  <c r="Y128" i="18"/>
  <c r="P128" i="18"/>
  <c r="D128" i="18"/>
  <c r="AJ127" i="18"/>
  <c r="AI127" i="18"/>
  <c r="AI128" i="18" s="1"/>
  <c r="AH127" i="18"/>
  <c r="AH128" i="18" s="1"/>
  <c r="AG127" i="18"/>
  <c r="AA127" i="18"/>
  <c r="AA128" i="18" s="1"/>
  <c r="Z127" i="18"/>
  <c r="Z128" i="18" s="1"/>
  <c r="Y127" i="18"/>
  <c r="X127" i="18"/>
  <c r="X128" i="18" s="1"/>
  <c r="U127" i="18"/>
  <c r="U128" i="18" s="1"/>
  <c r="T127" i="18"/>
  <c r="T128" i="18" s="1"/>
  <c r="S127" i="18"/>
  <c r="S128" i="18" s="1"/>
  <c r="Q127" i="18"/>
  <c r="Q128" i="18" s="1"/>
  <c r="P127" i="18"/>
  <c r="J127" i="18"/>
  <c r="J128" i="18" s="1"/>
  <c r="I127" i="18"/>
  <c r="I128" i="18" s="1"/>
  <c r="H127" i="18"/>
  <c r="H128" i="18" s="1"/>
  <c r="F127" i="18"/>
  <c r="F128" i="18" s="1"/>
  <c r="E127" i="18"/>
  <c r="E128" i="18" s="1"/>
  <c r="D127" i="18"/>
  <c r="C127" i="18"/>
  <c r="AA113" i="18"/>
  <c r="B113" i="18"/>
  <c r="B112" i="18"/>
  <c r="B111" i="18"/>
  <c r="B110" i="18"/>
  <c r="B109" i="18"/>
  <c r="AA108" i="18"/>
  <c r="Z108" i="18"/>
  <c r="B108" i="18"/>
  <c r="AI119" i="18" s="1"/>
  <c r="AI107" i="18"/>
  <c r="B107" i="18"/>
  <c r="Q106" i="18"/>
  <c r="B106" i="18"/>
  <c r="AI105" i="18"/>
  <c r="X105" i="18"/>
  <c r="B105" i="18"/>
  <c r="AJ100" i="18"/>
  <c r="AI100" i="18"/>
  <c r="AI113" i="18" s="1"/>
  <c r="AH100" i="18"/>
  <c r="AG100" i="18"/>
  <c r="AA100" i="18"/>
  <c r="Z100" i="18"/>
  <c r="Y100" i="18"/>
  <c r="X100" i="18"/>
  <c r="X113" i="18" s="1"/>
  <c r="U100" i="18"/>
  <c r="T100" i="18"/>
  <c r="S100" i="18"/>
  <c r="Q100" i="18"/>
  <c r="P100" i="18"/>
  <c r="J100" i="18"/>
  <c r="I100" i="18"/>
  <c r="H100" i="18"/>
  <c r="AJ95" i="18"/>
  <c r="AI95" i="18"/>
  <c r="AI108" i="18" s="1"/>
  <c r="AH95" i="18"/>
  <c r="AG95" i="18"/>
  <c r="AA95" i="18"/>
  <c r="Z95" i="18"/>
  <c r="Y95" i="18"/>
  <c r="X95" i="18"/>
  <c r="U95" i="18"/>
  <c r="T95" i="18"/>
  <c r="S95" i="18"/>
  <c r="Q95" i="18"/>
  <c r="P95" i="18"/>
  <c r="J95" i="18"/>
  <c r="I95" i="18"/>
  <c r="H95" i="18"/>
  <c r="AJ94" i="18"/>
  <c r="AI94" i="18"/>
  <c r="AH94" i="18"/>
  <c r="AG94" i="18"/>
  <c r="AA94" i="18"/>
  <c r="AA107" i="18" s="1"/>
  <c r="Z94" i="18"/>
  <c r="Y94" i="18"/>
  <c r="X94" i="18"/>
  <c r="U94" i="18"/>
  <c r="T94" i="18"/>
  <c r="Q94" i="18"/>
  <c r="P94" i="18"/>
  <c r="I94" i="18"/>
  <c r="H94" i="18"/>
  <c r="AJ93" i="18"/>
  <c r="AI93" i="18"/>
  <c r="AI106" i="18" s="1"/>
  <c r="AH93" i="18"/>
  <c r="AH106" i="18" s="1"/>
  <c r="AG93" i="18"/>
  <c r="AA93" i="18"/>
  <c r="Z93" i="18"/>
  <c r="Z106" i="18" s="1"/>
  <c r="Y93" i="18"/>
  <c r="X93" i="18"/>
  <c r="U93" i="18"/>
  <c r="T93" i="18"/>
  <c r="Q93" i="18"/>
  <c r="Q91" i="18" s="1"/>
  <c r="P93" i="18"/>
  <c r="J93" i="18"/>
  <c r="I93" i="18"/>
  <c r="H93" i="18"/>
  <c r="AJ92" i="18"/>
  <c r="AI92" i="18"/>
  <c r="AH92" i="18"/>
  <c r="AH91" i="18" s="1"/>
  <c r="AG92" i="18"/>
  <c r="AA92" i="18"/>
  <c r="AA105" i="18" s="1"/>
  <c r="Z92" i="18"/>
  <c r="Y92" i="18"/>
  <c r="X92" i="18"/>
  <c r="S92" i="18"/>
  <c r="Q92" i="18"/>
  <c r="P92" i="18"/>
  <c r="J92" i="18"/>
  <c r="I92" i="18"/>
  <c r="H92" i="18"/>
  <c r="AI91" i="18"/>
  <c r="AA91" i="18"/>
  <c r="AA106" i="18" s="1"/>
  <c r="Z91" i="18"/>
  <c r="X91" i="18"/>
  <c r="X107" i="18" s="1"/>
  <c r="H91" i="18"/>
  <c r="H113" i="18" s="1"/>
  <c r="Q83" i="18"/>
  <c r="P83" i="18"/>
  <c r="J83" i="18"/>
  <c r="H83" i="18"/>
  <c r="F83" i="18"/>
  <c r="E83" i="18"/>
  <c r="D83" i="18"/>
  <c r="X40" i="18"/>
  <c r="X42" i="18" s="1"/>
  <c r="X44" i="18" s="1"/>
  <c r="X46" i="18" s="1"/>
  <c r="X48" i="18" s="1"/>
  <c r="X50" i="18" s="1"/>
  <c r="X52" i="18" s="1"/>
  <c r="AJ38" i="18"/>
  <c r="AI38" i="18"/>
  <c r="AH38" i="18"/>
  <c r="AG38" i="18"/>
  <c r="AA38" i="18"/>
  <c r="Z38" i="18"/>
  <c r="Y38" i="18"/>
  <c r="X38" i="18"/>
  <c r="U38" i="18"/>
  <c r="T38" i="18"/>
  <c r="S38" i="18"/>
  <c r="Q38" i="18"/>
  <c r="P38" i="18"/>
  <c r="J38" i="18"/>
  <c r="I38" i="18"/>
  <c r="H38" i="18"/>
  <c r="F38" i="18"/>
  <c r="E38" i="18"/>
  <c r="D38" i="18"/>
  <c r="X37" i="18"/>
  <c r="AJ36" i="18"/>
  <c r="AA36" i="18"/>
  <c r="AA37" i="18" s="1"/>
  <c r="AA40" i="18" s="1"/>
  <c r="AA42" i="18" s="1"/>
  <c r="AA44" i="18" s="1"/>
  <c r="AA46" i="18" s="1"/>
  <c r="AA48" i="18" s="1"/>
  <c r="AA50" i="18" s="1"/>
  <c r="AA52" i="18" s="1"/>
  <c r="Y36" i="18"/>
  <c r="Y37" i="18" s="1"/>
  <c r="Y40" i="18" s="1"/>
  <c r="Y42" i="18" s="1"/>
  <c r="Y44" i="18" s="1"/>
  <c r="Y46" i="18" s="1"/>
  <c r="Y48" i="18" s="1"/>
  <c r="Y50" i="18" s="1"/>
  <c r="Y52" i="18" s="1"/>
  <c r="X36" i="18"/>
  <c r="AJ35" i="18"/>
  <c r="AJ37" i="18" s="1"/>
  <c r="AJ40" i="18" s="1"/>
  <c r="AJ42" i="18" s="1"/>
  <c r="AJ44" i="18" s="1"/>
  <c r="AJ46" i="18" s="1"/>
  <c r="AJ48" i="18" s="1"/>
  <c r="AJ50" i="18" s="1"/>
  <c r="AJ52" i="18" s="1"/>
  <c r="AI35" i="18"/>
  <c r="AH35" i="18"/>
  <c r="AG35" i="18"/>
  <c r="AG37" i="18" s="1"/>
  <c r="AG40" i="18" s="1"/>
  <c r="AG42" i="18" s="1"/>
  <c r="AG44" i="18" s="1"/>
  <c r="AG46" i="18" s="1"/>
  <c r="AG48" i="18" s="1"/>
  <c r="AG50" i="18" s="1"/>
  <c r="AG52" i="18" s="1"/>
  <c r="AA35" i="18"/>
  <c r="Z35" i="18"/>
  <c r="Y35" i="18"/>
  <c r="X35" i="18"/>
  <c r="U35" i="18"/>
  <c r="T35" i="18"/>
  <c r="S35" i="18"/>
  <c r="Q35" i="18"/>
  <c r="P35" i="18"/>
  <c r="J35" i="18"/>
  <c r="I35" i="18"/>
  <c r="H35" i="18"/>
  <c r="F35" i="18"/>
  <c r="E35" i="18"/>
  <c r="D35" i="18"/>
  <c r="AG34" i="18"/>
  <c r="AG36" i="18" s="1"/>
  <c r="B24" i="18"/>
  <c r="B100" i="18" s="1"/>
  <c r="B23" i="18"/>
  <c r="B99" i="18" s="1"/>
  <c r="B22" i="18"/>
  <c r="B98" i="18" s="1"/>
  <c r="B21" i="18"/>
  <c r="B97" i="18" s="1"/>
  <c r="B20" i="18"/>
  <c r="B96" i="18" s="1"/>
  <c r="B19" i="18"/>
  <c r="B95" i="18" s="1"/>
  <c r="S18" i="18"/>
  <c r="S94" i="18" s="1"/>
  <c r="J18" i="18"/>
  <c r="B18" i="18"/>
  <c r="B94" i="18" s="1"/>
  <c r="S17" i="18"/>
  <c r="B17" i="18"/>
  <c r="B93" i="18" s="1"/>
  <c r="U16" i="18"/>
  <c r="U92" i="18" s="1"/>
  <c r="U91" i="18" s="1"/>
  <c r="T16" i="18"/>
  <c r="T92" i="18" s="1"/>
  <c r="B16" i="18"/>
  <c r="B92" i="18" s="1"/>
  <c r="AJ15" i="18"/>
  <c r="AJ133" i="18" s="1"/>
  <c r="AI15" i="18"/>
  <c r="AI133" i="18" s="1"/>
  <c r="AH15" i="18"/>
  <c r="AA15" i="18"/>
  <c r="AA133" i="18" s="1"/>
  <c r="Z15" i="18"/>
  <c r="Z133" i="18" s="1"/>
  <c r="Y15" i="18"/>
  <c r="Y133" i="18" s="1"/>
  <c r="X15" i="18"/>
  <c r="X133" i="18" s="1"/>
  <c r="U15" i="18"/>
  <c r="T15" i="18"/>
  <c r="Q15" i="18"/>
  <c r="Q133" i="18" s="1"/>
  <c r="P15" i="18"/>
  <c r="P133" i="18" s="1"/>
  <c r="I15" i="18"/>
  <c r="H15" i="18"/>
  <c r="AJ8" i="18"/>
  <c r="AA8" i="18"/>
  <c r="Z8" i="18"/>
  <c r="Y8" i="18"/>
  <c r="X8" i="18"/>
  <c r="U8" i="18"/>
  <c r="T8" i="18"/>
  <c r="S8" i="18"/>
  <c r="Q8" i="18"/>
  <c r="P8" i="18"/>
  <c r="J8" i="18"/>
  <c r="I8" i="18"/>
  <c r="H8" i="18"/>
  <c r="F8" i="18"/>
  <c r="E8" i="18"/>
  <c r="D8" i="18"/>
  <c r="C8" i="18"/>
  <c r="W124" i="17"/>
  <c r="G124" i="17"/>
  <c r="X121" i="17"/>
  <c r="W121" i="17"/>
  <c r="L121" i="17"/>
  <c r="K121" i="17"/>
  <c r="H121" i="17"/>
  <c r="E121" i="17"/>
  <c r="D121" i="17"/>
  <c r="AA120" i="17"/>
  <c r="AA121" i="17" s="1"/>
  <c r="Z120" i="17"/>
  <c r="Z121" i="17" s="1"/>
  <c r="Y120" i="17"/>
  <c r="Y121" i="17" s="1"/>
  <c r="X120" i="17"/>
  <c r="W120" i="17"/>
  <c r="V120" i="17"/>
  <c r="V121" i="17" s="1"/>
  <c r="U120" i="17"/>
  <c r="U121" i="17" s="1"/>
  <c r="T120" i="17"/>
  <c r="T121" i="17" s="1"/>
  <c r="P120" i="17"/>
  <c r="P121" i="17" s="1"/>
  <c r="O120" i="17"/>
  <c r="O121" i="17" s="1"/>
  <c r="N120" i="17"/>
  <c r="N121" i="17" s="1"/>
  <c r="M120" i="17"/>
  <c r="M121" i="17" s="1"/>
  <c r="L120" i="17"/>
  <c r="K120" i="17"/>
  <c r="J120" i="17"/>
  <c r="J121" i="17" s="1"/>
  <c r="I120" i="17"/>
  <c r="I121" i="17" s="1"/>
  <c r="H120" i="17"/>
  <c r="G120" i="17"/>
  <c r="G121" i="17" s="1"/>
  <c r="E120" i="17"/>
  <c r="D120" i="17"/>
  <c r="C120" i="17"/>
  <c r="C121" i="17" s="1"/>
  <c r="B120" i="17"/>
  <c r="Y106" i="17"/>
  <c r="A106" i="17"/>
  <c r="Y117" i="17" s="1"/>
  <c r="A105" i="17"/>
  <c r="A104" i="17"/>
  <c r="A103" i="17"/>
  <c r="A102" i="17"/>
  <c r="A101" i="17"/>
  <c r="A100" i="17"/>
  <c r="Y111" i="17" s="1"/>
  <c r="Y99" i="17"/>
  <c r="O99" i="17"/>
  <c r="A99" i="17"/>
  <c r="A98" i="17"/>
  <c r="AA95" i="17"/>
  <c r="Z95" i="17"/>
  <c r="Y95" i="17"/>
  <c r="X95" i="17"/>
  <c r="W95" i="17"/>
  <c r="V95" i="17"/>
  <c r="U95" i="17"/>
  <c r="T95" i="17"/>
  <c r="S95" i="17"/>
  <c r="S106" i="17" s="1"/>
  <c r="R95" i="17"/>
  <c r="Q95" i="17"/>
  <c r="P95" i="17"/>
  <c r="O95" i="17"/>
  <c r="N95" i="17"/>
  <c r="M95" i="17"/>
  <c r="L95" i="17"/>
  <c r="K95" i="17"/>
  <c r="J95" i="17"/>
  <c r="I95" i="17"/>
  <c r="I86" i="17" s="1"/>
  <c r="I99" i="17" s="1"/>
  <c r="H95" i="17"/>
  <c r="G95" i="17"/>
  <c r="AA89" i="17"/>
  <c r="Z89" i="17"/>
  <c r="Y89" i="17"/>
  <c r="X89" i="17"/>
  <c r="W89" i="17"/>
  <c r="V89" i="17"/>
  <c r="U89" i="17"/>
  <c r="T89" i="17"/>
  <c r="S89" i="17"/>
  <c r="R89" i="17"/>
  <c r="R100" i="17" s="1"/>
  <c r="Q89" i="17"/>
  <c r="P89" i="17"/>
  <c r="O89" i="17"/>
  <c r="N89" i="17"/>
  <c r="M89" i="17"/>
  <c r="L89" i="17"/>
  <c r="K89" i="17"/>
  <c r="J89" i="17"/>
  <c r="I89" i="17"/>
  <c r="H89" i="17"/>
  <c r="G89" i="17"/>
  <c r="AA88" i="17"/>
  <c r="Z88" i="17"/>
  <c r="Y88" i="17"/>
  <c r="X88" i="17"/>
  <c r="W88" i="17"/>
  <c r="V88" i="17"/>
  <c r="U88" i="17"/>
  <c r="T88" i="17"/>
  <c r="S88" i="17"/>
  <c r="S99" i="17" s="1"/>
  <c r="R88" i="17"/>
  <c r="R99" i="17" s="1"/>
  <c r="Q88" i="17"/>
  <c r="P88" i="17"/>
  <c r="O88" i="17"/>
  <c r="N88" i="17"/>
  <c r="M88" i="17"/>
  <c r="L88" i="17"/>
  <c r="K88" i="17"/>
  <c r="I88" i="17"/>
  <c r="H88" i="17"/>
  <c r="G88" i="17"/>
  <c r="AA87" i="17"/>
  <c r="Z87" i="17"/>
  <c r="Y87" i="17"/>
  <c r="Y98" i="17" s="1"/>
  <c r="X87" i="17"/>
  <c r="W87" i="17"/>
  <c r="V87" i="17"/>
  <c r="U87" i="17"/>
  <c r="T87" i="17"/>
  <c r="S87" i="17"/>
  <c r="S98" i="17" s="1"/>
  <c r="R87" i="17"/>
  <c r="Q87" i="17"/>
  <c r="P87" i="17"/>
  <c r="O87" i="17"/>
  <c r="N87" i="17"/>
  <c r="M87" i="17"/>
  <c r="L87" i="17"/>
  <c r="K87" i="17"/>
  <c r="J87" i="17"/>
  <c r="I87" i="17"/>
  <c r="H87" i="17"/>
  <c r="G87" i="17"/>
  <c r="W86" i="17"/>
  <c r="R86" i="17"/>
  <c r="R98" i="17" s="1"/>
  <c r="O86" i="17"/>
  <c r="O98" i="17" s="1"/>
  <c r="L86" i="17"/>
  <c r="L98" i="17" s="1"/>
  <c r="A86" i="17"/>
  <c r="Y41" i="17"/>
  <c r="Y43" i="17" s="1"/>
  <c r="Y45" i="17" s="1"/>
  <c r="Y47" i="17" s="1"/>
  <c r="Y49" i="17" s="1"/>
  <c r="Y51" i="17" s="1"/>
  <c r="Y53" i="17" s="1"/>
  <c r="S41" i="17"/>
  <c r="S43" i="17" s="1"/>
  <c r="S45" i="17" s="1"/>
  <c r="S47" i="17" s="1"/>
  <c r="S49" i="17" s="1"/>
  <c r="S51" i="17" s="1"/>
  <c r="S53" i="17" s="1"/>
  <c r="S55" i="17" s="1"/>
  <c r="S57" i="17" s="1"/>
  <c r="S59" i="17" s="1"/>
  <c r="S61" i="17" s="1"/>
  <c r="S63" i="17" s="1"/>
  <c r="S65" i="17" s="1"/>
  <c r="S67" i="17" s="1"/>
  <c r="S69" i="17" s="1"/>
  <c r="S71" i="17" s="1"/>
  <c r="S73" i="17" s="1"/>
  <c r="S75" i="17" s="1"/>
  <c r="S76" i="17" s="1"/>
  <c r="AA39" i="17"/>
  <c r="Z39" i="17"/>
  <c r="Y39" i="17"/>
  <c r="X39" i="17"/>
  <c r="W39" i="17"/>
  <c r="V39" i="17"/>
  <c r="U39" i="17"/>
  <c r="T39" i="17"/>
  <c r="S39" i="17"/>
  <c r="R39" i="17"/>
  <c r="Q39" i="17"/>
  <c r="P39" i="17"/>
  <c r="O39" i="17"/>
  <c r="N39" i="17"/>
  <c r="M39" i="17"/>
  <c r="L39" i="17"/>
  <c r="K39" i="17"/>
  <c r="J39" i="17"/>
  <c r="I39" i="17"/>
  <c r="H39" i="17"/>
  <c r="G39" i="17"/>
  <c r="E39" i="17"/>
  <c r="D39" i="17"/>
  <c r="C39" i="17"/>
  <c r="Y38" i="17"/>
  <c r="Q38" i="17"/>
  <c r="Q41" i="17" s="1"/>
  <c r="Q43" i="17" s="1"/>
  <c r="Q45" i="17" s="1"/>
  <c r="Q47" i="17" s="1"/>
  <c r="Q49" i="17" s="1"/>
  <c r="Q51" i="17" s="1"/>
  <c r="Q53" i="17" s="1"/>
  <c r="Q55" i="17" s="1"/>
  <c r="Q57" i="17" s="1"/>
  <c r="Q59" i="17" s="1"/>
  <c r="Q61" i="17" s="1"/>
  <c r="Q63" i="17" s="1"/>
  <c r="Q65" i="17" s="1"/>
  <c r="Q67" i="17" s="1"/>
  <c r="Q69" i="17" s="1"/>
  <c r="Q71" i="17" s="1"/>
  <c r="Q73" i="17" s="1"/>
  <c r="Q75" i="17" s="1"/>
  <c r="Q76" i="17" s="1"/>
  <c r="G38" i="17"/>
  <c r="G41" i="17" s="1"/>
  <c r="G43" i="17" s="1"/>
  <c r="G45" i="17" s="1"/>
  <c r="G47" i="17" s="1"/>
  <c r="G49" i="17" s="1"/>
  <c r="G51" i="17" s="1"/>
  <c r="G53" i="17" s="1"/>
  <c r="Z37" i="17"/>
  <c r="Z38" i="17" s="1"/>
  <c r="Z41" i="17" s="1"/>
  <c r="Z43" i="17" s="1"/>
  <c r="Z45" i="17" s="1"/>
  <c r="Z47" i="17" s="1"/>
  <c r="Z49" i="17" s="1"/>
  <c r="Z51" i="17" s="1"/>
  <c r="Z53" i="17" s="1"/>
  <c r="Y37" i="17"/>
  <c r="W37" i="17"/>
  <c r="W38" i="17" s="1"/>
  <c r="W41" i="17" s="1"/>
  <c r="W43" i="17" s="1"/>
  <c r="W45" i="17" s="1"/>
  <c r="W47" i="17" s="1"/>
  <c r="W49" i="17" s="1"/>
  <c r="W51" i="17" s="1"/>
  <c r="W53" i="17" s="1"/>
  <c r="T37" i="17"/>
  <c r="T38" i="17" s="1"/>
  <c r="T41" i="17" s="1"/>
  <c r="T43" i="17" s="1"/>
  <c r="T45" i="17" s="1"/>
  <c r="T47" i="17" s="1"/>
  <c r="T49" i="17" s="1"/>
  <c r="T51" i="17" s="1"/>
  <c r="T53" i="17" s="1"/>
  <c r="S37" i="17"/>
  <c r="S38" i="17" s="1"/>
  <c r="Q37" i="17"/>
  <c r="M37" i="17"/>
  <c r="M38" i="17" s="1"/>
  <c r="M41" i="17" s="1"/>
  <c r="M43" i="17" s="1"/>
  <c r="M45" i="17" s="1"/>
  <c r="M47" i="17" s="1"/>
  <c r="M49" i="17" s="1"/>
  <c r="M51" i="17" s="1"/>
  <c r="M53" i="17" s="1"/>
  <c r="I37" i="17"/>
  <c r="I38" i="17" s="1"/>
  <c r="I41" i="17" s="1"/>
  <c r="I43" i="17" s="1"/>
  <c r="I45" i="17" s="1"/>
  <c r="I47" i="17" s="1"/>
  <c r="I49" i="17" s="1"/>
  <c r="I51" i="17" s="1"/>
  <c r="I53" i="17" s="1"/>
  <c r="H37" i="17"/>
  <c r="H38" i="17" s="1"/>
  <c r="H41" i="17" s="1"/>
  <c r="H43" i="17" s="1"/>
  <c r="H45" i="17" s="1"/>
  <c r="H47" i="17" s="1"/>
  <c r="H49" i="17" s="1"/>
  <c r="H51" i="17" s="1"/>
  <c r="H53" i="17" s="1"/>
  <c r="G37" i="17"/>
  <c r="AA36" i="17"/>
  <c r="Z36" i="17"/>
  <c r="Y36" i="17"/>
  <c r="X36" i="17"/>
  <c r="W36" i="17"/>
  <c r="V36" i="17"/>
  <c r="U36" i="17"/>
  <c r="T36" i="17"/>
  <c r="S36" i="17"/>
  <c r="R36" i="17"/>
  <c r="Q36" i="17"/>
  <c r="P36" i="17"/>
  <c r="O36" i="17"/>
  <c r="N36" i="17"/>
  <c r="M36" i="17"/>
  <c r="L36" i="17"/>
  <c r="K36" i="17"/>
  <c r="J36" i="17"/>
  <c r="I36" i="17"/>
  <c r="H36" i="17"/>
  <c r="G36" i="17"/>
  <c r="E36" i="17"/>
  <c r="D36" i="17"/>
  <c r="C36" i="17"/>
  <c r="Q35" i="17"/>
  <c r="S27" i="17"/>
  <c r="R27" i="17"/>
  <c r="Q27" i="17"/>
  <c r="A22" i="17"/>
  <c r="A95" i="17" s="1"/>
  <c r="A21" i="17"/>
  <c r="A94" i="17" s="1"/>
  <c r="A20" i="17"/>
  <c r="A93" i="17" s="1"/>
  <c r="A19" i="17"/>
  <c r="A92" i="17" s="1"/>
  <c r="A18" i="17"/>
  <c r="A91" i="17" s="1"/>
  <c r="A17" i="17"/>
  <c r="A90" i="17" s="1"/>
  <c r="A16" i="17"/>
  <c r="A89" i="17" s="1"/>
  <c r="J15" i="17"/>
  <c r="J88" i="17" s="1"/>
  <c r="A15" i="17"/>
  <c r="A88" i="17" s="1"/>
  <c r="J14" i="17"/>
  <c r="A14" i="17"/>
  <c r="A87" i="17" s="1"/>
  <c r="AA13" i="17"/>
  <c r="Z13" i="17"/>
  <c r="Y13" i="17"/>
  <c r="Y86" i="17" s="1"/>
  <c r="Y100" i="17" s="1"/>
  <c r="X13" i="17"/>
  <c r="W13" i="17"/>
  <c r="V13" i="17"/>
  <c r="U13" i="17"/>
  <c r="T13" i="17"/>
  <c r="S13" i="17"/>
  <c r="S86" i="17" s="1"/>
  <c r="S100" i="17" s="1"/>
  <c r="R13" i="17"/>
  <c r="R37" i="17" s="1"/>
  <c r="R38" i="17" s="1"/>
  <c r="R41" i="17" s="1"/>
  <c r="R43" i="17" s="1"/>
  <c r="R45" i="17" s="1"/>
  <c r="R47" i="17" s="1"/>
  <c r="R49" i="17" s="1"/>
  <c r="R51" i="17" s="1"/>
  <c r="R53" i="17" s="1"/>
  <c r="R55" i="17" s="1"/>
  <c r="R57" i="17" s="1"/>
  <c r="R59" i="17" s="1"/>
  <c r="R61" i="17" s="1"/>
  <c r="R63" i="17" s="1"/>
  <c r="R65" i="17" s="1"/>
  <c r="R67" i="17" s="1"/>
  <c r="R69" i="17" s="1"/>
  <c r="R71" i="17" s="1"/>
  <c r="R73" i="17" s="1"/>
  <c r="R75" i="17" s="1"/>
  <c r="R76" i="17" s="1"/>
  <c r="Q13" i="17"/>
  <c r="P13" i="17"/>
  <c r="O13" i="17"/>
  <c r="O124" i="17" s="1"/>
  <c r="N13" i="17"/>
  <c r="N124" i="17" s="1"/>
  <c r="M13" i="17"/>
  <c r="M124" i="17" s="1"/>
  <c r="L13" i="17"/>
  <c r="L124" i="17" s="1"/>
  <c r="K13" i="17"/>
  <c r="K124" i="17" s="1"/>
  <c r="J13" i="17"/>
  <c r="I13" i="17"/>
  <c r="I124" i="17" s="1"/>
  <c r="H13" i="17"/>
  <c r="H124" i="17" s="1"/>
  <c r="G13" i="17"/>
  <c r="AA6" i="17"/>
  <c r="Z6" i="17"/>
  <c r="Y6" i="17"/>
  <c r="X6" i="17"/>
  <c r="W6" i="17"/>
  <c r="V6" i="17"/>
  <c r="U6" i="17"/>
  <c r="T6" i="17"/>
  <c r="S6" i="17"/>
  <c r="R6" i="17"/>
  <c r="Q6" i="17"/>
  <c r="P6" i="17"/>
  <c r="O6" i="17"/>
  <c r="N6" i="17"/>
  <c r="M6" i="17"/>
  <c r="L6" i="17"/>
  <c r="K6" i="17"/>
  <c r="J6" i="17"/>
  <c r="I6" i="17"/>
  <c r="H6" i="17"/>
  <c r="G6" i="17"/>
  <c r="E6" i="17"/>
  <c r="D6" i="17"/>
  <c r="C6" i="17"/>
  <c r="B6" i="17"/>
  <c r="M132" i="16"/>
  <c r="K132" i="16"/>
  <c r="J132" i="16"/>
  <c r="O124" i="16"/>
  <c r="L124" i="16"/>
  <c r="I124" i="16"/>
  <c r="D124" i="16"/>
  <c r="C124" i="16"/>
  <c r="Q123" i="16"/>
  <c r="Q124" i="16" s="1"/>
  <c r="P123" i="16"/>
  <c r="P124" i="16" s="1"/>
  <c r="O123" i="16"/>
  <c r="L123" i="16"/>
  <c r="I123" i="16"/>
  <c r="H123" i="16"/>
  <c r="H124" i="16" s="1"/>
  <c r="E123" i="16"/>
  <c r="E124" i="16" s="1"/>
  <c r="D123" i="16"/>
  <c r="C123" i="16"/>
  <c r="B123" i="16"/>
  <c r="E120" i="16"/>
  <c r="D120" i="16"/>
  <c r="C120" i="16"/>
  <c r="B120" i="16"/>
  <c r="N111" i="16"/>
  <c r="A107" i="16"/>
  <c r="A106" i="16"/>
  <c r="A105" i="16"/>
  <c r="A104" i="16"/>
  <c r="A103" i="16"/>
  <c r="A102" i="16"/>
  <c r="O101" i="16"/>
  <c r="A101" i="16"/>
  <c r="A100" i="16"/>
  <c r="N99" i="16"/>
  <c r="A99" i="16"/>
  <c r="Q93" i="16"/>
  <c r="P93" i="16"/>
  <c r="O93" i="16"/>
  <c r="N93" i="16"/>
  <c r="L93" i="16"/>
  <c r="I93" i="16"/>
  <c r="H93" i="16"/>
  <c r="Q88" i="16"/>
  <c r="P88" i="16"/>
  <c r="O88" i="16"/>
  <c r="N88" i="16"/>
  <c r="L88" i="16"/>
  <c r="I88" i="16"/>
  <c r="H88" i="16"/>
  <c r="Q87" i="16"/>
  <c r="P87" i="16"/>
  <c r="O87" i="16"/>
  <c r="N87" i="16"/>
  <c r="L87" i="16"/>
  <c r="I87" i="16"/>
  <c r="H87" i="16"/>
  <c r="P86" i="16"/>
  <c r="O86" i="16"/>
  <c r="N86" i="16"/>
  <c r="I86" i="16"/>
  <c r="H86" i="16"/>
  <c r="P85" i="16"/>
  <c r="O85" i="16"/>
  <c r="N85" i="16"/>
  <c r="I85" i="16"/>
  <c r="O84" i="16"/>
  <c r="O107" i="16" s="1"/>
  <c r="Q38" i="16"/>
  <c r="P38" i="16"/>
  <c r="O38" i="16"/>
  <c r="N38" i="16"/>
  <c r="L38" i="16"/>
  <c r="I38" i="16"/>
  <c r="H38" i="16"/>
  <c r="E38" i="16"/>
  <c r="D38" i="16"/>
  <c r="C38" i="16"/>
  <c r="P36" i="16"/>
  <c r="P37" i="16" s="1"/>
  <c r="P40" i="16" s="1"/>
  <c r="P42" i="16" s="1"/>
  <c r="P44" i="16" s="1"/>
  <c r="P46" i="16" s="1"/>
  <c r="P48" i="16" s="1"/>
  <c r="P50" i="16" s="1"/>
  <c r="P52" i="16" s="1"/>
  <c r="O36" i="16"/>
  <c r="O37" i="16" s="1"/>
  <c r="O40" i="16" s="1"/>
  <c r="O42" i="16" s="1"/>
  <c r="O44" i="16" s="1"/>
  <c r="O46" i="16" s="1"/>
  <c r="O48" i="16" s="1"/>
  <c r="O50" i="16" s="1"/>
  <c r="O52" i="16" s="1"/>
  <c r="Q35" i="16"/>
  <c r="P35" i="16"/>
  <c r="O35" i="16"/>
  <c r="N35" i="16"/>
  <c r="L35" i="16"/>
  <c r="I35" i="16"/>
  <c r="H35" i="16"/>
  <c r="E35" i="16"/>
  <c r="D35" i="16"/>
  <c r="C35" i="16"/>
  <c r="N28" i="16"/>
  <c r="A23" i="16"/>
  <c r="A93" i="16" s="1"/>
  <c r="Q16" i="16"/>
  <c r="Q86" i="16" s="1"/>
  <c r="Q15" i="16"/>
  <c r="L15" i="16"/>
  <c r="L85" i="16" s="1"/>
  <c r="H15" i="16"/>
  <c r="H85" i="16" s="1"/>
  <c r="P14" i="16"/>
  <c r="P129" i="16" s="1"/>
  <c r="O14" i="16"/>
  <c r="O129" i="16" s="1"/>
  <c r="N14" i="16"/>
  <c r="N84" i="16" s="1"/>
  <c r="I14" i="16"/>
  <c r="Q7" i="16"/>
  <c r="P7" i="16"/>
  <c r="O7" i="16"/>
  <c r="N7" i="16"/>
  <c r="L7" i="16"/>
  <c r="I7" i="16"/>
  <c r="H7" i="16"/>
  <c r="E7" i="16"/>
  <c r="D7" i="16"/>
  <c r="C7" i="16"/>
  <c r="B7" i="16"/>
  <c r="J130" i="15"/>
  <c r="E130" i="15"/>
  <c r="C130" i="15"/>
  <c r="J129" i="15"/>
  <c r="I129" i="15"/>
  <c r="I130" i="15" s="1"/>
  <c r="H129" i="15"/>
  <c r="H130" i="15" s="1"/>
  <c r="E129" i="15"/>
  <c r="D129" i="15"/>
  <c r="D130" i="15" s="1"/>
  <c r="C129" i="15"/>
  <c r="B129" i="15"/>
  <c r="J103" i="15"/>
  <c r="I103" i="15"/>
  <c r="H103" i="15"/>
  <c r="G103" i="15"/>
  <c r="J98" i="15"/>
  <c r="J114" i="15" s="1"/>
  <c r="J125" i="15" s="1"/>
  <c r="I98" i="15"/>
  <c r="H98" i="15"/>
  <c r="H114" i="15" s="1"/>
  <c r="H125" i="15" s="1"/>
  <c r="G98" i="15"/>
  <c r="J97" i="15"/>
  <c r="J109" i="15" s="1"/>
  <c r="J120" i="15" s="1"/>
  <c r="I97" i="15"/>
  <c r="H97" i="15"/>
  <c r="G97" i="15"/>
  <c r="J96" i="15"/>
  <c r="J108" i="15" s="1"/>
  <c r="J119" i="15" s="1"/>
  <c r="I96" i="15"/>
  <c r="H96" i="15"/>
  <c r="H108" i="15" s="1"/>
  <c r="H119" i="15" s="1"/>
  <c r="G96" i="15"/>
  <c r="J95" i="15"/>
  <c r="J107" i="15" s="1"/>
  <c r="J118" i="15" s="1"/>
  <c r="H95" i="15"/>
  <c r="H107" i="15" s="1"/>
  <c r="H118" i="15" s="1"/>
  <c r="H127" i="15" s="1"/>
  <c r="G95" i="15"/>
  <c r="J94" i="15"/>
  <c r="H94" i="15"/>
  <c r="H109" i="15" s="1"/>
  <c r="H120" i="15" s="1"/>
  <c r="J39" i="15"/>
  <c r="I39" i="15"/>
  <c r="H39" i="15"/>
  <c r="G39" i="15"/>
  <c r="E39" i="15"/>
  <c r="D39" i="15"/>
  <c r="C39" i="15"/>
  <c r="J37" i="15"/>
  <c r="J38" i="15" s="1"/>
  <c r="J41" i="15" s="1"/>
  <c r="J43" i="15" s="1"/>
  <c r="J45" i="15" s="1"/>
  <c r="J47" i="15" s="1"/>
  <c r="J49" i="15" s="1"/>
  <c r="J51" i="15" s="1"/>
  <c r="J53" i="15" s="1"/>
  <c r="H37" i="15"/>
  <c r="H38" i="15" s="1"/>
  <c r="H41" i="15" s="1"/>
  <c r="H43" i="15" s="1"/>
  <c r="H45" i="15" s="1"/>
  <c r="H47" i="15" s="1"/>
  <c r="H49" i="15" s="1"/>
  <c r="H51" i="15" s="1"/>
  <c r="H53" i="15" s="1"/>
  <c r="J36" i="15"/>
  <c r="I36" i="15"/>
  <c r="G36" i="15"/>
  <c r="E36" i="15"/>
  <c r="D36" i="15"/>
  <c r="C36" i="15"/>
  <c r="G29" i="15"/>
  <c r="G129" i="15" s="1"/>
  <c r="G130" i="15" s="1"/>
  <c r="Q24" i="15"/>
  <c r="P24" i="15"/>
  <c r="O24" i="15"/>
  <c r="N24" i="15"/>
  <c r="M24" i="15"/>
  <c r="L24" i="15"/>
  <c r="L25" i="15" s="1"/>
  <c r="A23" i="15"/>
  <c r="A103" i="15" s="1"/>
  <c r="A100" i="15"/>
  <c r="G17" i="15"/>
  <c r="A96" i="15"/>
  <c r="I15" i="15"/>
  <c r="I95" i="15" s="1"/>
  <c r="G15" i="15"/>
  <c r="J14" i="15"/>
  <c r="J135" i="15" s="1"/>
  <c r="H14" i="15"/>
  <c r="H135" i="15" s="1"/>
  <c r="G14" i="15"/>
  <c r="G37" i="15" s="1"/>
  <c r="G38" i="15" s="1"/>
  <c r="G41" i="15" s="1"/>
  <c r="G43" i="15" s="1"/>
  <c r="G45" i="15" s="1"/>
  <c r="G47" i="15" s="1"/>
  <c r="G49" i="15" s="1"/>
  <c r="G51" i="15" s="1"/>
  <c r="G53" i="15" s="1"/>
  <c r="J8" i="15"/>
  <c r="I8" i="15"/>
  <c r="H8" i="15"/>
  <c r="G8" i="15"/>
  <c r="J56" i="6"/>
  <c r="K57" i="6"/>
  <c r="L58" i="6"/>
  <c r="M59" i="6"/>
  <c r="N60" i="6"/>
  <c r="O61" i="6"/>
  <c r="P62" i="6"/>
  <c r="Q63" i="6"/>
  <c r="I55" i="6"/>
  <c r="I34" i="6"/>
  <c r="J34" i="6" s="1"/>
  <c r="K34" i="6" s="1"/>
  <c r="I35" i="6"/>
  <c r="J35" i="6" s="1"/>
  <c r="K35" i="6" s="1"/>
  <c r="I36" i="6"/>
  <c r="J36" i="6" s="1"/>
  <c r="I37" i="6"/>
  <c r="J37" i="6" s="1"/>
  <c r="K37" i="6" s="1"/>
  <c r="I38" i="6"/>
  <c r="J38" i="6" s="1"/>
  <c r="I39" i="6"/>
  <c r="J39" i="6" s="1"/>
  <c r="I40" i="6"/>
  <c r="J40" i="6" s="1"/>
  <c r="J33" i="6"/>
  <c r="K33" i="6" s="1"/>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2" i="4"/>
  <c r="A19" i="15" l="1"/>
  <c r="A99" i="15" s="1"/>
  <c r="A21" i="7"/>
  <c r="L109" i="17"/>
  <c r="S109" i="17"/>
  <c r="R109" i="17"/>
  <c r="Z119" i="18"/>
  <c r="AH117" i="18"/>
  <c r="AA118" i="18"/>
  <c r="AI117" i="18"/>
  <c r="O120" i="16"/>
  <c r="K38" i="6"/>
  <c r="Q49" i="6"/>
  <c r="O51" i="6" s="1"/>
  <c r="O63" i="6" s="1"/>
  <c r="Q50" i="6"/>
  <c r="U36" i="18"/>
  <c r="U133" i="18"/>
  <c r="AI37" i="18"/>
  <c r="AI40" i="18" s="1"/>
  <c r="AI42" i="18" s="1"/>
  <c r="AI44" i="18" s="1"/>
  <c r="AI46" i="18" s="1"/>
  <c r="AI48" i="18" s="1"/>
  <c r="AI50" i="18" s="1"/>
  <c r="AI52" i="18" s="1"/>
  <c r="P108" i="18"/>
  <c r="P119" i="18" s="1"/>
  <c r="P91" i="18"/>
  <c r="Y91" i="18"/>
  <c r="Y106" i="18" s="1"/>
  <c r="Y117" i="18" s="1"/>
  <c r="AJ91" i="18"/>
  <c r="AJ108" i="18" s="1"/>
  <c r="AJ119" i="18" s="1"/>
  <c r="I133" i="18"/>
  <c r="I36" i="18"/>
  <c r="I37" i="18" s="1"/>
  <c r="I40" i="18" s="1"/>
  <c r="I42" i="18" s="1"/>
  <c r="I44" i="18" s="1"/>
  <c r="I46" i="18" s="1"/>
  <c r="I48" i="18" s="1"/>
  <c r="I50" i="18" s="1"/>
  <c r="I52" i="18" s="1"/>
  <c r="J94" i="18"/>
  <c r="J15" i="18"/>
  <c r="AI36" i="18"/>
  <c r="U37" i="18"/>
  <c r="U40" i="18" s="1"/>
  <c r="U42" i="18" s="1"/>
  <c r="U44" i="18" s="1"/>
  <c r="U46" i="18" s="1"/>
  <c r="U48" i="18" s="1"/>
  <c r="U50" i="18" s="1"/>
  <c r="U52" i="18" s="1"/>
  <c r="I107" i="18"/>
  <c r="AJ107" i="18"/>
  <c r="AJ118" i="18" s="1"/>
  <c r="P36" i="18"/>
  <c r="P37" i="18" s="1"/>
  <c r="P40" i="18" s="1"/>
  <c r="P42" i="18" s="1"/>
  <c r="P44" i="18" s="1"/>
  <c r="P46" i="18" s="1"/>
  <c r="P48" i="18" s="1"/>
  <c r="P50" i="18" s="1"/>
  <c r="P52" i="18" s="1"/>
  <c r="I91" i="18"/>
  <c r="U105" i="18"/>
  <c r="U116" i="18" s="1"/>
  <c r="AI124" i="18"/>
  <c r="H133" i="18"/>
  <c r="H36" i="18"/>
  <c r="H37" i="18" s="1"/>
  <c r="H40" i="18" s="1"/>
  <c r="H42" i="18" s="1"/>
  <c r="H44" i="18" s="1"/>
  <c r="H46" i="18" s="1"/>
  <c r="H48" i="18" s="1"/>
  <c r="H50" i="18" s="1"/>
  <c r="H52" i="18" s="1"/>
  <c r="S93" i="18"/>
  <c r="S15" i="18"/>
  <c r="H106" i="18"/>
  <c r="U106" i="18"/>
  <c r="U117" i="18" s="1"/>
  <c r="Q107" i="18"/>
  <c r="AH8" i="18"/>
  <c r="AI8" i="18" s="1"/>
  <c r="AG8" i="18"/>
  <c r="T36" i="18"/>
  <c r="T37" i="18" s="1"/>
  <c r="T40" i="18" s="1"/>
  <c r="T42" i="18" s="1"/>
  <c r="T44" i="18" s="1"/>
  <c r="T46" i="18" s="1"/>
  <c r="T48" i="18" s="1"/>
  <c r="T50" i="18" s="1"/>
  <c r="T52" i="18" s="1"/>
  <c r="T133" i="18"/>
  <c r="AH133" i="18"/>
  <c r="AH36" i="18"/>
  <c r="T105" i="18"/>
  <c r="T116" i="18" s="1"/>
  <c r="T91" i="18"/>
  <c r="T113" i="18" s="1"/>
  <c r="AH37" i="18"/>
  <c r="AH40" i="18" s="1"/>
  <c r="AH42" i="18" s="1"/>
  <c r="AH44" i="18" s="1"/>
  <c r="AH46" i="18" s="1"/>
  <c r="AH48" i="18" s="1"/>
  <c r="AH50" i="18" s="1"/>
  <c r="AH52" i="18" s="1"/>
  <c r="Q36" i="18"/>
  <c r="Q37" i="18" s="1"/>
  <c r="Q40" i="18" s="1"/>
  <c r="Q42" i="18" s="1"/>
  <c r="Q44" i="18" s="1"/>
  <c r="Q46" i="18" s="1"/>
  <c r="Q48" i="18" s="1"/>
  <c r="Q50" i="18" s="1"/>
  <c r="Q52" i="18" s="1"/>
  <c r="Z36" i="18"/>
  <c r="Z37" i="18" s="1"/>
  <c r="Z40" i="18" s="1"/>
  <c r="Z42" i="18" s="1"/>
  <c r="Z44" i="18" s="1"/>
  <c r="Z46" i="18" s="1"/>
  <c r="Z48" i="18" s="1"/>
  <c r="Z50" i="18" s="1"/>
  <c r="Z52" i="18" s="1"/>
  <c r="T106" i="18"/>
  <c r="AG106" i="18"/>
  <c r="AG117" i="18" s="1"/>
  <c r="P107" i="18"/>
  <c r="Z107" i="18"/>
  <c r="Q108" i="18"/>
  <c r="Q119" i="18" s="1"/>
  <c r="AH105" i="18"/>
  <c r="AH116" i="18" s="1"/>
  <c r="H105" i="18"/>
  <c r="AG91" i="18"/>
  <c r="AG113" i="18" s="1"/>
  <c r="I106" i="18"/>
  <c r="I117" i="18" s="1"/>
  <c r="X106" i="18"/>
  <c r="X117" i="18" s="1"/>
  <c r="P113" i="18"/>
  <c r="P124" i="18" s="1"/>
  <c r="AJ113" i="18"/>
  <c r="AJ124" i="18" s="1"/>
  <c r="I105" i="18"/>
  <c r="I116" i="18" s="1"/>
  <c r="U107" i="18"/>
  <c r="U118" i="18" s="1"/>
  <c r="AH107" i="18"/>
  <c r="AH118" i="18" s="1"/>
  <c r="Q113" i="18"/>
  <c r="Q124" i="18" s="1"/>
  <c r="Z113" i="18"/>
  <c r="Z124" i="18" s="1"/>
  <c r="AI116" i="18"/>
  <c r="X116" i="18"/>
  <c r="H116" i="18"/>
  <c r="AA116" i="18"/>
  <c r="Q116" i="18"/>
  <c r="P116" i="18"/>
  <c r="AJ106" i="18"/>
  <c r="T107" i="18"/>
  <c r="T118" i="18" s="1"/>
  <c r="AG107" i="18"/>
  <c r="AG118" i="18" s="1"/>
  <c r="H108" i="18"/>
  <c r="H119" i="18" s="1"/>
  <c r="T108" i="18"/>
  <c r="T119" i="18" s="1"/>
  <c r="P105" i="18"/>
  <c r="AJ105" i="18"/>
  <c r="AJ116" i="18" s="1"/>
  <c r="P106" i="18"/>
  <c r="P117" i="18" s="1"/>
  <c r="I108" i="18"/>
  <c r="U108" i="18"/>
  <c r="AH108" i="18"/>
  <c r="AG128" i="18"/>
  <c r="Q105" i="18"/>
  <c r="Z105" i="18"/>
  <c r="Z116" i="18" s="1"/>
  <c r="H107" i="18"/>
  <c r="X108" i="18"/>
  <c r="X119" i="18" s="1"/>
  <c r="I113" i="18"/>
  <c r="U113" i="18"/>
  <c r="AH113" i="18"/>
  <c r="Z118" i="18"/>
  <c r="Q118" i="18"/>
  <c r="P118" i="18"/>
  <c r="AI118" i="18"/>
  <c r="X118" i="18"/>
  <c r="I118" i="18"/>
  <c r="H118" i="18"/>
  <c r="AJ117" i="18"/>
  <c r="AA119" i="18"/>
  <c r="AA124" i="18"/>
  <c r="Q117" i="18"/>
  <c r="Z117" i="18"/>
  <c r="H124" i="18"/>
  <c r="T124" i="18"/>
  <c r="AG124" i="18"/>
  <c r="AA117" i="18"/>
  <c r="I119" i="18"/>
  <c r="U119" i="18"/>
  <c r="AH119" i="18"/>
  <c r="I124" i="18"/>
  <c r="U124" i="18"/>
  <c r="AH124" i="18"/>
  <c r="H117" i="18"/>
  <c r="T117" i="18"/>
  <c r="X124" i="18"/>
  <c r="X124" i="17"/>
  <c r="X86" i="17"/>
  <c r="X99" i="17" s="1"/>
  <c r="S124" i="17"/>
  <c r="S120" i="17"/>
  <c r="S121" i="17" s="1"/>
  <c r="O37" i="17"/>
  <c r="O38" i="17" s="1"/>
  <c r="O41" i="17" s="1"/>
  <c r="O43" i="17" s="1"/>
  <c r="O45" i="17" s="1"/>
  <c r="O47" i="17" s="1"/>
  <c r="O49" i="17" s="1"/>
  <c r="O51" i="17" s="1"/>
  <c r="O53" i="17" s="1"/>
  <c r="J124" i="17"/>
  <c r="J37" i="17"/>
  <c r="J38" i="17" s="1"/>
  <c r="J41" i="17" s="1"/>
  <c r="J43" i="17" s="1"/>
  <c r="J45" i="17" s="1"/>
  <c r="J47" i="17" s="1"/>
  <c r="J49" i="17" s="1"/>
  <c r="J51" i="17" s="1"/>
  <c r="J53" i="17" s="1"/>
  <c r="P37" i="17"/>
  <c r="P38" i="17" s="1"/>
  <c r="P41" i="17" s="1"/>
  <c r="P43" i="17" s="1"/>
  <c r="P45" i="17" s="1"/>
  <c r="P47" i="17" s="1"/>
  <c r="P49" i="17" s="1"/>
  <c r="P51" i="17" s="1"/>
  <c r="P53" i="17" s="1"/>
  <c r="P124" i="17"/>
  <c r="V124" i="17"/>
  <c r="V37" i="17"/>
  <c r="V38" i="17" s="1"/>
  <c r="V41" i="17" s="1"/>
  <c r="V43" i="17" s="1"/>
  <c r="V45" i="17" s="1"/>
  <c r="V47" i="17" s="1"/>
  <c r="V49" i="17" s="1"/>
  <c r="V51" i="17" s="1"/>
  <c r="V53" i="17" s="1"/>
  <c r="L37" i="17"/>
  <c r="L38" i="17" s="1"/>
  <c r="L41" i="17" s="1"/>
  <c r="L43" i="17" s="1"/>
  <c r="L45" i="17" s="1"/>
  <c r="L47" i="17" s="1"/>
  <c r="L49" i="17" s="1"/>
  <c r="L51" i="17" s="1"/>
  <c r="L53" i="17" s="1"/>
  <c r="U124" i="17"/>
  <c r="U86" i="17"/>
  <c r="U37" i="17"/>
  <c r="U38" i="17" s="1"/>
  <c r="U41" i="17" s="1"/>
  <c r="U43" i="17" s="1"/>
  <c r="U45" i="17" s="1"/>
  <c r="U47" i="17" s="1"/>
  <c r="U49" i="17" s="1"/>
  <c r="U51" i="17" s="1"/>
  <c r="U53" i="17" s="1"/>
  <c r="AA124" i="17"/>
  <c r="AA86" i="17"/>
  <c r="AA98" i="17" s="1"/>
  <c r="AA109" i="17" s="1"/>
  <c r="R120" i="17"/>
  <c r="R121" i="17" s="1"/>
  <c r="R124" i="17"/>
  <c r="AA37" i="17"/>
  <c r="AA38" i="17" s="1"/>
  <c r="AA41" i="17" s="1"/>
  <c r="AA43" i="17" s="1"/>
  <c r="AA45" i="17" s="1"/>
  <c r="AA47" i="17" s="1"/>
  <c r="AA49" i="17" s="1"/>
  <c r="AA51" i="17" s="1"/>
  <c r="AA53" i="17" s="1"/>
  <c r="V86" i="17"/>
  <c r="V99" i="17" s="1"/>
  <c r="J86" i="17"/>
  <c r="J106" i="17" s="1"/>
  <c r="J117" i="17" s="1"/>
  <c r="P86" i="17"/>
  <c r="V98" i="17"/>
  <c r="V109" i="17" s="1"/>
  <c r="X37" i="17"/>
  <c r="X38" i="17" s="1"/>
  <c r="X41" i="17" s="1"/>
  <c r="X43" i="17" s="1"/>
  <c r="X45" i="17" s="1"/>
  <c r="X47" i="17" s="1"/>
  <c r="X49" i="17" s="1"/>
  <c r="X51" i="17" s="1"/>
  <c r="X53" i="17" s="1"/>
  <c r="G98" i="17"/>
  <c r="G109" i="17" s="1"/>
  <c r="G86" i="17"/>
  <c r="M86" i="17"/>
  <c r="M100" i="17" s="1"/>
  <c r="M111" i="17" s="1"/>
  <c r="L100" i="17"/>
  <c r="L111" i="17" s="1"/>
  <c r="X100" i="17"/>
  <c r="X111" i="17" s="1"/>
  <c r="H106" i="17"/>
  <c r="H117" i="17" s="1"/>
  <c r="Z106" i="17"/>
  <c r="T124" i="17"/>
  <c r="T86" i="17"/>
  <c r="Z124" i="17"/>
  <c r="Z86" i="17"/>
  <c r="Q120" i="17"/>
  <c r="Q121" i="17" s="1"/>
  <c r="Q124" i="17"/>
  <c r="N37" i="17"/>
  <c r="N38" i="17" s="1"/>
  <c r="N41" i="17" s="1"/>
  <c r="N43" i="17" s="1"/>
  <c r="N45" i="17" s="1"/>
  <c r="N47" i="17" s="1"/>
  <c r="N49" i="17" s="1"/>
  <c r="N51" i="17" s="1"/>
  <c r="N53" i="17" s="1"/>
  <c r="K86" i="17"/>
  <c r="Q86" i="17"/>
  <c r="Q100" i="17" s="1"/>
  <c r="Q111" i="17" s="1"/>
  <c r="W99" i="17"/>
  <c r="W110" i="17" s="1"/>
  <c r="G100" i="17"/>
  <c r="G111" i="17" s="1"/>
  <c r="O106" i="17"/>
  <c r="AA106" i="17"/>
  <c r="K37" i="17"/>
  <c r="K38" i="17" s="1"/>
  <c r="K41" i="17" s="1"/>
  <c r="K43" i="17" s="1"/>
  <c r="K45" i="17" s="1"/>
  <c r="K47" i="17" s="1"/>
  <c r="K49" i="17" s="1"/>
  <c r="K51" i="17" s="1"/>
  <c r="K53" i="17" s="1"/>
  <c r="G99" i="17"/>
  <c r="N99" i="17"/>
  <c r="T99" i="17"/>
  <c r="T110" i="17" s="1"/>
  <c r="V100" i="17"/>
  <c r="V111" i="17" s="1"/>
  <c r="Q98" i="17"/>
  <c r="Q109" i="17" s="1"/>
  <c r="W98" i="17"/>
  <c r="L99" i="17"/>
  <c r="W100" i="17"/>
  <c r="W111" i="17" s="1"/>
  <c r="L106" i="17"/>
  <c r="L117" i="17" s="1"/>
  <c r="R106" i="17"/>
  <c r="X106" i="17"/>
  <c r="G117" i="17"/>
  <c r="X98" i="17"/>
  <c r="X109" i="17" s="1"/>
  <c r="M99" i="17"/>
  <c r="M110" i="17" s="1"/>
  <c r="G106" i="17"/>
  <c r="V110" i="17"/>
  <c r="O110" i="17"/>
  <c r="I110" i="17"/>
  <c r="R110" i="17"/>
  <c r="Y110" i="17"/>
  <c r="G110" i="17"/>
  <c r="I106" i="17"/>
  <c r="L110" i="17"/>
  <c r="X110" i="17"/>
  <c r="H86" i="17"/>
  <c r="H98" i="17" s="1"/>
  <c r="H109" i="17" s="1"/>
  <c r="N86" i="17"/>
  <c r="N98" i="17" s="1"/>
  <c r="N109" i="17" s="1"/>
  <c r="AA99" i="17"/>
  <c r="AA110" i="17" s="1"/>
  <c r="H100" i="17"/>
  <c r="H111" i="17" s="1"/>
  <c r="O111" i="17"/>
  <c r="S111" i="17"/>
  <c r="R111" i="17"/>
  <c r="X117" i="17"/>
  <c r="R117" i="17"/>
  <c r="AA117" i="17"/>
  <c r="S117" i="17"/>
  <c r="I117" i="17"/>
  <c r="N110" i="17"/>
  <c r="Z117" i="17"/>
  <c r="I98" i="17"/>
  <c r="I109" i="17" s="1"/>
  <c r="I100" i="17"/>
  <c r="I111" i="17" s="1"/>
  <c r="O100" i="17"/>
  <c r="AA100" i="17"/>
  <c r="AA111" i="17" s="1"/>
  <c r="V106" i="17"/>
  <c r="V117" i="17" s="1"/>
  <c r="S110" i="17"/>
  <c r="O117" i="17"/>
  <c r="Y124" i="17"/>
  <c r="W109" i="17"/>
  <c r="Q106" i="17"/>
  <c r="Q117" i="17" s="1"/>
  <c r="W106" i="17"/>
  <c r="W117" i="17" s="1"/>
  <c r="O109" i="17"/>
  <c r="Y109" i="17"/>
  <c r="Q14" i="16"/>
  <c r="Q85" i="16"/>
  <c r="P107" i="16"/>
  <c r="P120" i="16" s="1"/>
  <c r="I129" i="16"/>
  <c r="I84" i="16"/>
  <c r="I99" i="16" s="1"/>
  <c r="I111" i="16" s="1"/>
  <c r="O99" i="16"/>
  <c r="O111" i="16" s="1"/>
  <c r="O100" i="16"/>
  <c r="O112" i="16"/>
  <c r="P99" i="16"/>
  <c r="P111" i="16" s="1"/>
  <c r="N129" i="16"/>
  <c r="N123" i="16"/>
  <c r="N124" i="16" s="1"/>
  <c r="I36" i="16"/>
  <c r="I37" i="16" s="1"/>
  <c r="I40" i="16" s="1"/>
  <c r="I42" i="16" s="1"/>
  <c r="I44" i="16" s="1"/>
  <c r="I46" i="16" s="1"/>
  <c r="I48" i="16" s="1"/>
  <c r="I50" i="16" s="1"/>
  <c r="I52" i="16" s="1"/>
  <c r="P101" i="16"/>
  <c r="P113" i="16" s="1"/>
  <c r="H14" i="16"/>
  <c r="L16" i="16"/>
  <c r="N36" i="16"/>
  <c r="N37" i="16" s="1"/>
  <c r="N40" i="16" s="1"/>
  <c r="N42" i="16" s="1"/>
  <c r="N44" i="16" s="1"/>
  <c r="N46" i="16" s="1"/>
  <c r="N48" i="16" s="1"/>
  <c r="N50" i="16" s="1"/>
  <c r="N52" i="16" s="1"/>
  <c r="N101" i="16"/>
  <c r="N113" i="16" s="1"/>
  <c r="N107" i="16"/>
  <c r="N120" i="16" s="1"/>
  <c r="N100" i="16"/>
  <c r="P84" i="16"/>
  <c r="P100" i="16" s="1"/>
  <c r="P112" i="16" s="1"/>
  <c r="N112" i="16"/>
  <c r="O113" i="16"/>
  <c r="I94" i="15"/>
  <c r="I107" i="15" s="1"/>
  <c r="I118" i="15" s="1"/>
  <c r="I109" i="15"/>
  <c r="I120" i="15" s="1"/>
  <c r="J127" i="15"/>
  <c r="G109" i="15"/>
  <c r="G120" i="15" s="1"/>
  <c r="G135" i="15"/>
  <c r="I14" i="15"/>
  <c r="G94" i="15"/>
  <c r="K39" i="6"/>
  <c r="P43" i="6"/>
  <c r="P55" i="6" s="1"/>
  <c r="P44" i="6"/>
  <c r="P56" i="6" s="1"/>
  <c r="P46" i="6"/>
  <c r="P45" i="6"/>
  <c r="O43" i="6"/>
  <c r="O48" i="6"/>
  <c r="O47" i="6"/>
  <c r="P47" i="6"/>
  <c r="O46" i="6"/>
  <c r="N47" i="6"/>
  <c r="P48" i="6"/>
  <c r="O44" i="6"/>
  <c r="P49" i="6"/>
  <c r="O45" i="6"/>
  <c r="M46" i="6"/>
  <c r="N46" i="6"/>
  <c r="N45" i="6"/>
  <c r="L45" i="6"/>
  <c r="M45" i="6"/>
  <c r="K36" i="6"/>
  <c r="M43" i="6"/>
  <c r="E60" i="15" s="1"/>
  <c r="K44" i="6"/>
  <c r="C59" i="16" s="1"/>
  <c r="N43" i="6"/>
  <c r="J43" i="6"/>
  <c r="L44" i="6"/>
  <c r="K43" i="6"/>
  <c r="C60" i="15" s="1"/>
  <c r="M44" i="6"/>
  <c r="E57" i="18" s="1"/>
  <c r="F57" i="18" s="1"/>
  <c r="L43" i="6"/>
  <c r="D60" i="15" s="1"/>
  <c r="N44" i="6"/>
  <c r="C46" i="6"/>
  <c r="E45" i="6"/>
  <c r="E44" i="6"/>
  <c r="F44" i="6" s="1"/>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2" i="4"/>
  <c r="D59" i="16" l="1"/>
  <c r="E59" i="16"/>
  <c r="D57" i="18"/>
  <c r="Y118" i="17"/>
  <c r="R118" i="17"/>
  <c r="T125" i="18"/>
  <c r="S118" i="17"/>
  <c r="I125" i="18"/>
  <c r="AH125" i="18"/>
  <c r="N121" i="16"/>
  <c r="L118" i="17"/>
  <c r="G118" i="17"/>
  <c r="I44" i="6"/>
  <c r="I56" i="6" s="1"/>
  <c r="J55" i="6"/>
  <c r="K46" i="6"/>
  <c r="L57" i="6"/>
  <c r="O56" i="6"/>
  <c r="J49" i="6"/>
  <c r="J61" i="6" s="1"/>
  <c r="N49" i="6"/>
  <c r="N61" i="6" s="1"/>
  <c r="O60" i="6"/>
  <c r="N56" i="6"/>
  <c r="J48" i="6"/>
  <c r="J60" i="6" s="1"/>
  <c r="I48" i="6"/>
  <c r="I60" i="6" s="1"/>
  <c r="N55" i="6"/>
  <c r="K48" i="6"/>
  <c r="K60" i="6" s="1"/>
  <c r="N57" i="6"/>
  <c r="N50" i="6"/>
  <c r="N62" i="6" s="1"/>
  <c r="P60" i="6"/>
  <c r="I49" i="6"/>
  <c r="I61" i="6" s="1"/>
  <c r="O55" i="6"/>
  <c r="L55" i="6"/>
  <c r="I46" i="6"/>
  <c r="I58" i="6" s="1"/>
  <c r="J45" i="6"/>
  <c r="J57" i="6" s="1"/>
  <c r="K56" i="6"/>
  <c r="L48" i="6"/>
  <c r="N58" i="6"/>
  <c r="M48" i="6"/>
  <c r="N59" i="6"/>
  <c r="K50" i="6"/>
  <c r="K62" i="6" s="1"/>
  <c r="P57" i="6"/>
  <c r="I45" i="6"/>
  <c r="I57" i="6" s="1"/>
  <c r="K55" i="6"/>
  <c r="O57" i="6"/>
  <c r="K49" i="6"/>
  <c r="K61" i="6" s="1"/>
  <c r="M50" i="6"/>
  <c r="M62" i="6" s="1"/>
  <c r="P59" i="6"/>
  <c r="J46" i="6"/>
  <c r="J58" i="6" s="1"/>
  <c r="L56" i="6"/>
  <c r="K47" i="6"/>
  <c r="K59" i="6" s="1"/>
  <c r="M57" i="6"/>
  <c r="O50" i="6"/>
  <c r="O62" i="6" s="1"/>
  <c r="P61" i="6"/>
  <c r="M49" i="6"/>
  <c r="M61" i="6" s="1"/>
  <c r="O59" i="6"/>
  <c r="M56" i="6"/>
  <c r="J47" i="6"/>
  <c r="J59" i="6" s="1"/>
  <c r="M55" i="6"/>
  <c r="I47" i="6"/>
  <c r="I59" i="6" s="1"/>
  <c r="L47" i="6"/>
  <c r="M58" i="6"/>
  <c r="O58" i="6"/>
  <c r="L49" i="6"/>
  <c r="L61" i="6" s="1"/>
  <c r="L50" i="6"/>
  <c r="L62" i="6" s="1"/>
  <c r="P58" i="6"/>
  <c r="P51" i="6"/>
  <c r="P63" i="6" s="1"/>
  <c r="Q62" i="6"/>
  <c r="U125" i="18"/>
  <c r="H125" i="18"/>
  <c r="J133" i="18"/>
  <c r="J36" i="18"/>
  <c r="J37" i="18" s="1"/>
  <c r="J40" i="18" s="1"/>
  <c r="J42" i="18" s="1"/>
  <c r="J44" i="18" s="1"/>
  <c r="J46" i="18" s="1"/>
  <c r="J48" i="18" s="1"/>
  <c r="J50" i="18" s="1"/>
  <c r="J52" i="18" s="1"/>
  <c r="Y107" i="18"/>
  <c r="Y118" i="18" s="1"/>
  <c r="Y113" i="18"/>
  <c r="Y124" i="18" s="1"/>
  <c r="S133" i="18"/>
  <c r="S36" i="18"/>
  <c r="S37" i="18" s="1"/>
  <c r="S40" i="18" s="1"/>
  <c r="S42" i="18" s="1"/>
  <c r="S44" i="18" s="1"/>
  <c r="S46" i="18" s="1"/>
  <c r="S48" i="18" s="1"/>
  <c r="S50" i="18" s="1"/>
  <c r="S52" i="18" s="1"/>
  <c r="AJ125" i="18"/>
  <c r="P125" i="18"/>
  <c r="J91" i="18"/>
  <c r="Y108" i="18"/>
  <c r="Y119" i="18" s="1"/>
  <c r="Y105" i="18"/>
  <c r="Y116" i="18" s="1"/>
  <c r="Q125" i="18"/>
  <c r="X125" i="18"/>
  <c r="Z125" i="18"/>
  <c r="AI125" i="18"/>
  <c r="AG105" i="18"/>
  <c r="AG116" i="18" s="1"/>
  <c r="AG108" i="18"/>
  <c r="AG119" i="18" s="1"/>
  <c r="AA125" i="18"/>
  <c r="S91" i="18"/>
  <c r="S106" i="18"/>
  <c r="S117" i="18" s="1"/>
  <c r="V118" i="17"/>
  <c r="X118" i="17"/>
  <c r="P99" i="17"/>
  <c r="P110" i="17" s="1"/>
  <c r="P106" i="17"/>
  <c r="P117" i="17" s="1"/>
  <c r="P100" i="17"/>
  <c r="P111" i="17" s="1"/>
  <c r="O118" i="17"/>
  <c r="M98" i="17"/>
  <c r="M109" i="17" s="1"/>
  <c r="W118" i="17"/>
  <c r="T100" i="17"/>
  <c r="T111" i="17" s="1"/>
  <c r="T98" i="17"/>
  <c r="T109" i="17" s="1"/>
  <c r="I118" i="17"/>
  <c r="U98" i="17"/>
  <c r="U109" i="17" s="1"/>
  <c r="U99" i="17"/>
  <c r="U110" i="17" s="1"/>
  <c r="P98" i="17"/>
  <c r="P109" i="17" s="1"/>
  <c r="Q99" i="17"/>
  <c r="Q110" i="17" s="1"/>
  <c r="Q118" i="17" s="1"/>
  <c r="J99" i="17"/>
  <c r="J110" i="17" s="1"/>
  <c r="U100" i="17"/>
  <c r="U111" i="17" s="1"/>
  <c r="U106" i="17"/>
  <c r="U117" i="17" s="1"/>
  <c r="M106" i="17"/>
  <c r="M117" i="17" s="1"/>
  <c r="J100" i="17"/>
  <c r="J111" i="17" s="1"/>
  <c r="K106" i="17"/>
  <c r="K117" i="17" s="1"/>
  <c r="K98" i="17"/>
  <c r="K109" i="17" s="1"/>
  <c r="K100" i="17"/>
  <c r="K111" i="17" s="1"/>
  <c r="Z100" i="17"/>
  <c r="Z111" i="17" s="1"/>
  <c r="Z98" i="17"/>
  <c r="Z109" i="17" s="1"/>
  <c r="T106" i="17"/>
  <c r="T117" i="17" s="1"/>
  <c r="J98" i="17"/>
  <c r="J109" i="17" s="1"/>
  <c r="AA118" i="17"/>
  <c r="N100" i="17"/>
  <c r="N111" i="17" s="1"/>
  <c r="N118" i="17" s="1"/>
  <c r="Z99" i="17"/>
  <c r="Z110" i="17" s="1"/>
  <c r="K99" i="17"/>
  <c r="K110" i="17" s="1"/>
  <c r="N106" i="17"/>
  <c r="N117" i="17" s="1"/>
  <c r="H99" i="17"/>
  <c r="H110" i="17" s="1"/>
  <c r="H118" i="17" s="1"/>
  <c r="P121" i="16"/>
  <c r="I101" i="16"/>
  <c r="I113" i="16" s="1"/>
  <c r="L86" i="16"/>
  <c r="L14" i="16"/>
  <c r="I107" i="16"/>
  <c r="I120" i="16" s="1"/>
  <c r="I100" i="16"/>
  <c r="I112" i="16" s="1"/>
  <c r="H36" i="16"/>
  <c r="H37" i="16" s="1"/>
  <c r="H40" i="16" s="1"/>
  <c r="H42" i="16" s="1"/>
  <c r="H44" i="16" s="1"/>
  <c r="H46" i="16" s="1"/>
  <c r="H48" i="16" s="1"/>
  <c r="H50" i="16" s="1"/>
  <c r="H52" i="16" s="1"/>
  <c r="H129" i="16"/>
  <c r="H84" i="16"/>
  <c r="O121" i="16"/>
  <c r="Q36" i="16"/>
  <c r="Q37" i="16" s="1"/>
  <c r="Q40" i="16" s="1"/>
  <c r="Q42" i="16" s="1"/>
  <c r="Q44" i="16" s="1"/>
  <c r="Q46" i="16" s="1"/>
  <c r="Q48" i="16" s="1"/>
  <c r="Q50" i="16" s="1"/>
  <c r="Q52" i="16" s="1"/>
  <c r="Q129" i="16"/>
  <c r="Q84" i="16"/>
  <c r="G114" i="15"/>
  <c r="G125" i="15" s="1"/>
  <c r="G108" i="15"/>
  <c r="G119" i="15" s="1"/>
  <c r="I114" i="15"/>
  <c r="I125" i="15" s="1"/>
  <c r="I108" i="15"/>
  <c r="I119" i="15" s="1"/>
  <c r="I127" i="15" s="1"/>
  <c r="I135" i="15"/>
  <c r="I37" i="15"/>
  <c r="I38" i="15" s="1"/>
  <c r="I41" i="15" s="1"/>
  <c r="I43" i="15" s="1"/>
  <c r="I45" i="15" s="1"/>
  <c r="I47" i="15" s="1"/>
  <c r="I49" i="15" s="1"/>
  <c r="I51" i="15" s="1"/>
  <c r="I53" i="15" s="1"/>
  <c r="G107" i="15"/>
  <c r="G118" i="15" s="1"/>
  <c r="E46" i="6"/>
  <c r="E47" i="6" s="1"/>
  <c r="F45" i="6"/>
  <c r="F46" i="6" s="1"/>
  <c r="F47" i="6" s="1"/>
  <c r="L60" i="6" l="1"/>
  <c r="C62" i="17"/>
  <c r="D62" i="17"/>
  <c r="M60" i="6"/>
  <c r="E62" i="17"/>
  <c r="I121" i="16"/>
  <c r="J118" i="17"/>
  <c r="Y125" i="18"/>
  <c r="U118" i="17"/>
  <c r="K58" i="6"/>
  <c r="L59" i="6"/>
  <c r="AG125" i="18"/>
  <c r="J105" i="18"/>
  <c r="J116" i="18" s="1"/>
  <c r="J113" i="18"/>
  <c r="J124" i="18" s="1"/>
  <c r="J106" i="18"/>
  <c r="J117" i="18" s="1"/>
  <c r="J108" i="18"/>
  <c r="J119" i="18" s="1"/>
  <c r="J107" i="18"/>
  <c r="J118" i="18" s="1"/>
  <c r="S108" i="18"/>
  <c r="S119" i="18" s="1"/>
  <c r="S107" i="18"/>
  <c r="S118" i="18" s="1"/>
  <c r="S105" i="18"/>
  <c r="S116" i="18" s="1"/>
  <c r="S113" i="18"/>
  <c r="S124" i="18" s="1"/>
  <c r="P118" i="17"/>
  <c r="Z118" i="17"/>
  <c r="M118" i="17"/>
  <c r="K118" i="17"/>
  <c r="T118" i="17"/>
  <c r="H99" i="16"/>
  <c r="H111" i="16" s="1"/>
  <c r="H100" i="16"/>
  <c r="H112" i="16" s="1"/>
  <c r="H107" i="16"/>
  <c r="H120" i="16" s="1"/>
  <c r="H101" i="16"/>
  <c r="H113" i="16" s="1"/>
  <c r="L129" i="16"/>
  <c r="L84" i="16"/>
  <c r="L36" i="16"/>
  <c r="L37" i="16" s="1"/>
  <c r="L40" i="16" s="1"/>
  <c r="L42" i="16" s="1"/>
  <c r="L44" i="16" s="1"/>
  <c r="L46" i="16" s="1"/>
  <c r="L48" i="16" s="1"/>
  <c r="L50" i="16" s="1"/>
  <c r="L52" i="16" s="1"/>
  <c r="Q100" i="16"/>
  <c r="Q112" i="16" s="1"/>
  <c r="Q101" i="16"/>
  <c r="Q113" i="16" s="1"/>
  <c r="Q107" i="16"/>
  <c r="Q120" i="16" s="1"/>
  <c r="Q99" i="16"/>
  <c r="Q111" i="16" s="1"/>
  <c r="G127" i="15"/>
  <c r="U17" i="4"/>
  <c r="Z17" i="4" s="1"/>
  <c r="U19" i="4"/>
  <c r="Z19" i="4" s="1"/>
  <c r="U20" i="4"/>
  <c r="Z20" i="4" s="1"/>
  <c r="U21" i="4"/>
  <c r="Z21" i="4" s="1"/>
  <c r="U22" i="4"/>
  <c r="Z22" i="4" s="1"/>
  <c r="U23" i="4"/>
  <c r="Z23" i="4" s="1"/>
  <c r="U24" i="4"/>
  <c r="Z24" i="4" s="1"/>
  <c r="U25" i="4"/>
  <c r="Z25" i="4" s="1"/>
  <c r="U26" i="4"/>
  <c r="Z26" i="4" s="1"/>
  <c r="U27" i="4"/>
  <c r="Z27" i="4" s="1"/>
  <c r="U28" i="4"/>
  <c r="Z28" i="4" s="1"/>
  <c r="U29" i="4"/>
  <c r="Z29" i="4" s="1"/>
  <c r="U37" i="4"/>
  <c r="Z37" i="4" s="1"/>
  <c r="U56" i="4"/>
  <c r="Z56" i="4" s="1"/>
  <c r="S125" i="18" l="1"/>
  <c r="Q121" i="16"/>
  <c r="J125" i="18"/>
  <c r="L107" i="16"/>
  <c r="L120" i="16" s="1"/>
  <c r="L99" i="16"/>
  <c r="L111" i="16" s="1"/>
  <c r="L101" i="16"/>
  <c r="L113" i="16" s="1"/>
  <c r="H121" i="16"/>
  <c r="W29" i="4"/>
  <c r="W24" i="4"/>
  <c r="W23" i="4"/>
  <c r="W17" i="4"/>
  <c r="W27" i="4"/>
  <c r="W21" i="4"/>
  <c r="W56" i="4"/>
  <c r="W26" i="4"/>
  <c r="W20" i="4"/>
  <c r="W28" i="4"/>
  <c r="W22" i="4"/>
  <c r="W37" i="4"/>
  <c r="W25" i="4"/>
  <c r="W19" i="4"/>
  <c r="B106" i="13"/>
  <c r="B107" i="13"/>
  <c r="B108" i="13"/>
  <c r="B109" i="13"/>
  <c r="B110" i="13"/>
  <c r="B111" i="13"/>
  <c r="B112" i="13"/>
  <c r="B113" i="13"/>
  <c r="B105" i="13"/>
  <c r="B17" i="13"/>
  <c r="B93" i="13" s="1"/>
  <c r="B18" i="13"/>
  <c r="B94" i="13" s="1"/>
  <c r="B19" i="13"/>
  <c r="B95" i="13" s="1"/>
  <c r="B20" i="13"/>
  <c r="B96" i="13" s="1"/>
  <c r="B21" i="13"/>
  <c r="B97" i="13" s="1"/>
  <c r="B22" i="13"/>
  <c r="B98" i="13" s="1"/>
  <c r="B23" i="13"/>
  <c r="B99" i="13" s="1"/>
  <c r="B24" i="13"/>
  <c r="B100" i="13" s="1"/>
  <c r="B16" i="13"/>
  <c r="B92" i="13" s="1"/>
  <c r="AG133" i="13"/>
  <c r="AJ127" i="13"/>
  <c r="AJ128" i="13" s="1"/>
  <c r="AI127" i="13"/>
  <c r="AI128" i="13" s="1"/>
  <c r="AH127" i="13"/>
  <c r="AH128" i="13" s="1"/>
  <c r="AG127" i="13"/>
  <c r="AA127" i="13"/>
  <c r="AA128" i="13" s="1"/>
  <c r="Z127" i="13"/>
  <c r="Z128" i="13" s="1"/>
  <c r="Y127" i="13"/>
  <c r="Y128" i="13" s="1"/>
  <c r="X127" i="13"/>
  <c r="X128" i="13" s="1"/>
  <c r="U127" i="13"/>
  <c r="U128" i="13" s="1"/>
  <c r="T127" i="13"/>
  <c r="T128" i="13" s="1"/>
  <c r="S127" i="13"/>
  <c r="S128" i="13" s="1"/>
  <c r="Q127" i="13"/>
  <c r="Q128" i="13" s="1"/>
  <c r="P127" i="13"/>
  <c r="P128" i="13" s="1"/>
  <c r="J127" i="13"/>
  <c r="J128" i="13" s="1"/>
  <c r="I127" i="13"/>
  <c r="I128" i="13" s="1"/>
  <c r="H127" i="13"/>
  <c r="H128" i="13" s="1"/>
  <c r="F127" i="13"/>
  <c r="F128" i="13" s="1"/>
  <c r="E127" i="13"/>
  <c r="E128" i="13" s="1"/>
  <c r="D127" i="13"/>
  <c r="D128" i="13" s="1"/>
  <c r="C127" i="13"/>
  <c r="AJ100" i="13"/>
  <c r="AI100" i="13"/>
  <c r="AH100" i="13"/>
  <c r="AG100" i="13"/>
  <c r="AA100" i="13"/>
  <c r="Z100" i="13"/>
  <c r="Y100" i="13"/>
  <c r="X100" i="13"/>
  <c r="U100" i="13"/>
  <c r="T100" i="13"/>
  <c r="S100" i="13"/>
  <c r="Q100" i="13"/>
  <c r="P100" i="13"/>
  <c r="J100" i="13"/>
  <c r="I100" i="13"/>
  <c r="H100" i="13"/>
  <c r="AJ95" i="13"/>
  <c r="AI95" i="13"/>
  <c r="AH95" i="13"/>
  <c r="AG95" i="13"/>
  <c r="AA95" i="13"/>
  <c r="Z95" i="13"/>
  <c r="Y95" i="13"/>
  <c r="X95" i="13"/>
  <c r="U95" i="13"/>
  <c r="T95" i="13"/>
  <c r="S95" i="13"/>
  <c r="Q95" i="13"/>
  <c r="P95" i="13"/>
  <c r="J95" i="13"/>
  <c r="I95" i="13"/>
  <c r="H95" i="13"/>
  <c r="AJ94" i="13"/>
  <c r="AI94" i="13"/>
  <c r="AH94" i="13"/>
  <c r="AG94" i="13"/>
  <c r="AA94" i="13"/>
  <c r="Z94" i="13"/>
  <c r="Y94" i="13"/>
  <c r="X94" i="13"/>
  <c r="U94" i="13"/>
  <c r="T94" i="13"/>
  <c r="Q94" i="13"/>
  <c r="P94" i="13"/>
  <c r="I94" i="13"/>
  <c r="H94" i="13"/>
  <c r="AJ93" i="13"/>
  <c r="AI93" i="13"/>
  <c r="AH93" i="13"/>
  <c r="AG93" i="13"/>
  <c r="AA93" i="13"/>
  <c r="Z93" i="13"/>
  <c r="Y93" i="13"/>
  <c r="X93" i="13"/>
  <c r="U93" i="13"/>
  <c r="T93" i="13"/>
  <c r="Q93" i="13"/>
  <c r="P93" i="13"/>
  <c r="J93" i="13"/>
  <c r="I93" i="13"/>
  <c r="H93" i="13"/>
  <c r="AJ92" i="13"/>
  <c r="AI92" i="13"/>
  <c r="AH92" i="13"/>
  <c r="AG92" i="13"/>
  <c r="AA92" i="13"/>
  <c r="Z92" i="13"/>
  <c r="Y92" i="13"/>
  <c r="X92" i="13"/>
  <c r="S92" i="13"/>
  <c r="Q92" i="13"/>
  <c r="P92" i="13"/>
  <c r="J92" i="13"/>
  <c r="I92" i="13"/>
  <c r="H92" i="13"/>
  <c r="Q83" i="13"/>
  <c r="P83" i="13"/>
  <c r="J83" i="13"/>
  <c r="H83" i="13"/>
  <c r="F83" i="13"/>
  <c r="E83" i="13"/>
  <c r="D83" i="13"/>
  <c r="AJ38" i="13"/>
  <c r="AI38" i="13"/>
  <c r="AH38" i="13"/>
  <c r="AG38" i="13"/>
  <c r="AA38" i="13"/>
  <c r="Z38" i="13"/>
  <c r="Y38" i="13"/>
  <c r="X38" i="13"/>
  <c r="U38" i="13"/>
  <c r="T38" i="13"/>
  <c r="S38" i="13"/>
  <c r="Q38" i="13"/>
  <c r="P38" i="13"/>
  <c r="J38" i="13"/>
  <c r="I38" i="13"/>
  <c r="H38" i="13"/>
  <c r="F38" i="13"/>
  <c r="E38" i="13"/>
  <c r="D38" i="13"/>
  <c r="AJ35" i="13"/>
  <c r="AI35" i="13"/>
  <c r="AH35" i="13"/>
  <c r="AA35" i="13"/>
  <c r="Z35" i="13"/>
  <c r="Y35" i="13"/>
  <c r="X35" i="13"/>
  <c r="U35" i="13"/>
  <c r="T35" i="13"/>
  <c r="S35" i="13"/>
  <c r="Q35" i="13"/>
  <c r="P35" i="13"/>
  <c r="J35" i="13"/>
  <c r="I35" i="13"/>
  <c r="H35" i="13"/>
  <c r="F35" i="13"/>
  <c r="E35" i="13"/>
  <c r="D35" i="13"/>
  <c r="AG34" i="13"/>
  <c r="S18" i="13"/>
  <c r="S94" i="13" s="1"/>
  <c r="J18" i="13"/>
  <c r="J94" i="13" s="1"/>
  <c r="S17" i="13"/>
  <c r="S93" i="13" s="1"/>
  <c r="U16" i="13"/>
  <c r="U92" i="13" s="1"/>
  <c r="T16" i="13"/>
  <c r="T92" i="13" s="1"/>
  <c r="AJ15" i="13"/>
  <c r="AJ133" i="13" s="1"/>
  <c r="AI15" i="13"/>
  <c r="AI133" i="13" s="1"/>
  <c r="AH15" i="13"/>
  <c r="AH133" i="13" s="1"/>
  <c r="AA15" i="13"/>
  <c r="AA133" i="13" s="1"/>
  <c r="Z15" i="13"/>
  <c r="Y15" i="13"/>
  <c r="Y133" i="13" s="1"/>
  <c r="X15" i="13"/>
  <c r="X133" i="13" s="1"/>
  <c r="Q15" i="13"/>
  <c r="Q133" i="13" s="1"/>
  <c r="P15" i="13"/>
  <c r="P133" i="13" s="1"/>
  <c r="I15" i="13"/>
  <c r="I133" i="13" s="1"/>
  <c r="H15" i="13"/>
  <c r="H133" i="13" s="1"/>
  <c r="AJ8" i="13"/>
  <c r="AA8" i="13"/>
  <c r="Z8" i="13"/>
  <c r="Y8" i="13"/>
  <c r="X8" i="13"/>
  <c r="U8" i="13"/>
  <c r="T8" i="13"/>
  <c r="S8" i="13"/>
  <c r="Q8" i="13"/>
  <c r="P8" i="13"/>
  <c r="J8" i="13"/>
  <c r="I8" i="13"/>
  <c r="H8" i="13"/>
  <c r="F8" i="13"/>
  <c r="AG8" i="13" s="1"/>
  <c r="E8" i="13"/>
  <c r="D8" i="13"/>
  <c r="C8" i="13"/>
  <c r="AG117" i="12"/>
  <c r="I117" i="12"/>
  <c r="J111" i="12"/>
  <c r="J112" i="12" s="1"/>
  <c r="F111" i="12"/>
  <c r="F112" i="12" s="1"/>
  <c r="I108" i="12"/>
  <c r="I106" i="12"/>
  <c r="I101" i="12"/>
  <c r="I100" i="12"/>
  <c r="I107" i="12" s="1"/>
  <c r="Z97" i="12"/>
  <c r="Z104" i="12" s="1"/>
  <c r="AJ92" i="12"/>
  <c r="AI92" i="12"/>
  <c r="AH92" i="12"/>
  <c r="AG92" i="12"/>
  <c r="AA92" i="12"/>
  <c r="Z92" i="12"/>
  <c r="Y92" i="12"/>
  <c r="X92" i="12"/>
  <c r="U92" i="12"/>
  <c r="T92" i="12"/>
  <c r="S92" i="12"/>
  <c r="Q92" i="12"/>
  <c r="P92" i="12"/>
  <c r="J92" i="12"/>
  <c r="I92" i="12"/>
  <c r="H92" i="12"/>
  <c r="F92" i="12"/>
  <c r="E92" i="12"/>
  <c r="D92" i="12"/>
  <c r="B92" i="12"/>
  <c r="AJ91" i="12"/>
  <c r="AI91" i="12"/>
  <c r="AH91" i="12"/>
  <c r="AG91" i="12"/>
  <c r="AA91" i="12"/>
  <c r="Z91" i="12"/>
  <c r="Y91" i="12"/>
  <c r="X91" i="12"/>
  <c r="U91" i="12"/>
  <c r="T91" i="12"/>
  <c r="S91" i="12"/>
  <c r="Q91" i="12"/>
  <c r="P91" i="12"/>
  <c r="J91" i="12"/>
  <c r="I91" i="12"/>
  <c r="H91" i="12"/>
  <c r="F91" i="12"/>
  <c r="E91" i="12"/>
  <c r="D91" i="12"/>
  <c r="C91" i="12"/>
  <c r="B91" i="12"/>
  <c r="AJ90" i="12"/>
  <c r="AI90" i="12"/>
  <c r="AH90" i="12"/>
  <c r="AG90" i="12"/>
  <c r="AA90" i="12"/>
  <c r="Z90" i="12"/>
  <c r="Z99" i="12" s="1"/>
  <c r="Z106" i="12" s="1"/>
  <c r="Y90" i="12"/>
  <c r="X90" i="12"/>
  <c r="X99" i="12" s="1"/>
  <c r="X106" i="12" s="1"/>
  <c r="U90" i="12"/>
  <c r="T90" i="12"/>
  <c r="Q90" i="12"/>
  <c r="Q99" i="12" s="1"/>
  <c r="Q106" i="12" s="1"/>
  <c r="P90" i="12"/>
  <c r="I90" i="12"/>
  <c r="I99" i="12" s="1"/>
  <c r="H90" i="12"/>
  <c r="F90" i="12"/>
  <c r="D90" i="12"/>
  <c r="B90" i="12"/>
  <c r="AJ89" i="12"/>
  <c r="AI89" i="12"/>
  <c r="AH89" i="12"/>
  <c r="AG89" i="12"/>
  <c r="AA89" i="12"/>
  <c r="Z89" i="12"/>
  <c r="Z98" i="12" s="1"/>
  <c r="Z105" i="12" s="1"/>
  <c r="Y89" i="12"/>
  <c r="X89" i="12"/>
  <c r="U89" i="12"/>
  <c r="T89" i="12"/>
  <c r="Q89" i="12"/>
  <c r="P89" i="12"/>
  <c r="J89" i="12"/>
  <c r="I89" i="12"/>
  <c r="H89" i="12"/>
  <c r="F89" i="12"/>
  <c r="E89" i="12"/>
  <c r="D89" i="12"/>
  <c r="C89" i="12"/>
  <c r="B89" i="12"/>
  <c r="AJ88" i="12"/>
  <c r="AI88" i="12"/>
  <c r="AI97" i="12" s="1"/>
  <c r="AI104" i="12" s="1"/>
  <c r="AH88" i="12"/>
  <c r="AG88" i="12"/>
  <c r="AA88" i="12"/>
  <c r="Z88" i="12"/>
  <c r="Z87" i="12" s="1"/>
  <c r="Z100" i="12" s="1"/>
  <c r="Z107" i="12" s="1"/>
  <c r="Y88" i="12"/>
  <c r="X88" i="12"/>
  <c r="X97" i="12" s="1"/>
  <c r="X104" i="12" s="1"/>
  <c r="S88" i="12"/>
  <c r="Q88" i="12"/>
  <c r="P88" i="12"/>
  <c r="J88" i="12"/>
  <c r="I88" i="12"/>
  <c r="I97" i="12" s="1"/>
  <c r="I104" i="12" s="1"/>
  <c r="I109" i="12" s="1"/>
  <c r="H88" i="12"/>
  <c r="F88" i="12"/>
  <c r="E88" i="12"/>
  <c r="D88" i="12"/>
  <c r="B88" i="12"/>
  <c r="AI87" i="12"/>
  <c r="AI101" i="12" s="1"/>
  <c r="AI108" i="12" s="1"/>
  <c r="AH87" i="12"/>
  <c r="AH97" i="12" s="1"/>
  <c r="AH104" i="12" s="1"/>
  <c r="X87" i="12"/>
  <c r="X101" i="12" s="1"/>
  <c r="X108" i="12" s="1"/>
  <c r="Q87" i="12"/>
  <c r="Q100" i="12" s="1"/>
  <c r="Q107" i="12" s="1"/>
  <c r="I87" i="12"/>
  <c r="I98" i="12" s="1"/>
  <c r="I105" i="12" s="1"/>
  <c r="H87" i="12"/>
  <c r="Q79" i="12"/>
  <c r="P79" i="12"/>
  <c r="J79" i="12"/>
  <c r="H79" i="12"/>
  <c r="F79" i="12"/>
  <c r="E79" i="12"/>
  <c r="D79" i="12"/>
  <c r="AJ34" i="12"/>
  <c r="AI34" i="12"/>
  <c r="AH34" i="12"/>
  <c r="AG34" i="12"/>
  <c r="AA34" i="12"/>
  <c r="Z34" i="12"/>
  <c r="Y34" i="12"/>
  <c r="X34" i="12"/>
  <c r="U34" i="12"/>
  <c r="T34" i="12"/>
  <c r="S34" i="12"/>
  <c r="Q34" i="12"/>
  <c r="P34" i="12"/>
  <c r="J34" i="12"/>
  <c r="I34" i="12"/>
  <c r="H34" i="12"/>
  <c r="F34" i="12"/>
  <c r="E34" i="12"/>
  <c r="D34" i="12"/>
  <c r="I33" i="12"/>
  <c r="I36" i="12" s="1"/>
  <c r="I38" i="12" s="1"/>
  <c r="I40" i="12" s="1"/>
  <c r="I42" i="12" s="1"/>
  <c r="I44" i="12" s="1"/>
  <c r="I46" i="12" s="1"/>
  <c r="I48" i="12" s="1"/>
  <c r="AJ32" i="12"/>
  <c r="X32" i="12"/>
  <c r="X33" i="12" s="1"/>
  <c r="X36" i="12" s="1"/>
  <c r="X38" i="12" s="1"/>
  <c r="X40" i="12" s="1"/>
  <c r="X42" i="12" s="1"/>
  <c r="X44" i="12" s="1"/>
  <c r="X46" i="12" s="1"/>
  <c r="X48" i="12" s="1"/>
  <c r="P32" i="12"/>
  <c r="P33" i="12" s="1"/>
  <c r="P36" i="12" s="1"/>
  <c r="P38" i="12" s="1"/>
  <c r="P40" i="12" s="1"/>
  <c r="P42" i="12" s="1"/>
  <c r="P44" i="12" s="1"/>
  <c r="P46" i="12" s="1"/>
  <c r="P48" i="12" s="1"/>
  <c r="E32" i="12"/>
  <c r="E33" i="12" s="1"/>
  <c r="E36" i="12" s="1"/>
  <c r="E38" i="12" s="1"/>
  <c r="E40" i="12" s="1"/>
  <c r="E42" i="12" s="1"/>
  <c r="E44" i="12" s="1"/>
  <c r="E46" i="12" s="1"/>
  <c r="E48" i="12" s="1"/>
  <c r="AJ31" i="12"/>
  <c r="AJ33" i="12" s="1"/>
  <c r="AJ36" i="12" s="1"/>
  <c r="AJ38" i="12" s="1"/>
  <c r="AJ40" i="12" s="1"/>
  <c r="AJ42" i="12" s="1"/>
  <c r="AJ44" i="12" s="1"/>
  <c r="AJ46" i="12" s="1"/>
  <c r="AJ48" i="12" s="1"/>
  <c r="AI31" i="12"/>
  <c r="AH31" i="12"/>
  <c r="AG31" i="12"/>
  <c r="AG33" i="12" s="1"/>
  <c r="AG36" i="12" s="1"/>
  <c r="AG38" i="12" s="1"/>
  <c r="AG40" i="12" s="1"/>
  <c r="AG42" i="12" s="1"/>
  <c r="AG44" i="12" s="1"/>
  <c r="AG46" i="12" s="1"/>
  <c r="AG48" i="12" s="1"/>
  <c r="AA31" i="12"/>
  <c r="Z31" i="12"/>
  <c r="Y31" i="12"/>
  <c r="X31" i="12"/>
  <c r="U31" i="12"/>
  <c r="T31" i="12"/>
  <c r="S31" i="12"/>
  <c r="Q31" i="12"/>
  <c r="P31" i="12"/>
  <c r="J31" i="12"/>
  <c r="I31" i="12"/>
  <c r="H31" i="12"/>
  <c r="F31" i="12"/>
  <c r="E31" i="12"/>
  <c r="D31" i="12"/>
  <c r="AG30" i="12"/>
  <c r="AG32" i="12" s="1"/>
  <c r="C92" i="12"/>
  <c r="S18" i="12"/>
  <c r="S90" i="12" s="1"/>
  <c r="J18" i="12"/>
  <c r="E18" i="12"/>
  <c r="E90" i="12" s="1"/>
  <c r="C90" i="12"/>
  <c r="S17" i="12"/>
  <c r="U16" i="12"/>
  <c r="U88" i="12" s="1"/>
  <c r="T16" i="12"/>
  <c r="T88" i="12" s="1"/>
  <c r="C16" i="12"/>
  <c r="AJ15" i="12"/>
  <c r="AJ117" i="12" s="1"/>
  <c r="AI15" i="12"/>
  <c r="AI117" i="12" s="1"/>
  <c r="AH15" i="12"/>
  <c r="AA15" i="12"/>
  <c r="AA117" i="12" s="1"/>
  <c r="Z15" i="12"/>
  <c r="Z117" i="12" s="1"/>
  <c r="Y15" i="12"/>
  <c r="Y117" i="12" s="1"/>
  <c r="X15" i="12"/>
  <c r="X117" i="12" s="1"/>
  <c r="U15" i="12"/>
  <c r="U117" i="12" s="1"/>
  <c r="T15" i="12"/>
  <c r="Q15" i="12"/>
  <c r="Q117" i="12" s="1"/>
  <c r="P15" i="12"/>
  <c r="P117" i="12" s="1"/>
  <c r="I15" i="12"/>
  <c r="I32" i="12" s="1"/>
  <c r="H15" i="12"/>
  <c r="H32" i="12" s="1"/>
  <c r="H33" i="12" s="1"/>
  <c r="H36" i="12" s="1"/>
  <c r="H38" i="12" s="1"/>
  <c r="H40" i="12" s="1"/>
  <c r="H42" i="12" s="1"/>
  <c r="H44" i="12" s="1"/>
  <c r="H46" i="12" s="1"/>
  <c r="H48" i="12" s="1"/>
  <c r="F15" i="12"/>
  <c r="E15" i="12"/>
  <c r="E117" i="12" s="1"/>
  <c r="D15" i="12"/>
  <c r="D117" i="12" s="1"/>
  <c r="AJ8" i="12"/>
  <c r="AA8" i="12"/>
  <c r="Z8" i="12"/>
  <c r="Y8" i="12"/>
  <c r="X8" i="12"/>
  <c r="U8" i="12"/>
  <c r="T8" i="12"/>
  <c r="S8" i="12"/>
  <c r="Q8" i="12"/>
  <c r="P8" i="12"/>
  <c r="J8" i="12"/>
  <c r="I8" i="12"/>
  <c r="H8" i="12"/>
  <c r="F8" i="12"/>
  <c r="AG8" i="12" s="1"/>
  <c r="E8" i="12"/>
  <c r="D8" i="12"/>
  <c r="C8" i="12"/>
  <c r="L121" i="16" l="1"/>
  <c r="J15" i="13"/>
  <c r="J133" i="13" s="1"/>
  <c r="AG91" i="13"/>
  <c r="AG105" i="13" s="1"/>
  <c r="AG116" i="13" s="1"/>
  <c r="AG128" i="13"/>
  <c r="AJ37" i="13"/>
  <c r="AJ40" i="13" s="1"/>
  <c r="AJ42" i="13" s="1"/>
  <c r="AJ44" i="13" s="1"/>
  <c r="AJ46" i="13" s="1"/>
  <c r="AJ48" i="13" s="1"/>
  <c r="AJ50" i="13" s="1"/>
  <c r="AJ52" i="13" s="1"/>
  <c r="I91" i="13"/>
  <c r="I106" i="13" s="1"/>
  <c r="I117" i="13" s="1"/>
  <c r="Z91" i="13"/>
  <c r="Z106" i="13" s="1"/>
  <c r="Z117" i="13" s="1"/>
  <c r="AG36" i="13"/>
  <c r="AJ36" i="13"/>
  <c r="H91" i="13"/>
  <c r="H105" i="13" s="1"/>
  <c r="H116" i="13" s="1"/>
  <c r="S15" i="13"/>
  <c r="S133" i="13" s="1"/>
  <c r="AH91" i="13"/>
  <c r="AH106" i="13" s="1"/>
  <c r="AH117" i="13" s="1"/>
  <c r="Q91" i="13"/>
  <c r="Q113" i="13" s="1"/>
  <c r="Q124" i="13" s="1"/>
  <c r="J91" i="13"/>
  <c r="J113" i="13" s="1"/>
  <c r="J124" i="13" s="1"/>
  <c r="AI37" i="13"/>
  <c r="AI40" i="13" s="1"/>
  <c r="AI42" i="13" s="1"/>
  <c r="AI44" i="13" s="1"/>
  <c r="AI46" i="13" s="1"/>
  <c r="AI48" i="13" s="1"/>
  <c r="AI50" i="13" s="1"/>
  <c r="AI52" i="13" s="1"/>
  <c r="AA91" i="13"/>
  <c r="AA108" i="13" s="1"/>
  <c r="AA119" i="13" s="1"/>
  <c r="AH8" i="13"/>
  <c r="AI8" i="13" s="1"/>
  <c r="T15" i="13"/>
  <c r="T133" i="13" s="1"/>
  <c r="AG35" i="13"/>
  <c r="AG37" i="13" s="1"/>
  <c r="AG40" i="13" s="1"/>
  <c r="AG42" i="13" s="1"/>
  <c r="AG44" i="13" s="1"/>
  <c r="AG46" i="13" s="1"/>
  <c r="AG48" i="13" s="1"/>
  <c r="AG50" i="13" s="1"/>
  <c r="AG52" i="13" s="1"/>
  <c r="P36" i="13"/>
  <c r="P37" i="13" s="1"/>
  <c r="P40" i="13" s="1"/>
  <c r="P42" i="13" s="1"/>
  <c r="P44" i="13" s="1"/>
  <c r="P46" i="13" s="1"/>
  <c r="P48" i="13" s="1"/>
  <c r="P50" i="13" s="1"/>
  <c r="P52" i="13" s="1"/>
  <c r="P91" i="13"/>
  <c r="P108" i="13" s="1"/>
  <c r="P119" i="13" s="1"/>
  <c r="AH37" i="13"/>
  <c r="AH40" i="13" s="1"/>
  <c r="AH42" i="13" s="1"/>
  <c r="AH44" i="13" s="1"/>
  <c r="AH46" i="13" s="1"/>
  <c r="AH48" i="13" s="1"/>
  <c r="AH50" i="13" s="1"/>
  <c r="AH52" i="13" s="1"/>
  <c r="X36" i="13"/>
  <c r="X37" i="13" s="1"/>
  <c r="X40" i="13" s="1"/>
  <c r="X42" i="13" s="1"/>
  <c r="X44" i="13" s="1"/>
  <c r="X46" i="13" s="1"/>
  <c r="X48" i="13" s="1"/>
  <c r="X50" i="13" s="1"/>
  <c r="X52" i="13" s="1"/>
  <c r="Y36" i="13"/>
  <c r="Y37" i="13" s="1"/>
  <c r="Y40" i="13" s="1"/>
  <c r="Y42" i="13" s="1"/>
  <c r="Y44" i="13" s="1"/>
  <c r="Y46" i="13" s="1"/>
  <c r="Y48" i="13" s="1"/>
  <c r="Y50" i="13" s="1"/>
  <c r="Y52" i="13" s="1"/>
  <c r="S91" i="13"/>
  <c r="S113" i="13" s="1"/>
  <c r="S124" i="13" s="1"/>
  <c r="X91" i="13"/>
  <c r="X107" i="13" s="1"/>
  <c r="X118" i="13" s="1"/>
  <c r="AI91" i="13"/>
  <c r="AI106" i="13" s="1"/>
  <c r="AI117" i="13" s="1"/>
  <c r="U15" i="13"/>
  <c r="Q36" i="13"/>
  <c r="Q37" i="13" s="1"/>
  <c r="Q40" i="13" s="1"/>
  <c r="Q42" i="13" s="1"/>
  <c r="Q44" i="13" s="1"/>
  <c r="Q46" i="13" s="1"/>
  <c r="Q48" i="13" s="1"/>
  <c r="Q50" i="13" s="1"/>
  <c r="Q52" i="13" s="1"/>
  <c r="AA36" i="13"/>
  <c r="AA37" i="13" s="1"/>
  <c r="AA40" i="13" s="1"/>
  <c r="AA42" i="13" s="1"/>
  <c r="AA44" i="13" s="1"/>
  <c r="AA46" i="13" s="1"/>
  <c r="AA48" i="13" s="1"/>
  <c r="AA50" i="13" s="1"/>
  <c r="AA52" i="13" s="1"/>
  <c r="H36" i="13"/>
  <c r="H37" i="13" s="1"/>
  <c r="H40" i="13" s="1"/>
  <c r="H42" i="13" s="1"/>
  <c r="H44" i="13" s="1"/>
  <c r="H46" i="13" s="1"/>
  <c r="H48" i="13" s="1"/>
  <c r="H50" i="13" s="1"/>
  <c r="H52" i="13" s="1"/>
  <c r="AH36" i="13"/>
  <c r="U91" i="13"/>
  <c r="U107" i="13" s="1"/>
  <c r="U118" i="13" s="1"/>
  <c r="Z133" i="13"/>
  <c r="Z36" i="13"/>
  <c r="Z37" i="13" s="1"/>
  <c r="Z40" i="13" s="1"/>
  <c r="Z42" i="13" s="1"/>
  <c r="Z44" i="13" s="1"/>
  <c r="Z46" i="13" s="1"/>
  <c r="Z48" i="13" s="1"/>
  <c r="Z50" i="13" s="1"/>
  <c r="Z52" i="13" s="1"/>
  <c r="T91" i="13"/>
  <c r="T113" i="13" s="1"/>
  <c r="T124" i="13" s="1"/>
  <c r="I36" i="13"/>
  <c r="I37" i="13" s="1"/>
  <c r="I40" i="13" s="1"/>
  <c r="I42" i="13" s="1"/>
  <c r="I44" i="13" s="1"/>
  <c r="I46" i="13" s="1"/>
  <c r="I48" i="13" s="1"/>
  <c r="I50" i="13" s="1"/>
  <c r="I52" i="13" s="1"/>
  <c r="AI36" i="13"/>
  <c r="Y91" i="13"/>
  <c r="AJ91" i="13"/>
  <c r="AJ108" i="13" s="1"/>
  <c r="AJ119" i="13" s="1"/>
  <c r="AH8" i="12"/>
  <c r="AI8" i="12" s="1"/>
  <c r="F99" i="12"/>
  <c r="F106" i="12" s="1"/>
  <c r="AG87" i="12"/>
  <c r="AG99" i="12" s="1"/>
  <c r="AG106" i="12" s="1"/>
  <c r="T117" i="12"/>
  <c r="T32" i="12"/>
  <c r="T33" i="12" s="1"/>
  <c r="T36" i="12" s="1"/>
  <c r="T38" i="12" s="1"/>
  <c r="T40" i="12" s="1"/>
  <c r="T42" i="12" s="1"/>
  <c r="T44" i="12" s="1"/>
  <c r="T46" i="12" s="1"/>
  <c r="T48" i="12" s="1"/>
  <c r="AH117" i="12"/>
  <c r="AH33" i="12"/>
  <c r="AH36" i="12" s="1"/>
  <c r="AH38" i="12" s="1"/>
  <c r="AH40" i="12" s="1"/>
  <c r="AH42" i="12" s="1"/>
  <c r="AH44" i="12" s="1"/>
  <c r="AH46" i="12" s="1"/>
  <c r="AH48" i="12" s="1"/>
  <c r="S89" i="12"/>
  <c r="S15" i="12"/>
  <c r="F117" i="12"/>
  <c r="F32" i="12"/>
  <c r="F33" i="12" s="1"/>
  <c r="F36" i="12" s="1"/>
  <c r="F38" i="12" s="1"/>
  <c r="F40" i="12" s="1"/>
  <c r="F42" i="12" s="1"/>
  <c r="F44" i="12" s="1"/>
  <c r="F46" i="12" s="1"/>
  <c r="F48" i="12" s="1"/>
  <c r="AH32" i="12"/>
  <c r="T87" i="12"/>
  <c r="T98" i="12" s="1"/>
  <c r="T105" i="12" s="1"/>
  <c r="Y100" i="12"/>
  <c r="Y107" i="12" s="1"/>
  <c r="U32" i="12"/>
  <c r="AI32" i="12"/>
  <c r="AI99" i="12"/>
  <c r="AI106" i="12" s="1"/>
  <c r="AI109" i="12" s="1"/>
  <c r="F100" i="12"/>
  <c r="F107" i="12" s="1"/>
  <c r="Y101" i="12"/>
  <c r="Y108" i="12" s="1"/>
  <c r="AJ101" i="12"/>
  <c r="AJ108" i="12" s="1"/>
  <c r="AJ111" i="12"/>
  <c r="AJ112" i="12" s="1"/>
  <c r="Y111" i="12"/>
  <c r="Y112" i="12" s="1"/>
  <c r="P111" i="12"/>
  <c r="P112" i="12" s="1"/>
  <c r="D111" i="12"/>
  <c r="D112" i="12" s="1"/>
  <c r="AH111" i="12"/>
  <c r="AH112" i="12" s="1"/>
  <c r="U111" i="12"/>
  <c r="U112" i="12" s="1"/>
  <c r="I111" i="12"/>
  <c r="I112" i="12" s="1"/>
  <c r="AG111" i="12"/>
  <c r="AG112" i="12" s="1"/>
  <c r="T111" i="12"/>
  <c r="T112" i="12" s="1"/>
  <c r="H111" i="12"/>
  <c r="H112" i="12" s="1"/>
  <c r="S111" i="12"/>
  <c r="S112" i="12" s="1"/>
  <c r="AA111" i="12"/>
  <c r="AA112" i="12" s="1"/>
  <c r="E111" i="12"/>
  <c r="E112" i="12" s="1"/>
  <c r="Z111" i="12"/>
  <c r="Z112" i="12" s="1"/>
  <c r="C111" i="12"/>
  <c r="X111" i="12"/>
  <c r="X112" i="12" s="1"/>
  <c r="AI111" i="12"/>
  <c r="AI112" i="12" s="1"/>
  <c r="Q111" i="12"/>
  <c r="Q112" i="12" s="1"/>
  <c r="C88" i="12"/>
  <c r="C15" i="12"/>
  <c r="J90" i="12"/>
  <c r="J15" i="12"/>
  <c r="Y32" i="12"/>
  <c r="Y33" i="12" s="1"/>
  <c r="Y36" i="12" s="1"/>
  <c r="Y38" i="12" s="1"/>
  <c r="Y40" i="12" s="1"/>
  <c r="Y42" i="12" s="1"/>
  <c r="Y44" i="12" s="1"/>
  <c r="Y46" i="12" s="1"/>
  <c r="Y48" i="12" s="1"/>
  <c r="E87" i="12"/>
  <c r="E100" i="12" s="1"/>
  <c r="E107" i="12" s="1"/>
  <c r="E97" i="12"/>
  <c r="E104" i="12" s="1"/>
  <c r="Q97" i="12"/>
  <c r="Q104" i="12" s="1"/>
  <c r="AA87" i="12"/>
  <c r="AA97" i="12"/>
  <c r="AA104" i="12" s="1"/>
  <c r="Y98" i="12"/>
  <c r="Y105" i="12" s="1"/>
  <c r="Y87" i="12"/>
  <c r="Y97" i="12" s="1"/>
  <c r="Y104" i="12" s="1"/>
  <c r="AJ87" i="12"/>
  <c r="Z109" i="12"/>
  <c r="C117" i="12"/>
  <c r="Z32" i="12"/>
  <c r="Z33" i="12" s="1"/>
  <c r="Z36" i="12" s="1"/>
  <c r="Z38" i="12" s="1"/>
  <c r="Z40" i="12" s="1"/>
  <c r="Z42" i="12" s="1"/>
  <c r="Z44" i="12" s="1"/>
  <c r="Z46" i="12" s="1"/>
  <c r="Z48" i="12" s="1"/>
  <c r="D87" i="12"/>
  <c r="F87" i="12"/>
  <c r="F98" i="12" s="1"/>
  <c r="F105" i="12" s="1"/>
  <c r="F97" i="12"/>
  <c r="F104" i="12" s="1"/>
  <c r="S87" i="12"/>
  <c r="S101" i="12" s="1"/>
  <c r="S108" i="12" s="1"/>
  <c r="D98" i="12"/>
  <c r="D105" i="12" s="1"/>
  <c r="P87" i="12"/>
  <c r="U97" i="12"/>
  <c r="U104" i="12" s="1"/>
  <c r="U87" i="12"/>
  <c r="D32" i="12"/>
  <c r="Q32" i="12"/>
  <c r="Q33" i="12" s="1"/>
  <c r="Q36" i="12" s="1"/>
  <c r="Q38" i="12" s="1"/>
  <c r="Q40" i="12" s="1"/>
  <c r="Q42" i="12" s="1"/>
  <c r="Q44" i="12" s="1"/>
  <c r="Q46" i="12" s="1"/>
  <c r="Q48" i="12" s="1"/>
  <c r="AA32" i="12"/>
  <c r="AA33" i="12" s="1"/>
  <c r="AA36" i="12" s="1"/>
  <c r="AA38" i="12" s="1"/>
  <c r="AA40" i="12" s="1"/>
  <c r="AA42" i="12" s="1"/>
  <c r="AA44" i="12" s="1"/>
  <c r="AA46" i="12" s="1"/>
  <c r="AA48" i="12" s="1"/>
  <c r="U33" i="12"/>
  <c r="U36" i="12" s="1"/>
  <c r="U38" i="12" s="1"/>
  <c r="U40" i="12" s="1"/>
  <c r="U42" i="12" s="1"/>
  <c r="U44" i="12" s="1"/>
  <c r="U46" i="12" s="1"/>
  <c r="U48" i="12" s="1"/>
  <c r="AI33" i="12"/>
  <c r="AI36" i="12" s="1"/>
  <c r="AI38" i="12" s="1"/>
  <c r="AI40" i="12" s="1"/>
  <c r="AI42" i="12" s="1"/>
  <c r="AI44" i="12" s="1"/>
  <c r="AI46" i="12" s="1"/>
  <c r="AI48" i="12" s="1"/>
  <c r="AH101" i="12"/>
  <c r="AH108" i="12" s="1"/>
  <c r="AH98" i="12"/>
  <c r="AH105" i="12" s="1"/>
  <c r="AH109" i="12" s="1"/>
  <c r="AH100" i="12"/>
  <c r="AH107" i="12" s="1"/>
  <c r="H97" i="12"/>
  <c r="H104" i="12" s="1"/>
  <c r="T99" i="12"/>
  <c r="T106" i="12" s="1"/>
  <c r="AJ100" i="12"/>
  <c r="AJ107" i="12" s="1"/>
  <c r="H117" i="12"/>
  <c r="E99" i="12"/>
  <c r="E106" i="12" s="1"/>
  <c r="X98" i="12"/>
  <c r="X105" i="12" s="1"/>
  <c r="X109" i="12" s="1"/>
  <c r="AI98" i="12"/>
  <c r="AI105" i="12" s="1"/>
  <c r="Y99" i="12"/>
  <c r="Y106" i="12" s="1"/>
  <c r="H100" i="12"/>
  <c r="H107" i="12" s="1"/>
  <c r="T100" i="12"/>
  <c r="T107" i="12" s="1"/>
  <c r="AG100" i="12"/>
  <c r="AG107" i="12" s="1"/>
  <c r="Q101" i="12"/>
  <c r="Q108" i="12" s="1"/>
  <c r="Z101" i="12"/>
  <c r="Z108" i="12" s="1"/>
  <c r="AA101" i="12"/>
  <c r="AA108" i="12" s="1"/>
  <c r="E98" i="12"/>
  <c r="E105" i="12" s="1"/>
  <c r="Q98" i="12"/>
  <c r="Q105" i="12" s="1"/>
  <c r="X100" i="12"/>
  <c r="X107" i="12" s="1"/>
  <c r="AI100" i="12"/>
  <c r="AI107" i="12" s="1"/>
  <c r="H101" i="12"/>
  <c r="H108" i="12" s="1"/>
  <c r="T101" i="12"/>
  <c r="T108" i="12" s="1"/>
  <c r="H99" i="12"/>
  <c r="H106" i="12" s="1"/>
  <c r="H98" i="12"/>
  <c r="H105" i="12" s="1"/>
  <c r="U99" i="12"/>
  <c r="U106" i="12" s="1"/>
  <c r="AH99" i="12"/>
  <c r="AH106" i="12" s="1"/>
  <c r="H113" i="13" l="1"/>
  <c r="H124" i="13" s="1"/>
  <c r="I108" i="13"/>
  <c r="I119" i="13" s="1"/>
  <c r="I113" i="13"/>
  <c r="I124" i="13" s="1"/>
  <c r="AG108" i="13"/>
  <c r="AG119" i="13" s="1"/>
  <c r="Z107" i="13"/>
  <c r="Z118" i="13" s="1"/>
  <c r="J36" i="13"/>
  <c r="J37" i="13" s="1"/>
  <c r="J40" i="13" s="1"/>
  <c r="J42" i="13" s="1"/>
  <c r="J44" i="13" s="1"/>
  <c r="J46" i="13" s="1"/>
  <c r="J48" i="13" s="1"/>
  <c r="J50" i="13" s="1"/>
  <c r="J52" i="13" s="1"/>
  <c r="AG106" i="13"/>
  <c r="AG117" i="13" s="1"/>
  <c r="AG107" i="13"/>
  <c r="AG118" i="13" s="1"/>
  <c r="AG113" i="13"/>
  <c r="AG124" i="13" s="1"/>
  <c r="T106" i="13"/>
  <c r="T117" i="13" s="1"/>
  <c r="J108" i="13"/>
  <c r="J119" i="13" s="1"/>
  <c r="H106" i="13"/>
  <c r="H117" i="13" s="1"/>
  <c r="J107" i="13"/>
  <c r="J118" i="13" s="1"/>
  <c r="H107" i="13"/>
  <c r="H118" i="13" s="1"/>
  <c r="I105" i="13"/>
  <c r="I116" i="13" s="1"/>
  <c r="H108" i="13"/>
  <c r="H119" i="13" s="1"/>
  <c r="AA106" i="13"/>
  <c r="AA117" i="13" s="1"/>
  <c r="I107" i="13"/>
  <c r="I118" i="13" s="1"/>
  <c r="S105" i="13"/>
  <c r="S116" i="13" s="1"/>
  <c r="Z105" i="13"/>
  <c r="Z116" i="13" s="1"/>
  <c r="Z113" i="13"/>
  <c r="Z124" i="13" s="1"/>
  <c r="J106" i="13"/>
  <c r="J117" i="13" s="1"/>
  <c r="S106" i="13"/>
  <c r="S117" i="13" s="1"/>
  <c r="Z108" i="13"/>
  <c r="Z119" i="13" s="1"/>
  <c r="AI113" i="13"/>
  <c r="AI124" i="13" s="1"/>
  <c r="AH108" i="13"/>
  <c r="AH119" i="13" s="1"/>
  <c r="AH113" i="13"/>
  <c r="AH124" i="13" s="1"/>
  <c r="AH105" i="13"/>
  <c r="AH116" i="13" s="1"/>
  <c r="AI107" i="13"/>
  <c r="AI118" i="13" s="1"/>
  <c r="AH107" i="13"/>
  <c r="AH118" i="13" s="1"/>
  <c r="AJ107" i="13"/>
  <c r="AJ118" i="13" s="1"/>
  <c r="T107" i="13"/>
  <c r="T118" i="13" s="1"/>
  <c r="AI108" i="13"/>
  <c r="AI119" i="13" s="1"/>
  <c r="AA105" i="13"/>
  <c r="AA116" i="13" s="1"/>
  <c r="S36" i="13"/>
  <c r="S37" i="13" s="1"/>
  <c r="S40" i="13" s="1"/>
  <c r="S42" i="13" s="1"/>
  <c r="S44" i="13" s="1"/>
  <c r="S46" i="13" s="1"/>
  <c r="S48" i="13" s="1"/>
  <c r="S50" i="13" s="1"/>
  <c r="S52" i="13" s="1"/>
  <c r="P107" i="13"/>
  <c r="P118" i="13" s="1"/>
  <c r="AA113" i="13"/>
  <c r="AA124" i="13" s="1"/>
  <c r="Q105" i="13"/>
  <c r="Q116" i="13" s="1"/>
  <c r="J105" i="13"/>
  <c r="J116" i="13" s="1"/>
  <c r="AA107" i="13"/>
  <c r="AA118" i="13" s="1"/>
  <c r="Q107" i="13"/>
  <c r="Q118" i="13" s="1"/>
  <c r="Q108" i="13"/>
  <c r="Q119" i="13" s="1"/>
  <c r="AI105" i="13"/>
  <c r="AI116" i="13" s="1"/>
  <c r="Q106" i="13"/>
  <c r="Q117" i="13" s="1"/>
  <c r="P106" i="13"/>
  <c r="P117" i="13" s="1"/>
  <c r="S108" i="13"/>
  <c r="S119" i="13" s="1"/>
  <c r="P105" i="13"/>
  <c r="P116" i="13" s="1"/>
  <c r="AJ105" i="13"/>
  <c r="AJ116" i="13" s="1"/>
  <c r="T36" i="13"/>
  <c r="T37" i="13" s="1"/>
  <c r="T40" i="13" s="1"/>
  <c r="T42" i="13" s="1"/>
  <c r="T44" i="13" s="1"/>
  <c r="T46" i="13" s="1"/>
  <c r="T48" i="13" s="1"/>
  <c r="T50" i="13" s="1"/>
  <c r="T52" i="13" s="1"/>
  <c r="X105" i="13"/>
  <c r="X116" i="13" s="1"/>
  <c r="AJ113" i="13"/>
  <c r="AJ124" i="13" s="1"/>
  <c r="AJ106" i="13"/>
  <c r="AJ117" i="13" s="1"/>
  <c r="S107" i="13"/>
  <c r="S118" i="13" s="1"/>
  <c r="P113" i="13"/>
  <c r="P124" i="13" s="1"/>
  <c r="Y108" i="13"/>
  <c r="Y119" i="13" s="1"/>
  <c r="Y107" i="13"/>
  <c r="Y118" i="13" s="1"/>
  <c r="U133" i="13"/>
  <c r="U36" i="13"/>
  <c r="U37" i="13"/>
  <c r="U40" i="13" s="1"/>
  <c r="U42" i="13" s="1"/>
  <c r="U44" i="13" s="1"/>
  <c r="U46" i="13" s="1"/>
  <c r="U48" i="13" s="1"/>
  <c r="U50" i="13" s="1"/>
  <c r="U52" i="13" s="1"/>
  <c r="X106" i="13"/>
  <c r="X117" i="13" s="1"/>
  <c r="Y113" i="13"/>
  <c r="Y124" i="13" s="1"/>
  <c r="T108" i="13"/>
  <c r="T119" i="13" s="1"/>
  <c r="X113" i="13"/>
  <c r="X124" i="13" s="1"/>
  <c r="T105" i="13"/>
  <c r="T116" i="13" s="1"/>
  <c r="X108" i="13"/>
  <c r="X119" i="13" s="1"/>
  <c r="Y106" i="13"/>
  <c r="Y117" i="13" s="1"/>
  <c r="U113" i="13"/>
  <c r="U124" i="13" s="1"/>
  <c r="U106" i="13"/>
  <c r="U117" i="13" s="1"/>
  <c r="U108" i="13"/>
  <c r="U119" i="13" s="1"/>
  <c r="Y105" i="13"/>
  <c r="Y116" i="13" s="1"/>
  <c r="U105" i="13"/>
  <c r="U116" i="13" s="1"/>
  <c r="AJ118" i="12"/>
  <c r="AJ119" i="12" s="1"/>
  <c r="AJ120" i="12" s="1"/>
  <c r="Y118" i="12"/>
  <c r="Y119" i="12" s="1"/>
  <c r="Y120" i="12" s="1"/>
  <c r="P118" i="12"/>
  <c r="P119" i="12" s="1"/>
  <c r="P120" i="12" s="1"/>
  <c r="D118" i="12"/>
  <c r="D119" i="12" s="1"/>
  <c r="D120" i="12" s="1"/>
  <c r="AH118" i="12"/>
  <c r="AH119" i="12" s="1"/>
  <c r="AH120" i="12" s="1"/>
  <c r="U118" i="12"/>
  <c r="U119" i="12" s="1"/>
  <c r="U120" i="12" s="1"/>
  <c r="I118" i="12"/>
  <c r="I119" i="12" s="1"/>
  <c r="I120" i="12" s="1"/>
  <c r="AG118" i="12"/>
  <c r="AG119" i="12" s="1"/>
  <c r="AG120" i="12" s="1"/>
  <c r="T118" i="12"/>
  <c r="T119" i="12" s="1"/>
  <c r="T120" i="12" s="1"/>
  <c r="H118" i="12"/>
  <c r="H119" i="12" s="1"/>
  <c r="H120" i="12" s="1"/>
  <c r="AA118" i="12"/>
  <c r="AA119" i="12" s="1"/>
  <c r="AA120" i="12" s="1"/>
  <c r="F118" i="12"/>
  <c r="F119" i="12" s="1"/>
  <c r="F120" i="12" s="1"/>
  <c r="Q118" i="12"/>
  <c r="Q119" i="12" s="1"/>
  <c r="Q120" i="12" s="1"/>
  <c r="AI118" i="12"/>
  <c r="AI119" i="12" s="1"/>
  <c r="AI120" i="12" s="1"/>
  <c r="Z118" i="12"/>
  <c r="Z119" i="12" s="1"/>
  <c r="Z120" i="12" s="1"/>
  <c r="X118" i="12"/>
  <c r="X119" i="12" s="1"/>
  <c r="X120" i="12" s="1"/>
  <c r="E118" i="12"/>
  <c r="E119" i="12" s="1"/>
  <c r="E120" i="12" s="1"/>
  <c r="C87" i="12"/>
  <c r="S117" i="12"/>
  <c r="S118" i="12" s="1"/>
  <c r="S119" i="12" s="1"/>
  <c r="S120" i="12" s="1"/>
  <c r="S32" i="12"/>
  <c r="S33" i="12" s="1"/>
  <c r="S36" i="12" s="1"/>
  <c r="S38" i="12" s="1"/>
  <c r="S40" i="12" s="1"/>
  <c r="S42" i="12" s="1"/>
  <c r="S44" i="12" s="1"/>
  <c r="S46" i="12" s="1"/>
  <c r="S48" i="12" s="1"/>
  <c r="P97" i="12"/>
  <c r="P104" i="12" s="1"/>
  <c r="P99" i="12"/>
  <c r="P106" i="12" s="1"/>
  <c r="S98" i="12"/>
  <c r="S105" i="12" s="1"/>
  <c r="P98" i="12"/>
  <c r="P105" i="12" s="1"/>
  <c r="F101" i="12"/>
  <c r="F108" i="12" s="1"/>
  <c r="F109" i="12" s="1"/>
  <c r="D97" i="12"/>
  <c r="D104" i="12" s="1"/>
  <c r="D99" i="12"/>
  <c r="D106" i="12" s="1"/>
  <c r="AJ97" i="12"/>
  <c r="AJ104" i="12" s="1"/>
  <c r="AJ99" i="12"/>
  <c r="AJ106" i="12" s="1"/>
  <c r="J117" i="12"/>
  <c r="J118" i="12" s="1"/>
  <c r="J119" i="12" s="1"/>
  <c r="J120" i="12" s="1"/>
  <c r="J32" i="12"/>
  <c r="J33" i="12" s="1"/>
  <c r="J36" i="12" s="1"/>
  <c r="J38" i="12" s="1"/>
  <c r="J40" i="12" s="1"/>
  <c r="J42" i="12" s="1"/>
  <c r="J44" i="12" s="1"/>
  <c r="J46" i="12" s="1"/>
  <c r="J48" i="12" s="1"/>
  <c r="D101" i="12"/>
  <c r="D108" i="12" s="1"/>
  <c r="D100" i="12"/>
  <c r="D107" i="12" s="1"/>
  <c r="AG97" i="12"/>
  <c r="AG104" i="12" s="1"/>
  <c r="AA98" i="12"/>
  <c r="AA105" i="12" s="1"/>
  <c r="AA99" i="12"/>
  <c r="AA106" i="12" s="1"/>
  <c r="AA109" i="12" s="1"/>
  <c r="AA100" i="12"/>
  <c r="AA107" i="12" s="1"/>
  <c r="E109" i="12"/>
  <c r="H109" i="12"/>
  <c r="AG98" i="12"/>
  <c r="AG105" i="12" s="1"/>
  <c r="P101" i="12"/>
  <c r="P108" i="12" s="1"/>
  <c r="T97" i="12"/>
  <c r="T104" i="12" s="1"/>
  <c r="T109" i="12" s="1"/>
  <c r="P100" i="12"/>
  <c r="P107" i="12" s="1"/>
  <c r="D33" i="12"/>
  <c r="D36" i="12" s="1"/>
  <c r="D38" i="12" s="1"/>
  <c r="D40" i="12" s="1"/>
  <c r="D42" i="12" s="1"/>
  <c r="D44" i="12" s="1"/>
  <c r="D46" i="12" s="1"/>
  <c r="D48" i="12" s="1"/>
  <c r="AJ98" i="12"/>
  <c r="AJ105" i="12" s="1"/>
  <c r="J87" i="12"/>
  <c r="J99" i="12" s="1"/>
  <c r="J106" i="12" s="1"/>
  <c r="AG101" i="12"/>
  <c r="AG108" i="12" s="1"/>
  <c r="E101" i="12"/>
  <c r="E108" i="12" s="1"/>
  <c r="U101" i="12"/>
  <c r="U108" i="12" s="1"/>
  <c r="U98" i="12"/>
  <c r="U105" i="12" s="1"/>
  <c r="U109" i="12" s="1"/>
  <c r="U100" i="12"/>
  <c r="U107" i="12" s="1"/>
  <c r="S97" i="12"/>
  <c r="S104" i="12" s="1"/>
  <c r="S109" i="12" s="1"/>
  <c r="S99" i="12"/>
  <c r="S106" i="12" s="1"/>
  <c r="Y109" i="12"/>
  <c r="Q109" i="12"/>
  <c r="S100" i="12"/>
  <c r="S107" i="12" s="1"/>
  <c r="AG125" i="13" l="1"/>
  <c r="J125" i="13"/>
  <c r="I125" i="13"/>
  <c r="H125" i="13"/>
  <c r="Z125" i="13"/>
  <c r="S125" i="13"/>
  <c r="AI125" i="13"/>
  <c r="AH125" i="13"/>
  <c r="P125" i="13"/>
  <c r="AA125" i="13"/>
  <c r="Q125" i="13"/>
  <c r="Y125" i="13"/>
  <c r="X125" i="13"/>
  <c r="AJ125" i="13"/>
  <c r="U125" i="13"/>
  <c r="T125" i="13"/>
  <c r="C99" i="12"/>
  <c r="C106" i="12" s="1"/>
  <c r="C100" i="12"/>
  <c r="C107" i="12" s="1"/>
  <c r="C101" i="12"/>
  <c r="C108" i="12" s="1"/>
  <c r="C98" i="12"/>
  <c r="C105" i="12" s="1"/>
  <c r="C97" i="12"/>
  <c r="C104" i="12" s="1"/>
  <c r="D109" i="12"/>
  <c r="AG109" i="12"/>
  <c r="AJ109" i="12"/>
  <c r="J101" i="12"/>
  <c r="J108" i="12" s="1"/>
  <c r="J97" i="12"/>
  <c r="J104" i="12" s="1"/>
  <c r="J100" i="12"/>
  <c r="J107" i="12" s="1"/>
  <c r="J98" i="12"/>
  <c r="J105" i="12" s="1"/>
  <c r="C135" i="12"/>
  <c r="C136" i="12" s="1"/>
  <c r="P109" i="12"/>
  <c r="C109" i="12" l="1"/>
  <c r="J109" i="12"/>
  <c r="AA110" i="12" l="1"/>
  <c r="AA113" i="12" s="1"/>
  <c r="AA49" i="12" s="1"/>
  <c r="AA50" i="12" s="1"/>
  <c r="AA52" i="12" s="1"/>
  <c r="AA54" i="12" s="1"/>
  <c r="AA56" i="12" s="1"/>
  <c r="AA58" i="12" s="1"/>
  <c r="AA60" i="12" s="1"/>
  <c r="S110" i="12"/>
  <c r="S113" i="12" s="1"/>
  <c r="S49" i="12" s="1"/>
  <c r="S50" i="12" s="1"/>
  <c r="S52" i="12" s="1"/>
  <c r="S54" i="12" s="1"/>
  <c r="S56" i="12" s="1"/>
  <c r="S58" i="12" s="1"/>
  <c r="S60" i="12" s="1"/>
  <c r="F110" i="12"/>
  <c r="F113" i="12" s="1"/>
  <c r="F49" i="12" s="1"/>
  <c r="F50" i="12" s="1"/>
  <c r="F52" i="12" s="1"/>
  <c r="F54" i="12" s="1"/>
  <c r="F56" i="12" s="1"/>
  <c r="F58" i="12" s="1"/>
  <c r="F60" i="12" s="1"/>
  <c r="AJ110" i="12"/>
  <c r="AJ113" i="12" s="1"/>
  <c r="AJ49" i="12" s="1"/>
  <c r="AJ50" i="12" s="1"/>
  <c r="AJ52" i="12" s="1"/>
  <c r="AJ54" i="12" s="1"/>
  <c r="AJ56" i="12" s="1"/>
  <c r="AJ58" i="12" s="1"/>
  <c r="AJ60" i="12" s="1"/>
  <c r="Y110" i="12"/>
  <c r="Y113" i="12" s="1"/>
  <c r="Y49" i="12" s="1"/>
  <c r="Y50" i="12" s="1"/>
  <c r="Y52" i="12" s="1"/>
  <c r="Y54" i="12" s="1"/>
  <c r="Y56" i="12" s="1"/>
  <c r="Y58" i="12" s="1"/>
  <c r="Y60" i="12" s="1"/>
  <c r="P110" i="12"/>
  <c r="P113" i="12" s="1"/>
  <c r="P49" i="12" s="1"/>
  <c r="P50" i="12" s="1"/>
  <c r="P52" i="12" s="1"/>
  <c r="P54" i="12" s="1"/>
  <c r="P56" i="12" s="1"/>
  <c r="P58" i="12" s="1"/>
  <c r="P60" i="12" s="1"/>
  <c r="D110" i="12"/>
  <c r="D113" i="12" s="1"/>
  <c r="D49" i="12" s="1"/>
  <c r="D50" i="12" s="1"/>
  <c r="D52" i="12" s="1"/>
  <c r="D54" i="12" s="1"/>
  <c r="D56" i="12" s="1"/>
  <c r="D58" i="12" s="1"/>
  <c r="D60" i="12" s="1"/>
  <c r="AI110" i="12"/>
  <c r="AI113" i="12" s="1"/>
  <c r="AI49" i="12" s="1"/>
  <c r="AI50" i="12" s="1"/>
  <c r="AI52" i="12" s="1"/>
  <c r="AI54" i="12" s="1"/>
  <c r="AI56" i="12" s="1"/>
  <c r="AI58" i="12" s="1"/>
  <c r="AI60" i="12" s="1"/>
  <c r="X110" i="12"/>
  <c r="X113" i="12" s="1"/>
  <c r="X49" i="12" s="1"/>
  <c r="X50" i="12" s="1"/>
  <c r="X52" i="12" s="1"/>
  <c r="X54" i="12" s="1"/>
  <c r="X56" i="12" s="1"/>
  <c r="X58" i="12" s="1"/>
  <c r="X60" i="12" s="1"/>
  <c r="J110" i="12"/>
  <c r="J113" i="12" s="1"/>
  <c r="J49" i="12" s="1"/>
  <c r="J50" i="12" s="1"/>
  <c r="J52" i="12" s="1"/>
  <c r="J54" i="12" s="1"/>
  <c r="J56" i="12" s="1"/>
  <c r="J58" i="12" s="1"/>
  <c r="J60" i="12" s="1"/>
  <c r="AH110" i="12"/>
  <c r="AH113" i="12" s="1"/>
  <c r="AH49" i="12" s="1"/>
  <c r="AH50" i="12" s="1"/>
  <c r="AH52" i="12" s="1"/>
  <c r="AH54" i="12" s="1"/>
  <c r="AH56" i="12" s="1"/>
  <c r="AH58" i="12" s="1"/>
  <c r="AH60" i="12" s="1"/>
  <c r="I110" i="12"/>
  <c r="I113" i="12" s="1"/>
  <c r="I49" i="12" s="1"/>
  <c r="I50" i="12" s="1"/>
  <c r="I52" i="12" s="1"/>
  <c r="I54" i="12" s="1"/>
  <c r="I56" i="12" s="1"/>
  <c r="I58" i="12" s="1"/>
  <c r="I60" i="12" s="1"/>
  <c r="Q110" i="12"/>
  <c r="Q113" i="12" s="1"/>
  <c r="Q49" i="12" s="1"/>
  <c r="Q50" i="12" s="1"/>
  <c r="Q52" i="12" s="1"/>
  <c r="Q54" i="12" s="1"/>
  <c r="Q56" i="12" s="1"/>
  <c r="Q58" i="12" s="1"/>
  <c r="Q60" i="12" s="1"/>
  <c r="H110" i="12"/>
  <c r="H113" i="12" s="1"/>
  <c r="H49" i="12" s="1"/>
  <c r="H50" i="12" s="1"/>
  <c r="H52" i="12" s="1"/>
  <c r="H54" i="12" s="1"/>
  <c r="H56" i="12" s="1"/>
  <c r="H58" i="12" s="1"/>
  <c r="H60" i="12" s="1"/>
  <c r="AG110" i="12"/>
  <c r="AG113" i="12" s="1"/>
  <c r="AG49" i="12" s="1"/>
  <c r="AG50" i="12" s="1"/>
  <c r="AG52" i="12" s="1"/>
  <c r="AG54" i="12" s="1"/>
  <c r="AG56" i="12" s="1"/>
  <c r="AG58" i="12" s="1"/>
  <c r="AG60" i="12" s="1"/>
  <c r="E110" i="12"/>
  <c r="E113" i="12" s="1"/>
  <c r="E49" i="12" s="1"/>
  <c r="E50" i="12" s="1"/>
  <c r="E52" i="12" s="1"/>
  <c r="E54" i="12" s="1"/>
  <c r="E56" i="12" s="1"/>
  <c r="E58" i="12" s="1"/>
  <c r="E60" i="12" s="1"/>
  <c r="U110" i="12"/>
  <c r="U113" i="12" s="1"/>
  <c r="U49" i="12" s="1"/>
  <c r="U50" i="12" s="1"/>
  <c r="U52" i="12" s="1"/>
  <c r="U54" i="12" s="1"/>
  <c r="U56" i="12" s="1"/>
  <c r="U58" i="12" s="1"/>
  <c r="U60" i="12" s="1"/>
  <c r="T110" i="12"/>
  <c r="T113" i="12" s="1"/>
  <c r="T49" i="12" s="1"/>
  <c r="T50" i="12" s="1"/>
  <c r="T52" i="12" s="1"/>
  <c r="T54" i="12" s="1"/>
  <c r="T56" i="12" s="1"/>
  <c r="T58" i="12" s="1"/>
  <c r="T60" i="12" s="1"/>
  <c r="Z110" i="12"/>
  <c r="Z113" i="12" s="1"/>
  <c r="Z49" i="12" s="1"/>
  <c r="Z50" i="12" s="1"/>
  <c r="Z52" i="12" s="1"/>
  <c r="Z54" i="12" s="1"/>
  <c r="Z56" i="12" s="1"/>
  <c r="Z58" i="12" s="1"/>
  <c r="Z60" i="12" s="1"/>
  <c r="P123" i="12" l="1"/>
  <c r="P124" i="12" s="1"/>
  <c r="P61" i="12" s="1"/>
  <c r="P62" i="12" s="1"/>
  <c r="P64" i="12" s="1"/>
  <c r="P66" i="12" s="1"/>
  <c r="P68" i="12" s="1"/>
  <c r="P70" i="12" s="1"/>
  <c r="P72" i="12" s="1"/>
  <c r="P73" i="12" s="1"/>
  <c r="P121" i="12"/>
  <c r="Y123" i="12"/>
  <c r="Y124" i="12" s="1"/>
  <c r="Y61" i="12" s="1"/>
  <c r="Y62" i="12" s="1"/>
  <c r="Y64" i="12" s="1"/>
  <c r="Y66" i="12" s="1"/>
  <c r="Y68" i="12" s="1"/>
  <c r="Y70" i="12" s="1"/>
  <c r="Y72" i="12" s="1"/>
  <c r="Y73" i="12" s="1"/>
  <c r="Y121" i="12"/>
  <c r="J123" i="12"/>
  <c r="J124" i="12" s="1"/>
  <c r="J61" i="12" s="1"/>
  <c r="J62" i="12" s="1"/>
  <c r="J64" i="12" s="1"/>
  <c r="J66" i="12" s="1"/>
  <c r="J68" i="12" s="1"/>
  <c r="J70" i="12" s="1"/>
  <c r="J72" i="12" s="1"/>
  <c r="J73" i="12" s="1"/>
  <c r="J121" i="12"/>
  <c r="AG123" i="12"/>
  <c r="AG124" i="12" s="1"/>
  <c r="AG61" i="12" s="1"/>
  <c r="AG62" i="12" s="1"/>
  <c r="AG64" i="12" s="1"/>
  <c r="AG66" i="12" s="1"/>
  <c r="AG68" i="12" s="1"/>
  <c r="AG70" i="12" s="1"/>
  <c r="AG72" i="12" s="1"/>
  <c r="AG73" i="12" s="1"/>
  <c r="AG121" i="12"/>
  <c r="X123" i="12"/>
  <c r="X124" i="12" s="1"/>
  <c r="X61" i="12" s="1"/>
  <c r="X62" i="12" s="1"/>
  <c r="X64" i="12" s="1"/>
  <c r="X66" i="12" s="1"/>
  <c r="X68" i="12" s="1"/>
  <c r="X70" i="12" s="1"/>
  <c r="X72" i="12" s="1"/>
  <c r="X73" i="12" s="1"/>
  <c r="X121" i="12"/>
  <c r="F123" i="12"/>
  <c r="F124" i="12" s="1"/>
  <c r="F61" i="12" s="1"/>
  <c r="F62" i="12" s="1"/>
  <c r="F64" i="12" s="1"/>
  <c r="F66" i="12" s="1"/>
  <c r="F68" i="12" s="1"/>
  <c r="F70" i="12" s="1"/>
  <c r="F72" i="12" s="1"/>
  <c r="F73" i="12" s="1"/>
  <c r="F121" i="12"/>
  <c r="T123" i="12"/>
  <c r="T124" i="12" s="1"/>
  <c r="T61" i="12" s="1"/>
  <c r="T62" i="12" s="1"/>
  <c r="T64" i="12" s="1"/>
  <c r="T66" i="12" s="1"/>
  <c r="T68" i="12" s="1"/>
  <c r="T70" i="12" s="1"/>
  <c r="T72" i="12" s="1"/>
  <c r="T73" i="12" s="1"/>
  <c r="T121" i="12"/>
  <c r="U123" i="12"/>
  <c r="U124" i="12" s="1"/>
  <c r="U61" i="12" s="1"/>
  <c r="U62" i="12" s="1"/>
  <c r="U64" i="12" s="1"/>
  <c r="U66" i="12" s="1"/>
  <c r="U68" i="12" s="1"/>
  <c r="U70" i="12" s="1"/>
  <c r="U72" i="12" s="1"/>
  <c r="U73" i="12" s="1"/>
  <c r="U121" i="12"/>
  <c r="E121" i="12"/>
  <c r="E123" i="12"/>
  <c r="E124" i="12" s="1"/>
  <c r="E61" i="12" s="1"/>
  <c r="E62" i="12" s="1"/>
  <c r="E64" i="12" s="1"/>
  <c r="E66" i="12" s="1"/>
  <c r="E68" i="12" s="1"/>
  <c r="E70" i="12" s="1"/>
  <c r="E72" i="12" s="1"/>
  <c r="E73" i="12" s="1"/>
  <c r="H121" i="12"/>
  <c r="H123" i="12"/>
  <c r="H124" i="12" s="1"/>
  <c r="H61" i="12" s="1"/>
  <c r="H62" i="12" s="1"/>
  <c r="H64" i="12" s="1"/>
  <c r="H66" i="12" s="1"/>
  <c r="H68" i="12" s="1"/>
  <c r="H70" i="12" s="1"/>
  <c r="H72" i="12" s="1"/>
  <c r="H73" i="12" s="1"/>
  <c r="AI123" i="12"/>
  <c r="AI124" i="12" s="1"/>
  <c r="AI61" i="12" s="1"/>
  <c r="AI62" i="12" s="1"/>
  <c r="AI64" i="12" s="1"/>
  <c r="AI66" i="12" s="1"/>
  <c r="AI68" i="12" s="1"/>
  <c r="AI70" i="12" s="1"/>
  <c r="AI72" i="12" s="1"/>
  <c r="AI73" i="12" s="1"/>
  <c r="AI121" i="12"/>
  <c r="S123" i="12"/>
  <c r="S124" i="12" s="1"/>
  <c r="S61" i="12" s="1"/>
  <c r="S62" i="12" s="1"/>
  <c r="S64" i="12" s="1"/>
  <c r="S66" i="12" s="1"/>
  <c r="S68" i="12" s="1"/>
  <c r="S70" i="12" s="1"/>
  <c r="S72" i="12" s="1"/>
  <c r="S73" i="12" s="1"/>
  <c r="S121" i="12"/>
  <c r="I121" i="12"/>
  <c r="I123" i="12"/>
  <c r="I124" i="12" s="1"/>
  <c r="I61" i="12" s="1"/>
  <c r="I62" i="12" s="1"/>
  <c r="I64" i="12" s="1"/>
  <c r="I66" i="12" s="1"/>
  <c r="I68" i="12" s="1"/>
  <c r="I70" i="12" s="1"/>
  <c r="I72" i="12" s="1"/>
  <c r="I73" i="12" s="1"/>
  <c r="AH123" i="12"/>
  <c r="AH124" i="12" s="1"/>
  <c r="AH61" i="12" s="1"/>
  <c r="AH62" i="12" s="1"/>
  <c r="AH64" i="12" s="1"/>
  <c r="AH66" i="12" s="1"/>
  <c r="AH68" i="12" s="1"/>
  <c r="AH70" i="12" s="1"/>
  <c r="AH72" i="12" s="1"/>
  <c r="AH73" i="12" s="1"/>
  <c r="AH121" i="12"/>
  <c r="AJ123" i="12"/>
  <c r="AJ124" i="12" s="1"/>
  <c r="AJ61" i="12" s="1"/>
  <c r="AJ62" i="12" s="1"/>
  <c r="AJ64" i="12" s="1"/>
  <c r="AJ66" i="12" s="1"/>
  <c r="AJ68" i="12" s="1"/>
  <c r="AJ70" i="12" s="1"/>
  <c r="AJ72" i="12" s="1"/>
  <c r="AJ73" i="12" s="1"/>
  <c r="AJ121" i="12"/>
  <c r="Z121" i="12"/>
  <c r="Z123" i="12"/>
  <c r="Z124" i="12" s="1"/>
  <c r="Z61" i="12" s="1"/>
  <c r="Z62" i="12" s="1"/>
  <c r="Z64" i="12" s="1"/>
  <c r="Z66" i="12" s="1"/>
  <c r="Z68" i="12" s="1"/>
  <c r="Z70" i="12" s="1"/>
  <c r="Z72" i="12" s="1"/>
  <c r="Z73" i="12" s="1"/>
  <c r="Q121" i="12"/>
  <c r="Q123" i="12"/>
  <c r="Q124" i="12" s="1"/>
  <c r="Q61" i="12" s="1"/>
  <c r="Q62" i="12" s="1"/>
  <c r="Q64" i="12" s="1"/>
  <c r="Q66" i="12" s="1"/>
  <c r="Q68" i="12" s="1"/>
  <c r="Q70" i="12" s="1"/>
  <c r="Q72" i="12" s="1"/>
  <c r="Q73" i="12" s="1"/>
  <c r="D123" i="12"/>
  <c r="D124" i="12" s="1"/>
  <c r="D61" i="12" s="1"/>
  <c r="D62" i="12" s="1"/>
  <c r="D64" i="12" s="1"/>
  <c r="D66" i="12" s="1"/>
  <c r="D68" i="12" s="1"/>
  <c r="D70" i="12" s="1"/>
  <c r="D72" i="12" s="1"/>
  <c r="D121" i="12"/>
  <c r="AA123" i="12"/>
  <c r="AA124" i="12" s="1"/>
  <c r="AA61" i="12" s="1"/>
  <c r="AA62" i="12" s="1"/>
  <c r="AA64" i="12" s="1"/>
  <c r="AA66" i="12" s="1"/>
  <c r="AA68" i="12" s="1"/>
  <c r="AA70" i="12" s="1"/>
  <c r="AA72" i="12" s="1"/>
  <c r="AA73" i="12" s="1"/>
  <c r="AA121" i="12"/>
  <c r="D73" i="12" l="1"/>
  <c r="C75" i="12"/>
  <c r="C77" i="12" l="1"/>
  <c r="C78" i="12" s="1"/>
  <c r="C76" i="12"/>
  <c r="A99" i="11" l="1"/>
  <c r="A100" i="11"/>
  <c r="A101" i="11"/>
  <c r="A102" i="11"/>
  <c r="A103" i="11"/>
  <c r="A104" i="11"/>
  <c r="A105" i="11"/>
  <c r="A106" i="11"/>
  <c r="A98" i="11"/>
  <c r="A15" i="11"/>
  <c r="A88" i="11" s="1"/>
  <c r="A16" i="11"/>
  <c r="A89" i="11" s="1"/>
  <c r="A17" i="11"/>
  <c r="A90" i="11" s="1"/>
  <c r="A18" i="11"/>
  <c r="A91" i="11" s="1"/>
  <c r="A19" i="11"/>
  <c r="A92" i="11" s="1"/>
  <c r="A20" i="11"/>
  <c r="A93" i="11" s="1"/>
  <c r="A21" i="11"/>
  <c r="A94" i="11" s="1"/>
  <c r="A22" i="11"/>
  <c r="A95" i="11" s="1"/>
  <c r="A14" i="11"/>
  <c r="A87" i="11" s="1"/>
  <c r="L120" i="11"/>
  <c r="L121" i="11" s="1"/>
  <c r="K120" i="11"/>
  <c r="K121" i="11" s="1"/>
  <c r="AA95" i="11"/>
  <c r="Z95" i="11"/>
  <c r="Y95" i="11"/>
  <c r="X95" i="11"/>
  <c r="W95" i="11"/>
  <c r="V95" i="11"/>
  <c r="U95" i="11"/>
  <c r="T95" i="11"/>
  <c r="S95" i="11"/>
  <c r="R95" i="11"/>
  <c r="Q95" i="11"/>
  <c r="P95" i="11"/>
  <c r="O95" i="11"/>
  <c r="N95" i="11"/>
  <c r="M95" i="11"/>
  <c r="L95" i="11"/>
  <c r="K95" i="11"/>
  <c r="J95" i="11"/>
  <c r="I95" i="11"/>
  <c r="H95" i="11"/>
  <c r="G95" i="11"/>
  <c r="AA89" i="11"/>
  <c r="Z89" i="11"/>
  <c r="Y89" i="11"/>
  <c r="X89" i="11"/>
  <c r="W89" i="11"/>
  <c r="V89" i="11"/>
  <c r="U89" i="11"/>
  <c r="T89" i="11"/>
  <c r="S89" i="11"/>
  <c r="R89" i="11"/>
  <c r="Q89" i="11"/>
  <c r="P89" i="11"/>
  <c r="O89" i="11"/>
  <c r="N89" i="11"/>
  <c r="M89" i="11"/>
  <c r="L89" i="11"/>
  <c r="K89" i="11"/>
  <c r="J89" i="11"/>
  <c r="I89" i="11"/>
  <c r="H89" i="11"/>
  <c r="G89" i="11"/>
  <c r="AA88" i="11"/>
  <c r="Z88" i="11"/>
  <c r="Y88" i="11"/>
  <c r="X88" i="11"/>
  <c r="W88" i="11"/>
  <c r="V88" i="11"/>
  <c r="U88" i="11"/>
  <c r="T88" i="11"/>
  <c r="S88" i="11"/>
  <c r="R88" i="11"/>
  <c r="Q88" i="11"/>
  <c r="P88" i="11"/>
  <c r="O88" i="11"/>
  <c r="N88" i="11"/>
  <c r="M88" i="11"/>
  <c r="L88" i="11"/>
  <c r="K88" i="11"/>
  <c r="I88" i="11"/>
  <c r="H88" i="11"/>
  <c r="G88" i="11"/>
  <c r="AA87" i="11"/>
  <c r="Z87" i="11"/>
  <c r="Y87" i="11"/>
  <c r="X87" i="11"/>
  <c r="W87" i="11"/>
  <c r="V87" i="11"/>
  <c r="U87" i="11"/>
  <c r="T87" i="11"/>
  <c r="S87" i="11"/>
  <c r="R87" i="11"/>
  <c r="Q87" i="11"/>
  <c r="P87" i="11"/>
  <c r="O87" i="11"/>
  <c r="N87" i="11"/>
  <c r="M87" i="11"/>
  <c r="L87" i="11"/>
  <c r="K87" i="11"/>
  <c r="I87" i="11"/>
  <c r="H87" i="11"/>
  <c r="G87" i="11"/>
  <c r="A86" i="11"/>
  <c r="AA39" i="11"/>
  <c r="Z39" i="11"/>
  <c r="Y39" i="11"/>
  <c r="X39" i="11"/>
  <c r="W39" i="11"/>
  <c r="V39" i="11"/>
  <c r="U39" i="11"/>
  <c r="T39" i="11"/>
  <c r="S39" i="11"/>
  <c r="R39" i="11"/>
  <c r="Q39" i="11"/>
  <c r="P39" i="11"/>
  <c r="O39" i="11"/>
  <c r="N39" i="11"/>
  <c r="M39" i="11"/>
  <c r="L39" i="11"/>
  <c r="K39" i="11"/>
  <c r="J39" i="11"/>
  <c r="I39" i="11"/>
  <c r="H39" i="11"/>
  <c r="G39" i="11"/>
  <c r="E39" i="11"/>
  <c r="D39" i="11"/>
  <c r="C39" i="11"/>
  <c r="AA36" i="11"/>
  <c r="Z36" i="11"/>
  <c r="Y36" i="11"/>
  <c r="X36" i="11"/>
  <c r="W36" i="11"/>
  <c r="V36" i="11"/>
  <c r="U36" i="11"/>
  <c r="T36" i="11"/>
  <c r="S36" i="11"/>
  <c r="R36" i="11"/>
  <c r="P36" i="11"/>
  <c r="O36" i="11"/>
  <c r="N36" i="11"/>
  <c r="M36" i="11"/>
  <c r="L36" i="11"/>
  <c r="K36" i="11"/>
  <c r="J36" i="11"/>
  <c r="I36" i="11"/>
  <c r="H36" i="11"/>
  <c r="G36" i="11"/>
  <c r="E36" i="11"/>
  <c r="D36" i="11"/>
  <c r="C36" i="11"/>
  <c r="Q35" i="11"/>
  <c r="Q36" i="11" s="1"/>
  <c r="S27" i="11"/>
  <c r="R27" i="11"/>
  <c r="Q27" i="11"/>
  <c r="J14" i="11"/>
  <c r="AA13" i="11"/>
  <c r="AA124" i="11" s="1"/>
  <c r="Z13" i="11"/>
  <c r="Z124" i="11" s="1"/>
  <c r="Y13" i="11"/>
  <c r="Y37" i="11" s="1"/>
  <c r="Y38" i="11" s="1"/>
  <c r="Y41" i="11" s="1"/>
  <c r="Y43" i="11" s="1"/>
  <c r="Y45" i="11" s="1"/>
  <c r="Y47" i="11" s="1"/>
  <c r="Y49" i="11" s="1"/>
  <c r="Y51" i="11" s="1"/>
  <c r="Y53" i="11" s="1"/>
  <c r="X13" i="11"/>
  <c r="W13" i="11"/>
  <c r="V13" i="11"/>
  <c r="U13" i="11"/>
  <c r="T13" i="11"/>
  <c r="T124" i="11" s="1"/>
  <c r="S13" i="11"/>
  <c r="S86" i="11" s="1"/>
  <c r="R13" i="11"/>
  <c r="R37" i="11" s="1"/>
  <c r="R38" i="11" s="1"/>
  <c r="R41" i="11" s="1"/>
  <c r="R43" i="11" s="1"/>
  <c r="R45" i="11" s="1"/>
  <c r="R47" i="11" s="1"/>
  <c r="R49" i="11" s="1"/>
  <c r="R51" i="11" s="1"/>
  <c r="R53" i="11" s="1"/>
  <c r="R55" i="11" s="1"/>
  <c r="R57" i="11" s="1"/>
  <c r="R59" i="11" s="1"/>
  <c r="R61" i="11" s="1"/>
  <c r="R63" i="11" s="1"/>
  <c r="R65" i="11" s="1"/>
  <c r="R67" i="11" s="1"/>
  <c r="R69" i="11" s="1"/>
  <c r="R71" i="11" s="1"/>
  <c r="R73" i="11" s="1"/>
  <c r="R75" i="11" s="1"/>
  <c r="R76" i="11" s="1"/>
  <c r="Q13" i="11"/>
  <c r="P13" i="11"/>
  <c r="O13" i="11"/>
  <c r="O124" i="11" s="1"/>
  <c r="N13" i="11"/>
  <c r="N124" i="11" s="1"/>
  <c r="M13" i="11"/>
  <c r="M124" i="11" s="1"/>
  <c r="L13" i="11"/>
  <c r="K13" i="11"/>
  <c r="K124" i="11" s="1"/>
  <c r="I13" i="11"/>
  <c r="I124" i="11" s="1"/>
  <c r="H13" i="11"/>
  <c r="H124" i="11" s="1"/>
  <c r="G13" i="11"/>
  <c r="G124" i="11" s="1"/>
  <c r="AA6" i="11"/>
  <c r="Z6" i="11"/>
  <c r="Y6" i="11"/>
  <c r="X6" i="11"/>
  <c r="W6" i="11"/>
  <c r="V6" i="11"/>
  <c r="U6" i="11"/>
  <c r="T6" i="11"/>
  <c r="S6" i="11"/>
  <c r="R6" i="11"/>
  <c r="Q6" i="11"/>
  <c r="P6" i="11"/>
  <c r="O6" i="11"/>
  <c r="N6" i="11"/>
  <c r="M6" i="11"/>
  <c r="L6" i="11"/>
  <c r="K6" i="11"/>
  <c r="J6" i="11"/>
  <c r="I6" i="11"/>
  <c r="H6" i="11"/>
  <c r="G6" i="11"/>
  <c r="E6" i="11"/>
  <c r="D6" i="11"/>
  <c r="C6" i="11"/>
  <c r="B6" i="11"/>
  <c r="AA107" i="10"/>
  <c r="I107" i="10"/>
  <c r="AA106" i="10"/>
  <c r="X106" i="10"/>
  <c r="X107" i="10" s="1"/>
  <c r="W106" i="10"/>
  <c r="W107" i="10" s="1"/>
  <c r="U106" i="10"/>
  <c r="U107" i="10" s="1"/>
  <c r="O106" i="10"/>
  <c r="O107" i="10" s="1"/>
  <c r="L106" i="10"/>
  <c r="L107" i="10" s="1"/>
  <c r="K106" i="10"/>
  <c r="K107" i="10" s="1"/>
  <c r="I106" i="10"/>
  <c r="E106" i="10"/>
  <c r="E107" i="10" s="1"/>
  <c r="D106" i="10"/>
  <c r="D107" i="10" s="1"/>
  <c r="Q98" i="10"/>
  <c r="Q103" i="10" s="1"/>
  <c r="R97" i="10"/>
  <c r="R102" i="10" s="1"/>
  <c r="L97" i="10"/>
  <c r="L102" i="10" s="1"/>
  <c r="M96" i="10"/>
  <c r="M101" i="10" s="1"/>
  <c r="AA92" i="10"/>
  <c r="Z92" i="10"/>
  <c r="Y92" i="10"/>
  <c r="X92" i="10"/>
  <c r="W92" i="10"/>
  <c r="V92" i="10"/>
  <c r="U92" i="10"/>
  <c r="T92" i="10"/>
  <c r="S92" i="10"/>
  <c r="R92" i="10"/>
  <c r="Q92" i="10"/>
  <c r="P92" i="10"/>
  <c r="O92" i="10"/>
  <c r="N92" i="10"/>
  <c r="M92" i="10"/>
  <c r="L92" i="10"/>
  <c r="K92" i="10"/>
  <c r="J92" i="10"/>
  <c r="I92" i="10"/>
  <c r="H92" i="10"/>
  <c r="G92" i="10"/>
  <c r="E92" i="10"/>
  <c r="D92" i="10"/>
  <c r="C92" i="10"/>
  <c r="A92" i="10"/>
  <c r="AA91" i="10"/>
  <c r="Z91" i="10"/>
  <c r="Y91" i="10"/>
  <c r="X91" i="10"/>
  <c r="W91" i="10"/>
  <c r="V91" i="10"/>
  <c r="U91" i="10"/>
  <c r="T91" i="10"/>
  <c r="S91" i="10"/>
  <c r="R91" i="10"/>
  <c r="Q91" i="10"/>
  <c r="P91" i="10"/>
  <c r="O91" i="10"/>
  <c r="N91" i="10"/>
  <c r="N97" i="10" s="1"/>
  <c r="N102" i="10" s="1"/>
  <c r="M91" i="10"/>
  <c r="L91" i="10"/>
  <c r="K91" i="10"/>
  <c r="J91" i="10"/>
  <c r="I91" i="10"/>
  <c r="H91" i="10"/>
  <c r="G91" i="10"/>
  <c r="E91" i="10"/>
  <c r="D91" i="10"/>
  <c r="C91" i="10"/>
  <c r="A91" i="10"/>
  <c r="AA90" i="10"/>
  <c r="Z90" i="10"/>
  <c r="Y90" i="10"/>
  <c r="X90" i="10"/>
  <c r="W90" i="10"/>
  <c r="V90" i="10"/>
  <c r="U90" i="10"/>
  <c r="T90" i="10"/>
  <c r="S90" i="10"/>
  <c r="S96" i="10" s="1"/>
  <c r="S101" i="10" s="1"/>
  <c r="R90" i="10"/>
  <c r="Q90" i="10"/>
  <c r="P90" i="10"/>
  <c r="O90" i="10"/>
  <c r="N90" i="10"/>
  <c r="M90" i="10"/>
  <c r="M88" i="10" s="1"/>
  <c r="M97" i="10" s="1"/>
  <c r="M102" i="10" s="1"/>
  <c r="L90" i="10"/>
  <c r="K90" i="10"/>
  <c r="I90" i="10"/>
  <c r="H90" i="10"/>
  <c r="G90" i="10"/>
  <c r="G88" i="10" s="1"/>
  <c r="G97" i="10" s="1"/>
  <c r="G102" i="10" s="1"/>
  <c r="D90" i="10"/>
  <c r="C90" i="10"/>
  <c r="A90" i="10"/>
  <c r="AA89" i="10"/>
  <c r="Z89" i="10"/>
  <c r="Y89" i="10"/>
  <c r="X89" i="10"/>
  <c r="X95" i="10" s="1"/>
  <c r="X100" i="10" s="1"/>
  <c r="W89" i="10"/>
  <c r="V89" i="10"/>
  <c r="U89" i="10"/>
  <c r="T89" i="10"/>
  <c r="S89" i="10"/>
  <c r="R89" i="10"/>
  <c r="R95" i="10" s="1"/>
  <c r="R100" i="10" s="1"/>
  <c r="Q89" i="10"/>
  <c r="P89" i="10"/>
  <c r="O89" i="10"/>
  <c r="N89" i="10"/>
  <c r="N95" i="10" s="1"/>
  <c r="N100" i="10" s="1"/>
  <c r="M89" i="10"/>
  <c r="L89" i="10"/>
  <c r="L95" i="10" s="1"/>
  <c r="L100" i="10" s="1"/>
  <c r="K89" i="10"/>
  <c r="I89" i="10"/>
  <c r="H89" i="10"/>
  <c r="G89" i="10"/>
  <c r="E89" i="10"/>
  <c r="D89" i="10"/>
  <c r="C89" i="10"/>
  <c r="A89" i="10"/>
  <c r="X88" i="10"/>
  <c r="X98" i="10" s="1"/>
  <c r="X103" i="10" s="1"/>
  <c r="R88" i="10"/>
  <c r="R98" i="10" s="1"/>
  <c r="R103" i="10" s="1"/>
  <c r="Q88" i="10"/>
  <c r="N88" i="10"/>
  <c r="L88" i="10"/>
  <c r="L98" i="10" s="1"/>
  <c r="L103" i="10" s="1"/>
  <c r="K88" i="10"/>
  <c r="K98" i="10" s="1"/>
  <c r="K103" i="10" s="1"/>
  <c r="A88" i="10"/>
  <c r="AA35" i="10"/>
  <c r="Z35" i="10"/>
  <c r="Y35" i="10"/>
  <c r="X35" i="10"/>
  <c r="W35" i="10"/>
  <c r="V35" i="10"/>
  <c r="U35" i="10"/>
  <c r="T35" i="10"/>
  <c r="S35" i="10"/>
  <c r="R35" i="10"/>
  <c r="Q35" i="10"/>
  <c r="P35" i="10"/>
  <c r="O35" i="10"/>
  <c r="N35" i="10"/>
  <c r="M35" i="10"/>
  <c r="L35" i="10"/>
  <c r="K35" i="10"/>
  <c r="J35" i="10"/>
  <c r="I35" i="10"/>
  <c r="H35" i="10"/>
  <c r="G35" i="10"/>
  <c r="E35" i="10"/>
  <c r="D35" i="10"/>
  <c r="C35" i="10"/>
  <c r="Y33" i="10"/>
  <c r="Y34" i="10" s="1"/>
  <c r="Y37" i="10" s="1"/>
  <c r="Y39" i="10" s="1"/>
  <c r="Y41" i="10" s="1"/>
  <c r="Y43" i="10" s="1"/>
  <c r="Y45" i="10" s="1"/>
  <c r="Y47" i="10" s="1"/>
  <c r="Y49" i="10" s="1"/>
  <c r="P33" i="10"/>
  <c r="P34" i="10" s="1"/>
  <c r="P37" i="10" s="1"/>
  <c r="P39" i="10" s="1"/>
  <c r="P41" i="10" s="1"/>
  <c r="P43" i="10" s="1"/>
  <c r="P45" i="10" s="1"/>
  <c r="P47" i="10" s="1"/>
  <c r="P49" i="10" s="1"/>
  <c r="C33" i="10"/>
  <c r="C34" i="10" s="1"/>
  <c r="C37" i="10" s="1"/>
  <c r="C39" i="10" s="1"/>
  <c r="C41" i="10" s="1"/>
  <c r="C43" i="10" s="1"/>
  <c r="C45" i="10" s="1"/>
  <c r="C47" i="10" s="1"/>
  <c r="C49" i="10" s="1"/>
  <c r="AA32" i="10"/>
  <c r="Z32" i="10"/>
  <c r="Y32" i="10"/>
  <c r="X32" i="10"/>
  <c r="W32" i="10"/>
  <c r="V32" i="10"/>
  <c r="U32" i="10"/>
  <c r="T32" i="10"/>
  <c r="S32" i="10"/>
  <c r="R32" i="10"/>
  <c r="P32" i="10"/>
  <c r="O32" i="10"/>
  <c r="N32" i="10"/>
  <c r="M32" i="10"/>
  <c r="L32" i="10"/>
  <c r="K32" i="10"/>
  <c r="J32" i="10"/>
  <c r="I32" i="10"/>
  <c r="H32" i="10"/>
  <c r="G32" i="10"/>
  <c r="E32" i="10"/>
  <c r="D32" i="10"/>
  <c r="C32" i="10"/>
  <c r="Q31" i="10"/>
  <c r="Q32" i="10" s="1"/>
  <c r="S23" i="10"/>
  <c r="R23" i="10"/>
  <c r="R110" i="10" s="1"/>
  <c r="Q23" i="10"/>
  <c r="B92" i="10"/>
  <c r="B91" i="10"/>
  <c r="J15" i="10"/>
  <c r="J90" i="10" s="1"/>
  <c r="E15" i="10"/>
  <c r="E90" i="10" s="1"/>
  <c r="B90" i="10"/>
  <c r="J14" i="10"/>
  <c r="J89" i="10" s="1"/>
  <c r="B89" i="10"/>
  <c r="AA13" i="10"/>
  <c r="Z13" i="10"/>
  <c r="Y13" i="10"/>
  <c r="X13" i="10"/>
  <c r="W13" i="10"/>
  <c r="V13" i="10"/>
  <c r="U13" i="10"/>
  <c r="T13" i="10"/>
  <c r="S13" i="10"/>
  <c r="S88" i="10" s="1"/>
  <c r="S97" i="10" s="1"/>
  <c r="S102" i="10" s="1"/>
  <c r="R13" i="10"/>
  <c r="R33" i="10" s="1"/>
  <c r="R34" i="10" s="1"/>
  <c r="R37" i="10" s="1"/>
  <c r="R39" i="10" s="1"/>
  <c r="R41" i="10" s="1"/>
  <c r="R43" i="10" s="1"/>
  <c r="R45" i="10" s="1"/>
  <c r="R47" i="10" s="1"/>
  <c r="R49" i="10" s="1"/>
  <c r="R51" i="10" s="1"/>
  <c r="R53" i="10" s="1"/>
  <c r="R55" i="10" s="1"/>
  <c r="R57" i="10" s="1"/>
  <c r="R59" i="10" s="1"/>
  <c r="R61" i="10" s="1"/>
  <c r="R63" i="10" s="1"/>
  <c r="R65" i="10" s="1"/>
  <c r="R67" i="10" s="1"/>
  <c r="R69" i="10" s="1"/>
  <c r="R71" i="10" s="1"/>
  <c r="R72" i="10" s="1"/>
  <c r="Q13" i="10"/>
  <c r="P13" i="10"/>
  <c r="P110" i="10" s="1"/>
  <c r="O13" i="10"/>
  <c r="N13" i="10"/>
  <c r="M13" i="10"/>
  <c r="M110" i="10" s="1"/>
  <c r="L13" i="10"/>
  <c r="K13" i="10"/>
  <c r="K110" i="10" s="1"/>
  <c r="I13" i="10"/>
  <c r="H13" i="10"/>
  <c r="G13" i="10"/>
  <c r="G110" i="10" s="1"/>
  <c r="E13" i="10"/>
  <c r="D13" i="10"/>
  <c r="D110" i="10" s="1"/>
  <c r="C13" i="10"/>
  <c r="C110" i="10" s="1"/>
  <c r="AA6" i="10"/>
  <c r="Z6" i="10"/>
  <c r="Y6" i="10"/>
  <c r="X6" i="10"/>
  <c r="W6" i="10"/>
  <c r="V6" i="10"/>
  <c r="U6" i="10"/>
  <c r="T6" i="10"/>
  <c r="S6" i="10"/>
  <c r="R6" i="10"/>
  <c r="Q6" i="10"/>
  <c r="P6" i="10"/>
  <c r="O6" i="10"/>
  <c r="N6" i="10"/>
  <c r="M6" i="10"/>
  <c r="L6" i="10"/>
  <c r="K6" i="10"/>
  <c r="J6" i="10"/>
  <c r="I6" i="10"/>
  <c r="H6" i="10"/>
  <c r="G6" i="10"/>
  <c r="E6" i="10"/>
  <c r="D6" i="10"/>
  <c r="C6" i="10"/>
  <c r="B6" i="10"/>
  <c r="F58" i="4" a="1"/>
  <c r="F58" i="4" s="1"/>
  <c r="H58" i="4" a="1"/>
  <c r="H58" i="4" s="1"/>
  <c r="J58" i="4" a="1"/>
  <c r="J58" i="4" s="1"/>
  <c r="L58" i="4" a="1"/>
  <c r="L58" i="4" s="1"/>
  <c r="N58" i="4" a="1"/>
  <c r="N58" i="4" s="1"/>
  <c r="P58" i="4" a="1"/>
  <c r="P58" i="4" s="1"/>
  <c r="R58" i="4" a="1"/>
  <c r="R58" i="4" s="1"/>
  <c r="T58" i="4" a="1"/>
  <c r="T58" i="4" s="1"/>
  <c r="F57" i="4" a="1"/>
  <c r="F57" i="4" s="1"/>
  <c r="H57" i="4" a="1"/>
  <c r="H57" i="4" s="1"/>
  <c r="J57" i="4" a="1"/>
  <c r="J57" i="4" s="1"/>
  <c r="L57" i="4" a="1"/>
  <c r="L57" i="4" s="1"/>
  <c r="N57" i="4" a="1"/>
  <c r="N57" i="4" s="1"/>
  <c r="P57" i="4" a="1"/>
  <c r="P57" i="4" s="1"/>
  <c r="R57" i="4" a="1"/>
  <c r="R57" i="4" s="1"/>
  <c r="T57" i="4" a="1"/>
  <c r="T57" i="4" s="1"/>
  <c r="F56" i="4" a="1"/>
  <c r="F56" i="4" s="1"/>
  <c r="H56" i="4" a="1"/>
  <c r="H56" i="4" s="1"/>
  <c r="J56" i="4" a="1"/>
  <c r="J56" i="4" s="1"/>
  <c r="L56" i="4" a="1"/>
  <c r="L56" i="4" s="1"/>
  <c r="N56" i="4" a="1"/>
  <c r="N56" i="4" s="1"/>
  <c r="P56" i="4" a="1"/>
  <c r="P56" i="4" s="1"/>
  <c r="R56" i="4" a="1"/>
  <c r="R56" i="4" s="1"/>
  <c r="T56" i="4" a="1"/>
  <c r="T56" i="4" s="1"/>
  <c r="F55" i="4" a="1"/>
  <c r="F55" i="4" s="1"/>
  <c r="H55" i="4" a="1"/>
  <c r="H55" i="4" s="1"/>
  <c r="J55" i="4" a="1"/>
  <c r="J55" i="4" s="1"/>
  <c r="L55" i="4" a="1"/>
  <c r="L55" i="4" s="1"/>
  <c r="N55" i="4" a="1"/>
  <c r="N55" i="4" s="1"/>
  <c r="P55" i="4" a="1"/>
  <c r="P55" i="4" s="1"/>
  <c r="R55" i="4" a="1"/>
  <c r="R55" i="4" s="1"/>
  <c r="T55" i="4" a="1"/>
  <c r="T55" i="4" s="1"/>
  <c r="F54" i="4" a="1"/>
  <c r="F54" i="4" s="1"/>
  <c r="H54" i="4" a="1"/>
  <c r="H54" i="4" s="1"/>
  <c r="J54" i="4" a="1"/>
  <c r="J54" i="4" s="1"/>
  <c r="L54" i="4" a="1"/>
  <c r="L54" i="4" s="1"/>
  <c r="N54" i="4" a="1"/>
  <c r="N54" i="4" s="1"/>
  <c r="P54" i="4" a="1"/>
  <c r="P54" i="4" s="1"/>
  <c r="R54" i="4" a="1"/>
  <c r="R54" i="4" s="1"/>
  <c r="T54" i="4" a="1"/>
  <c r="T54" i="4" s="1"/>
  <c r="F53" i="4" a="1"/>
  <c r="F53" i="4" s="1"/>
  <c r="H53" i="4" a="1"/>
  <c r="H53" i="4" s="1"/>
  <c r="J53" i="4" a="1"/>
  <c r="J53" i="4" s="1"/>
  <c r="L53" i="4" a="1"/>
  <c r="L53" i="4" s="1"/>
  <c r="N53" i="4" a="1"/>
  <c r="N53" i="4" s="1"/>
  <c r="P53" i="4" a="1"/>
  <c r="P53" i="4" s="1"/>
  <c r="R53" i="4" a="1"/>
  <c r="R53" i="4" s="1"/>
  <c r="T53" i="4" a="1"/>
  <c r="T53" i="4" s="1"/>
  <c r="U53" i="4" l="1"/>
  <c r="Z53" i="4" s="1"/>
  <c r="U58" i="4"/>
  <c r="Z58" i="4" s="1"/>
  <c r="U55" i="4"/>
  <c r="Z55" i="4" s="1"/>
  <c r="U54" i="4"/>
  <c r="Z54" i="4" s="1"/>
  <c r="U57" i="4"/>
  <c r="Z57" i="4" s="1"/>
  <c r="M86" i="11"/>
  <c r="M98" i="11" s="1"/>
  <c r="M109" i="11" s="1"/>
  <c r="K86" i="11"/>
  <c r="K106" i="11" s="1"/>
  <c r="K117" i="11" s="1"/>
  <c r="O86" i="11"/>
  <c r="O106" i="11" s="1"/>
  <c r="O117" i="11" s="1"/>
  <c r="S100" i="11"/>
  <c r="S111" i="11" s="1"/>
  <c r="N37" i="11"/>
  <c r="N38" i="11" s="1"/>
  <c r="N41" i="11" s="1"/>
  <c r="N43" i="11" s="1"/>
  <c r="N45" i="11" s="1"/>
  <c r="N47" i="11" s="1"/>
  <c r="N49" i="11" s="1"/>
  <c r="N51" i="11" s="1"/>
  <c r="N53" i="11" s="1"/>
  <c r="M37" i="11"/>
  <c r="M38" i="11" s="1"/>
  <c r="M41" i="11" s="1"/>
  <c r="M43" i="11" s="1"/>
  <c r="M45" i="11" s="1"/>
  <c r="M47" i="11" s="1"/>
  <c r="M49" i="11" s="1"/>
  <c r="M51" i="11" s="1"/>
  <c r="M53" i="11" s="1"/>
  <c r="S124" i="11"/>
  <c r="T37" i="11"/>
  <c r="T38" i="11" s="1"/>
  <c r="T41" i="11" s="1"/>
  <c r="T43" i="11" s="1"/>
  <c r="T45" i="11" s="1"/>
  <c r="T47" i="11" s="1"/>
  <c r="T49" i="11" s="1"/>
  <c r="T51" i="11" s="1"/>
  <c r="T53" i="11" s="1"/>
  <c r="I86" i="11"/>
  <c r="I98" i="11" s="1"/>
  <c r="I109" i="11" s="1"/>
  <c r="G37" i="11"/>
  <c r="G38" i="11" s="1"/>
  <c r="G41" i="11" s="1"/>
  <c r="G43" i="11" s="1"/>
  <c r="G45" i="11" s="1"/>
  <c r="G47" i="11" s="1"/>
  <c r="G49" i="11" s="1"/>
  <c r="G51" i="11" s="1"/>
  <c r="G53" i="11" s="1"/>
  <c r="H37" i="11"/>
  <c r="H38" i="11" s="1"/>
  <c r="H41" i="11" s="1"/>
  <c r="H43" i="11" s="1"/>
  <c r="H45" i="11" s="1"/>
  <c r="H47" i="11" s="1"/>
  <c r="H49" i="11" s="1"/>
  <c r="H51" i="11" s="1"/>
  <c r="H53" i="11" s="1"/>
  <c r="Z37" i="11"/>
  <c r="Z38" i="11" s="1"/>
  <c r="Z41" i="11" s="1"/>
  <c r="Z43" i="11" s="1"/>
  <c r="Z45" i="11" s="1"/>
  <c r="Z47" i="11" s="1"/>
  <c r="Z49" i="11" s="1"/>
  <c r="Z51" i="11" s="1"/>
  <c r="Z53" i="11" s="1"/>
  <c r="I37" i="11"/>
  <c r="I38" i="11" s="1"/>
  <c r="I41" i="11" s="1"/>
  <c r="I43" i="11" s="1"/>
  <c r="I45" i="11" s="1"/>
  <c r="I47" i="11" s="1"/>
  <c r="I49" i="11" s="1"/>
  <c r="I51" i="11" s="1"/>
  <c r="I53" i="11" s="1"/>
  <c r="AA37" i="11"/>
  <c r="AA38" i="11" s="1"/>
  <c r="AA41" i="11" s="1"/>
  <c r="AA43" i="11" s="1"/>
  <c r="AA45" i="11" s="1"/>
  <c r="AA47" i="11" s="1"/>
  <c r="AA49" i="11" s="1"/>
  <c r="AA51" i="11" s="1"/>
  <c r="AA53" i="11" s="1"/>
  <c r="S98" i="11"/>
  <c r="S109" i="11" s="1"/>
  <c r="W86" i="11"/>
  <c r="W99" i="11" s="1"/>
  <c r="W110" i="11" s="1"/>
  <c r="W124" i="11"/>
  <c r="W37" i="11"/>
  <c r="W38" i="11" s="1"/>
  <c r="W41" i="11" s="1"/>
  <c r="W43" i="11" s="1"/>
  <c r="W45" i="11" s="1"/>
  <c r="W47" i="11" s="1"/>
  <c r="W49" i="11" s="1"/>
  <c r="W51" i="11" s="1"/>
  <c r="W53" i="11" s="1"/>
  <c r="J87" i="11"/>
  <c r="J15" i="11"/>
  <c r="J88" i="11" s="1"/>
  <c r="L124" i="11"/>
  <c r="L37" i="11"/>
  <c r="L38" i="11" s="1"/>
  <c r="L41" i="11" s="1"/>
  <c r="L43" i="11" s="1"/>
  <c r="L45" i="11" s="1"/>
  <c r="L47" i="11" s="1"/>
  <c r="L49" i="11" s="1"/>
  <c r="L51" i="11" s="1"/>
  <c r="L53" i="11" s="1"/>
  <c r="X124" i="11"/>
  <c r="X86" i="11"/>
  <c r="X100" i="11" s="1"/>
  <c r="X111" i="11" s="1"/>
  <c r="Q124" i="11"/>
  <c r="Q37" i="11"/>
  <c r="Q38" i="11" s="1"/>
  <c r="Q41" i="11" s="1"/>
  <c r="Q43" i="11" s="1"/>
  <c r="Q45" i="11" s="1"/>
  <c r="Q47" i="11" s="1"/>
  <c r="Q49" i="11" s="1"/>
  <c r="Q51" i="11" s="1"/>
  <c r="Q53" i="11" s="1"/>
  <c r="Q55" i="11" s="1"/>
  <c r="Q57" i="11" s="1"/>
  <c r="Q59" i="11" s="1"/>
  <c r="Q61" i="11" s="1"/>
  <c r="Q63" i="11" s="1"/>
  <c r="Q65" i="11" s="1"/>
  <c r="Q67" i="11" s="1"/>
  <c r="Q69" i="11" s="1"/>
  <c r="Q71" i="11" s="1"/>
  <c r="Q73" i="11" s="1"/>
  <c r="Q75" i="11" s="1"/>
  <c r="Q76" i="11" s="1"/>
  <c r="K37" i="11"/>
  <c r="K38" i="11" s="1"/>
  <c r="K41" i="11" s="1"/>
  <c r="K43" i="11" s="1"/>
  <c r="K45" i="11" s="1"/>
  <c r="K47" i="11" s="1"/>
  <c r="K49" i="11" s="1"/>
  <c r="K51" i="11" s="1"/>
  <c r="K53" i="11" s="1"/>
  <c r="X37" i="11"/>
  <c r="X38" i="11" s="1"/>
  <c r="X41" i="11" s="1"/>
  <c r="X43" i="11" s="1"/>
  <c r="X45" i="11" s="1"/>
  <c r="X47" i="11" s="1"/>
  <c r="X49" i="11" s="1"/>
  <c r="X51" i="11" s="1"/>
  <c r="X53" i="11" s="1"/>
  <c r="Y124" i="11"/>
  <c r="Y86" i="11"/>
  <c r="Y100" i="11" s="1"/>
  <c r="Y111" i="11" s="1"/>
  <c r="S37" i="11"/>
  <c r="S38" i="11" s="1"/>
  <c r="S41" i="11" s="1"/>
  <c r="S43" i="11" s="1"/>
  <c r="S45" i="11" s="1"/>
  <c r="S47" i="11" s="1"/>
  <c r="S49" i="11" s="1"/>
  <c r="S51" i="11" s="1"/>
  <c r="S53" i="11" s="1"/>
  <c r="S55" i="11" s="1"/>
  <c r="S57" i="11" s="1"/>
  <c r="S59" i="11" s="1"/>
  <c r="S61" i="11" s="1"/>
  <c r="S63" i="11" s="1"/>
  <c r="S65" i="11" s="1"/>
  <c r="S67" i="11" s="1"/>
  <c r="S69" i="11" s="1"/>
  <c r="S71" i="11" s="1"/>
  <c r="S73" i="11" s="1"/>
  <c r="S75" i="11" s="1"/>
  <c r="S76" i="11" s="1"/>
  <c r="R86" i="11"/>
  <c r="N86" i="11"/>
  <c r="N98" i="11" s="1"/>
  <c r="N109" i="11" s="1"/>
  <c r="U86" i="11"/>
  <c r="U99" i="11" s="1"/>
  <c r="U110" i="11" s="1"/>
  <c r="U124" i="11"/>
  <c r="U37" i="11"/>
  <c r="U38" i="11" s="1"/>
  <c r="U41" i="11" s="1"/>
  <c r="U43" i="11" s="1"/>
  <c r="U45" i="11" s="1"/>
  <c r="U47" i="11" s="1"/>
  <c r="U49" i="11" s="1"/>
  <c r="U51" i="11" s="1"/>
  <c r="U53" i="11" s="1"/>
  <c r="G86" i="11"/>
  <c r="G100" i="11" s="1"/>
  <c r="G111" i="11" s="1"/>
  <c r="H86" i="11"/>
  <c r="H98" i="11" s="1"/>
  <c r="H109" i="11" s="1"/>
  <c r="Z120" i="11"/>
  <c r="Z121" i="11" s="1"/>
  <c r="T120" i="11"/>
  <c r="T121" i="11" s="1"/>
  <c r="N120" i="11"/>
  <c r="N121" i="11" s="1"/>
  <c r="H120" i="11"/>
  <c r="H121" i="11" s="1"/>
  <c r="Y120" i="11"/>
  <c r="Y121" i="11" s="1"/>
  <c r="S120" i="11"/>
  <c r="S121" i="11" s="1"/>
  <c r="M120" i="11"/>
  <c r="M121" i="11" s="1"/>
  <c r="G120" i="11"/>
  <c r="G121" i="11" s="1"/>
  <c r="R120" i="11"/>
  <c r="R121" i="11" s="1"/>
  <c r="J120" i="11"/>
  <c r="J121" i="11" s="1"/>
  <c r="AA120" i="11"/>
  <c r="AA121" i="11" s="1"/>
  <c r="Q120" i="11"/>
  <c r="Q121" i="11" s="1"/>
  <c r="I120" i="11"/>
  <c r="I121" i="11" s="1"/>
  <c r="W120" i="11"/>
  <c r="W121" i="11" s="1"/>
  <c r="O120" i="11"/>
  <c r="O121" i="11" s="1"/>
  <c r="D120" i="11"/>
  <c r="D121" i="11" s="1"/>
  <c r="X120" i="11"/>
  <c r="X121" i="11" s="1"/>
  <c r="E120" i="11"/>
  <c r="E121" i="11" s="1"/>
  <c r="V120" i="11"/>
  <c r="V121" i="11" s="1"/>
  <c r="C120" i="11"/>
  <c r="C121" i="11" s="1"/>
  <c r="U120" i="11"/>
  <c r="U121" i="11" s="1"/>
  <c r="B120" i="11"/>
  <c r="P120" i="11"/>
  <c r="P121" i="11" s="1"/>
  <c r="P124" i="11"/>
  <c r="P37" i="11"/>
  <c r="P38" i="11" s="1"/>
  <c r="P41" i="11" s="1"/>
  <c r="P43" i="11" s="1"/>
  <c r="P45" i="11" s="1"/>
  <c r="P47" i="11" s="1"/>
  <c r="P49" i="11" s="1"/>
  <c r="P51" i="11" s="1"/>
  <c r="P53" i="11" s="1"/>
  <c r="V124" i="11"/>
  <c r="V37" i="11"/>
  <c r="V38" i="11" s="1"/>
  <c r="V41" i="11" s="1"/>
  <c r="V43" i="11" s="1"/>
  <c r="V45" i="11" s="1"/>
  <c r="V47" i="11" s="1"/>
  <c r="V49" i="11" s="1"/>
  <c r="V51" i="11" s="1"/>
  <c r="V53" i="11" s="1"/>
  <c r="V86" i="11"/>
  <c r="V100" i="11" s="1"/>
  <c r="V111" i="11" s="1"/>
  <c r="O37" i="11"/>
  <c r="O38" i="11" s="1"/>
  <c r="O41" i="11" s="1"/>
  <c r="O43" i="11" s="1"/>
  <c r="O45" i="11" s="1"/>
  <c r="O47" i="11" s="1"/>
  <c r="O49" i="11" s="1"/>
  <c r="O51" i="11" s="1"/>
  <c r="O53" i="11" s="1"/>
  <c r="AA86" i="11"/>
  <c r="AA98" i="11" s="1"/>
  <c r="AA109" i="11" s="1"/>
  <c r="S99" i="11"/>
  <c r="S110" i="11" s="1"/>
  <c r="S106" i="11"/>
  <c r="S117" i="11" s="1"/>
  <c r="T86" i="11"/>
  <c r="T99" i="11" s="1"/>
  <c r="T110" i="11" s="1"/>
  <c r="Q86" i="11"/>
  <c r="Q98" i="11" s="1"/>
  <c r="Q109" i="11" s="1"/>
  <c r="P86" i="11"/>
  <c r="P100" i="11" s="1"/>
  <c r="P111" i="11" s="1"/>
  <c r="R124" i="11"/>
  <c r="L86" i="11"/>
  <c r="L106" i="11" s="1"/>
  <c r="L117" i="11" s="1"/>
  <c r="Z86" i="11"/>
  <c r="Z98" i="11" s="1"/>
  <c r="Z109" i="11" s="1"/>
  <c r="D95" i="10"/>
  <c r="D100" i="10" s="1"/>
  <c r="B13" i="10"/>
  <c r="I110" i="10"/>
  <c r="I33" i="10"/>
  <c r="I34" i="10" s="1"/>
  <c r="I37" i="10" s="1"/>
  <c r="I39" i="10" s="1"/>
  <c r="I41" i="10" s="1"/>
  <c r="I43" i="10" s="1"/>
  <c r="I45" i="10" s="1"/>
  <c r="I47" i="10" s="1"/>
  <c r="I49" i="10" s="1"/>
  <c r="O110" i="10"/>
  <c r="O33" i="10"/>
  <c r="O34" i="10" s="1"/>
  <c r="O37" i="10" s="1"/>
  <c r="O39" i="10" s="1"/>
  <c r="O41" i="10" s="1"/>
  <c r="O43" i="10" s="1"/>
  <c r="O45" i="10" s="1"/>
  <c r="O47" i="10" s="1"/>
  <c r="O49" i="10" s="1"/>
  <c r="U110" i="10"/>
  <c r="U88" i="10"/>
  <c r="U33" i="10"/>
  <c r="U34" i="10" s="1"/>
  <c r="U37" i="10" s="1"/>
  <c r="U39" i="10" s="1"/>
  <c r="U41" i="10" s="1"/>
  <c r="U43" i="10" s="1"/>
  <c r="U45" i="10" s="1"/>
  <c r="U47" i="10" s="1"/>
  <c r="U49" i="10" s="1"/>
  <c r="AA110" i="10"/>
  <c r="AA88" i="10"/>
  <c r="AA95" i="10" s="1"/>
  <c r="AA100" i="10" s="1"/>
  <c r="AA33" i="10"/>
  <c r="AA34" i="10" s="1"/>
  <c r="AA37" i="10" s="1"/>
  <c r="AA39" i="10" s="1"/>
  <c r="AA41" i="10" s="1"/>
  <c r="AA43" i="10" s="1"/>
  <c r="AA45" i="10" s="1"/>
  <c r="AA47" i="10" s="1"/>
  <c r="AA49" i="10" s="1"/>
  <c r="S110" i="10"/>
  <c r="D33" i="10"/>
  <c r="D34" i="10" s="1"/>
  <c r="D37" i="10" s="1"/>
  <c r="D39" i="10" s="1"/>
  <c r="D41" i="10" s="1"/>
  <c r="D43" i="10" s="1"/>
  <c r="D45" i="10" s="1"/>
  <c r="D47" i="10" s="1"/>
  <c r="D49" i="10" s="1"/>
  <c r="S33" i="10"/>
  <c r="S34" i="10" s="1"/>
  <c r="S37" i="10" s="1"/>
  <c r="S39" i="10" s="1"/>
  <c r="S41" i="10" s="1"/>
  <c r="S43" i="10" s="1"/>
  <c r="S45" i="10" s="1"/>
  <c r="S47" i="10" s="1"/>
  <c r="S49" i="10" s="1"/>
  <c r="S51" i="10" s="1"/>
  <c r="S53" i="10" s="1"/>
  <c r="S55" i="10" s="1"/>
  <c r="S57" i="10" s="1"/>
  <c r="S59" i="10" s="1"/>
  <c r="S61" i="10" s="1"/>
  <c r="S63" i="10" s="1"/>
  <c r="S65" i="10" s="1"/>
  <c r="S67" i="10" s="1"/>
  <c r="S69" i="10" s="1"/>
  <c r="S71" i="10" s="1"/>
  <c r="S72" i="10" s="1"/>
  <c r="H110" i="10"/>
  <c r="H33" i="10"/>
  <c r="H34" i="10" s="1"/>
  <c r="H37" i="10" s="1"/>
  <c r="H39" i="10" s="1"/>
  <c r="H41" i="10" s="1"/>
  <c r="H43" i="10" s="1"/>
  <c r="H45" i="10" s="1"/>
  <c r="H47" i="10" s="1"/>
  <c r="H49" i="10" s="1"/>
  <c r="N110" i="10"/>
  <c r="N33" i="10"/>
  <c r="N34" i="10" s="1"/>
  <c r="N37" i="10" s="1"/>
  <c r="N39" i="10" s="1"/>
  <c r="N41" i="10" s="1"/>
  <c r="N43" i="10" s="1"/>
  <c r="N45" i="10" s="1"/>
  <c r="N47" i="10" s="1"/>
  <c r="N49" i="10" s="1"/>
  <c r="T110" i="10"/>
  <c r="T88" i="10"/>
  <c r="T95" i="10" s="1"/>
  <c r="T100" i="10" s="1"/>
  <c r="T33" i="10"/>
  <c r="T34" i="10" s="1"/>
  <c r="T37" i="10" s="1"/>
  <c r="T39" i="10" s="1"/>
  <c r="T41" i="10" s="1"/>
  <c r="T43" i="10" s="1"/>
  <c r="T45" i="10" s="1"/>
  <c r="T47" i="10" s="1"/>
  <c r="T49" i="10" s="1"/>
  <c r="Z110" i="10"/>
  <c r="Z88" i="10"/>
  <c r="Z95" i="10" s="1"/>
  <c r="Z100" i="10" s="1"/>
  <c r="Z33" i="10"/>
  <c r="Z34" i="10" s="1"/>
  <c r="Z37" i="10" s="1"/>
  <c r="Z39" i="10" s="1"/>
  <c r="Z41" i="10" s="1"/>
  <c r="Z43" i="10" s="1"/>
  <c r="Z45" i="10" s="1"/>
  <c r="Z47" i="10" s="1"/>
  <c r="Z49" i="10" s="1"/>
  <c r="J13" i="10"/>
  <c r="V110" i="10"/>
  <c r="V88" i="10"/>
  <c r="V95" i="10" s="1"/>
  <c r="V100" i="10" s="1"/>
  <c r="B88" i="10"/>
  <c r="B98" i="10" s="1"/>
  <c r="B103" i="10" s="1"/>
  <c r="G33" i="10"/>
  <c r="G34" i="10" s="1"/>
  <c r="G37" i="10" s="1"/>
  <c r="G39" i="10" s="1"/>
  <c r="G41" i="10" s="1"/>
  <c r="G43" i="10" s="1"/>
  <c r="G45" i="10" s="1"/>
  <c r="G47" i="10" s="1"/>
  <c r="G49" i="10" s="1"/>
  <c r="V33" i="10"/>
  <c r="V34" i="10" s="1"/>
  <c r="V37" i="10" s="1"/>
  <c r="V39" i="10" s="1"/>
  <c r="V41" i="10" s="1"/>
  <c r="V43" i="10" s="1"/>
  <c r="V45" i="10" s="1"/>
  <c r="V47" i="10" s="1"/>
  <c r="V49" i="10" s="1"/>
  <c r="H97" i="10"/>
  <c r="H102" i="10" s="1"/>
  <c r="Z97" i="10"/>
  <c r="Z102" i="10" s="1"/>
  <c r="R106" i="10"/>
  <c r="R107" i="10" s="1"/>
  <c r="H88" i="10"/>
  <c r="H95" i="10" s="1"/>
  <c r="H100" i="10" s="1"/>
  <c r="H104" i="10" s="1"/>
  <c r="U95" i="10"/>
  <c r="U100" i="10" s="1"/>
  <c r="U104" i="10" s="1"/>
  <c r="E110" i="10"/>
  <c r="E33" i="10"/>
  <c r="E34" i="10" s="1"/>
  <c r="E37" i="10" s="1"/>
  <c r="E39" i="10" s="1"/>
  <c r="E41" i="10" s="1"/>
  <c r="E43" i="10" s="1"/>
  <c r="E45" i="10" s="1"/>
  <c r="E47" i="10" s="1"/>
  <c r="E49" i="10" s="1"/>
  <c r="L110" i="10"/>
  <c r="L33" i="10"/>
  <c r="L34" i="10" s="1"/>
  <c r="L37" i="10" s="1"/>
  <c r="L39" i="10" s="1"/>
  <c r="L41" i="10" s="1"/>
  <c r="L43" i="10" s="1"/>
  <c r="L45" i="10" s="1"/>
  <c r="L47" i="10" s="1"/>
  <c r="L49" i="10" s="1"/>
  <c r="X110" i="10"/>
  <c r="X33" i="10"/>
  <c r="X34" i="10" s="1"/>
  <c r="X37" i="10" s="1"/>
  <c r="X39" i="10" s="1"/>
  <c r="X41" i="10" s="1"/>
  <c r="X43" i="10" s="1"/>
  <c r="X45" i="10" s="1"/>
  <c r="X47" i="10" s="1"/>
  <c r="X49" i="10" s="1"/>
  <c r="B96" i="10"/>
  <c r="B101" i="10" s="1"/>
  <c r="B110" i="10"/>
  <c r="B106" i="10"/>
  <c r="K33" i="10"/>
  <c r="K34" i="10" s="1"/>
  <c r="K37" i="10" s="1"/>
  <c r="K39" i="10" s="1"/>
  <c r="K41" i="10" s="1"/>
  <c r="K43" i="10" s="1"/>
  <c r="K45" i="10" s="1"/>
  <c r="K47" i="10" s="1"/>
  <c r="K49" i="10" s="1"/>
  <c r="W88" i="10"/>
  <c r="W98" i="10" s="1"/>
  <c r="W103" i="10" s="1"/>
  <c r="W33" i="10"/>
  <c r="W34" i="10" s="1"/>
  <c r="W37" i="10" s="1"/>
  <c r="W39" i="10" s="1"/>
  <c r="W41" i="10" s="1"/>
  <c r="W43" i="10" s="1"/>
  <c r="W45" i="10" s="1"/>
  <c r="W47" i="10" s="1"/>
  <c r="W49" i="10" s="1"/>
  <c r="J88" i="10"/>
  <c r="J96" i="10" s="1"/>
  <c r="J101" i="10" s="1"/>
  <c r="Y110" i="10"/>
  <c r="Y88" i="10"/>
  <c r="Y97" i="10" s="1"/>
  <c r="Y102" i="10" s="1"/>
  <c r="E88" i="10"/>
  <c r="Q106" i="10"/>
  <c r="Q107" i="10" s="1"/>
  <c r="Q110" i="10"/>
  <c r="Q33" i="10"/>
  <c r="Q34" i="10" s="1"/>
  <c r="Q37" i="10" s="1"/>
  <c r="Q39" i="10" s="1"/>
  <c r="Q41" i="10" s="1"/>
  <c r="Q43" i="10" s="1"/>
  <c r="Q45" i="10" s="1"/>
  <c r="Q47" i="10" s="1"/>
  <c r="Q49" i="10" s="1"/>
  <c r="Q51" i="10" s="1"/>
  <c r="Q53" i="10" s="1"/>
  <c r="Q55" i="10" s="1"/>
  <c r="Q57" i="10" s="1"/>
  <c r="Q59" i="10" s="1"/>
  <c r="Q61" i="10" s="1"/>
  <c r="Q63" i="10" s="1"/>
  <c r="Q65" i="10" s="1"/>
  <c r="Q67" i="10" s="1"/>
  <c r="Q69" i="10" s="1"/>
  <c r="Q71" i="10" s="1"/>
  <c r="Q72" i="10" s="1"/>
  <c r="M33" i="10"/>
  <c r="M34" i="10" s="1"/>
  <c r="M37" i="10" s="1"/>
  <c r="M39" i="10" s="1"/>
  <c r="M41" i="10" s="1"/>
  <c r="M43" i="10" s="1"/>
  <c r="M45" i="10" s="1"/>
  <c r="M47" i="10" s="1"/>
  <c r="M49" i="10" s="1"/>
  <c r="D88" i="10"/>
  <c r="D98" i="10" s="1"/>
  <c r="D103" i="10" s="1"/>
  <c r="K97" i="10"/>
  <c r="K102" i="10" s="1"/>
  <c r="Q97" i="10"/>
  <c r="Q102" i="10" s="1"/>
  <c r="I88" i="10"/>
  <c r="I98" i="10" s="1"/>
  <c r="I103" i="10" s="1"/>
  <c r="O88" i="10"/>
  <c r="O98" i="10" s="1"/>
  <c r="O103" i="10" s="1"/>
  <c r="U98" i="10"/>
  <c r="U103" i="10" s="1"/>
  <c r="X97" i="10"/>
  <c r="X102" i="10" s="1"/>
  <c r="X104" i="10" s="1"/>
  <c r="W110" i="10"/>
  <c r="P96" i="10"/>
  <c r="P101" i="10" s="1"/>
  <c r="P88" i="10"/>
  <c r="P95" i="10" s="1"/>
  <c r="P100" i="10" s="1"/>
  <c r="P104" i="10" s="1"/>
  <c r="K95" i="10"/>
  <c r="K100" i="10" s="1"/>
  <c r="K104" i="10" s="1"/>
  <c r="Q95" i="10"/>
  <c r="Q100" i="10" s="1"/>
  <c r="C96" i="10"/>
  <c r="C101" i="10" s="1"/>
  <c r="C88" i="10"/>
  <c r="C97" i="10" s="1"/>
  <c r="C102" i="10" s="1"/>
  <c r="K96" i="10"/>
  <c r="K101" i="10" s="1"/>
  <c r="Q96" i="10"/>
  <c r="Q101" i="10" s="1"/>
  <c r="J97" i="10"/>
  <c r="J102" i="10" s="1"/>
  <c r="P97" i="10"/>
  <c r="P102" i="10" s="1"/>
  <c r="G96" i="10"/>
  <c r="G101" i="10" s="1"/>
  <c r="E95" i="10"/>
  <c r="E100" i="10" s="1"/>
  <c r="H96" i="10"/>
  <c r="H101" i="10" s="1"/>
  <c r="N96" i="10"/>
  <c r="N101" i="10" s="1"/>
  <c r="N104" i="10" s="1"/>
  <c r="T96" i="10"/>
  <c r="T101" i="10" s="1"/>
  <c r="Z96" i="10"/>
  <c r="Z101" i="10" s="1"/>
  <c r="U97" i="10"/>
  <c r="U102" i="10" s="1"/>
  <c r="G98" i="10"/>
  <c r="G103" i="10" s="1"/>
  <c r="M98" i="10"/>
  <c r="M103" i="10" s="1"/>
  <c r="S98" i="10"/>
  <c r="S103" i="10" s="1"/>
  <c r="G95" i="10"/>
  <c r="G100" i="10" s="1"/>
  <c r="M95" i="10"/>
  <c r="M100" i="10" s="1"/>
  <c r="S95" i="10"/>
  <c r="S100" i="10" s="1"/>
  <c r="S104" i="10" s="1"/>
  <c r="Y95" i="10"/>
  <c r="Y100" i="10" s="1"/>
  <c r="L96" i="10"/>
  <c r="L101" i="10" s="1"/>
  <c r="L104" i="10" s="1"/>
  <c r="R96" i="10"/>
  <c r="R101" i="10" s="1"/>
  <c r="R104" i="10" s="1"/>
  <c r="X96" i="10"/>
  <c r="X101" i="10" s="1"/>
  <c r="H98" i="10"/>
  <c r="H103" i="10" s="1"/>
  <c r="N98" i="10"/>
  <c r="N103" i="10" s="1"/>
  <c r="T98" i="10"/>
  <c r="T103" i="10" s="1"/>
  <c r="Z98" i="10"/>
  <c r="Z103" i="10" s="1"/>
  <c r="J98" i="10"/>
  <c r="J103" i="10" s="1"/>
  <c r="P98" i="10"/>
  <c r="P103" i="10" s="1"/>
  <c r="C95" i="10"/>
  <c r="C100" i="10" s="1"/>
  <c r="U96" i="10"/>
  <c r="U101" i="10" s="1"/>
  <c r="AA96" i="10"/>
  <c r="AA101" i="10" s="1"/>
  <c r="G106" i="10"/>
  <c r="G107" i="10" s="1"/>
  <c r="M106" i="10"/>
  <c r="M107" i="10" s="1"/>
  <c r="S106" i="10"/>
  <c r="S107" i="10" s="1"/>
  <c r="Y106" i="10"/>
  <c r="Y107" i="10" s="1"/>
  <c r="H106" i="10"/>
  <c r="H107" i="10" s="1"/>
  <c r="N106" i="10"/>
  <c r="N107" i="10" s="1"/>
  <c r="T106" i="10"/>
  <c r="T107" i="10" s="1"/>
  <c r="Z106" i="10"/>
  <c r="Z107" i="10" s="1"/>
  <c r="C106" i="10"/>
  <c r="C107" i="10" s="1"/>
  <c r="J106" i="10"/>
  <c r="J107" i="10" s="1"/>
  <c r="P106" i="10"/>
  <c r="P107" i="10" s="1"/>
  <c r="V106" i="10"/>
  <c r="V107" i="10" s="1"/>
  <c r="W57" i="4" l="1"/>
  <c r="W54" i="4"/>
  <c r="N6" i="6" a="1"/>
  <c r="N6" i="6" s="1"/>
  <c r="W55" i="4"/>
  <c r="W58" i="4"/>
  <c r="W53" i="4"/>
  <c r="M9" i="6" a="1"/>
  <c r="M9" i="6" s="1"/>
  <c r="M4" i="6" a="1"/>
  <c r="M4" i="6" s="1"/>
  <c r="M7" i="6" a="1"/>
  <c r="M7" i="6" s="1"/>
  <c r="M10" i="6" a="1"/>
  <c r="M10" i="6" s="1"/>
  <c r="M5" i="6" a="1"/>
  <c r="M5" i="6" s="1"/>
  <c r="M8" i="6" a="1"/>
  <c r="M8" i="6" s="1"/>
  <c r="M11" i="6" a="1"/>
  <c r="M11" i="6" s="1"/>
  <c r="M3" i="6" a="1"/>
  <c r="M3" i="6" s="1"/>
  <c r="D14" i="17" s="1"/>
  <c r="M6" i="6" a="1"/>
  <c r="M6" i="6" s="1"/>
  <c r="O98" i="11"/>
  <c r="O109" i="11" s="1"/>
  <c r="K100" i="11"/>
  <c r="K111" i="11" s="1"/>
  <c r="M99" i="11"/>
  <c r="M110" i="11" s="1"/>
  <c r="M100" i="11"/>
  <c r="M111" i="11" s="1"/>
  <c r="W98" i="11"/>
  <c r="W109" i="11" s="1"/>
  <c r="K99" i="11"/>
  <c r="K110" i="11" s="1"/>
  <c r="I100" i="11"/>
  <c r="I111" i="11" s="1"/>
  <c r="M106" i="11"/>
  <c r="M117" i="11" s="1"/>
  <c r="I106" i="11"/>
  <c r="I117" i="11" s="1"/>
  <c r="K98" i="11"/>
  <c r="K109" i="11" s="1"/>
  <c r="AA99" i="11"/>
  <c r="AA110" i="11" s="1"/>
  <c r="O99" i="11"/>
  <c r="O110" i="11" s="1"/>
  <c r="O100" i="11"/>
  <c r="O111" i="11" s="1"/>
  <c r="T98" i="11"/>
  <c r="T109" i="11" s="1"/>
  <c r="N99" i="11"/>
  <c r="N110" i="11" s="1"/>
  <c r="I99" i="11"/>
  <c r="I110" i="11" s="1"/>
  <c r="U100" i="11"/>
  <c r="U111" i="11" s="1"/>
  <c r="S118" i="11"/>
  <c r="N100" i="11"/>
  <c r="N111" i="11" s="1"/>
  <c r="X98" i="11"/>
  <c r="X109" i="11" s="1"/>
  <c r="AA100" i="11"/>
  <c r="AA111" i="11" s="1"/>
  <c r="H106" i="11"/>
  <c r="H117" i="11" s="1"/>
  <c r="Y99" i="11"/>
  <c r="Y110" i="11" s="1"/>
  <c r="H100" i="11"/>
  <c r="H111" i="11" s="1"/>
  <c r="Z106" i="11"/>
  <c r="Z117" i="11" s="1"/>
  <c r="U98" i="11"/>
  <c r="U109" i="11" s="1"/>
  <c r="AA106" i="11"/>
  <c r="AA117" i="11" s="1"/>
  <c r="H99" i="11"/>
  <c r="H110" i="11" s="1"/>
  <c r="L98" i="11"/>
  <c r="L109" i="11" s="1"/>
  <c r="Q106" i="11"/>
  <c r="Q117" i="11" s="1"/>
  <c r="Q100" i="11"/>
  <c r="Q111" i="11" s="1"/>
  <c r="Y106" i="11"/>
  <c r="Y117" i="11" s="1"/>
  <c r="P99" i="11"/>
  <c r="P110" i="11" s="1"/>
  <c r="Y98" i="11"/>
  <c r="Y109" i="11" s="1"/>
  <c r="U106" i="11"/>
  <c r="U117" i="11" s="1"/>
  <c r="T106" i="11"/>
  <c r="T117" i="11" s="1"/>
  <c r="G98" i="11"/>
  <c r="G109" i="11" s="1"/>
  <c r="L99" i="11"/>
  <c r="L110" i="11" s="1"/>
  <c r="X99" i="11"/>
  <c r="X110" i="11" s="1"/>
  <c r="X106" i="11"/>
  <c r="X117" i="11" s="1"/>
  <c r="W100" i="11"/>
  <c r="W111" i="11" s="1"/>
  <c r="W106" i="11"/>
  <c r="W117" i="11" s="1"/>
  <c r="L100" i="11"/>
  <c r="L111" i="11" s="1"/>
  <c r="J86" i="11"/>
  <c r="V99" i="11"/>
  <c r="V110" i="11" s="1"/>
  <c r="P98" i="11"/>
  <c r="P109" i="11" s="1"/>
  <c r="Z100" i="11"/>
  <c r="Z111" i="11" s="1"/>
  <c r="V106" i="11"/>
  <c r="V117" i="11" s="1"/>
  <c r="N106" i="11"/>
  <c r="N117" i="11" s="1"/>
  <c r="J13" i="11"/>
  <c r="V98" i="11"/>
  <c r="V109" i="11" s="1"/>
  <c r="R106" i="11"/>
  <c r="R117" i="11" s="1"/>
  <c r="R98" i="11"/>
  <c r="R109" i="11" s="1"/>
  <c r="R99" i="11"/>
  <c r="R110" i="11" s="1"/>
  <c r="P106" i="11"/>
  <c r="P117" i="11" s="1"/>
  <c r="G99" i="11"/>
  <c r="G110" i="11" s="1"/>
  <c r="R100" i="11"/>
  <c r="R111" i="11" s="1"/>
  <c r="T100" i="11"/>
  <c r="T111" i="11" s="1"/>
  <c r="Q99" i="11"/>
  <c r="Q110" i="11" s="1"/>
  <c r="G106" i="11"/>
  <c r="G117" i="11" s="1"/>
  <c r="Z99" i="11"/>
  <c r="Z110" i="11" s="1"/>
  <c r="V96" i="10"/>
  <c r="V101" i="10" s="1"/>
  <c r="V104" i="10" s="1"/>
  <c r="AA98" i="10"/>
  <c r="AA103" i="10" s="1"/>
  <c r="W97" i="10"/>
  <c r="W102" i="10" s="1"/>
  <c r="T104" i="10"/>
  <c r="V98" i="10"/>
  <c r="V103" i="10" s="1"/>
  <c r="V97" i="10"/>
  <c r="V102" i="10" s="1"/>
  <c r="O96" i="10"/>
  <c r="O101" i="10" s="1"/>
  <c r="M104" i="10"/>
  <c r="AA97" i="10"/>
  <c r="AA102" i="10" s="1"/>
  <c r="AA104" i="10" s="1"/>
  <c r="O95" i="10"/>
  <c r="O100" i="10" s="1"/>
  <c r="J110" i="10"/>
  <c r="J111" i="10" s="1"/>
  <c r="J112" i="10" s="1"/>
  <c r="J113" i="10" s="1"/>
  <c r="J33" i="10"/>
  <c r="J34" i="10" s="1"/>
  <c r="J37" i="10" s="1"/>
  <c r="J39" i="10" s="1"/>
  <c r="J41" i="10" s="1"/>
  <c r="J43" i="10" s="1"/>
  <c r="J45" i="10" s="1"/>
  <c r="J47" i="10" s="1"/>
  <c r="J49" i="10" s="1"/>
  <c r="AA111" i="10"/>
  <c r="AA112" i="10" s="1"/>
  <c r="AA113" i="10" s="1"/>
  <c r="U111" i="10"/>
  <c r="U112" i="10" s="1"/>
  <c r="U113" i="10" s="1"/>
  <c r="O111" i="10"/>
  <c r="O112" i="10" s="1"/>
  <c r="O113" i="10" s="1"/>
  <c r="I111" i="10"/>
  <c r="I112" i="10" s="1"/>
  <c r="I113" i="10" s="1"/>
  <c r="Z111" i="10"/>
  <c r="Z112" i="10" s="1"/>
  <c r="Z113" i="10" s="1"/>
  <c r="T111" i="10"/>
  <c r="T112" i="10" s="1"/>
  <c r="T113" i="10" s="1"/>
  <c r="N111" i="10"/>
  <c r="N112" i="10" s="1"/>
  <c r="N113" i="10" s="1"/>
  <c r="H111" i="10"/>
  <c r="H112" i="10" s="1"/>
  <c r="H113" i="10" s="1"/>
  <c r="X111" i="10"/>
  <c r="X112" i="10" s="1"/>
  <c r="X113" i="10" s="1"/>
  <c r="R111" i="10"/>
  <c r="R112" i="10" s="1"/>
  <c r="R113" i="10" s="1"/>
  <c r="L111" i="10"/>
  <c r="L112" i="10" s="1"/>
  <c r="L113" i="10" s="1"/>
  <c r="E111" i="10"/>
  <c r="E112" i="10" s="1"/>
  <c r="E113" i="10" s="1"/>
  <c r="W111" i="10"/>
  <c r="W112" i="10" s="1"/>
  <c r="W113" i="10" s="1"/>
  <c r="Q111" i="10"/>
  <c r="Q112" i="10" s="1"/>
  <c r="Q113" i="10" s="1"/>
  <c r="K111" i="10"/>
  <c r="K112" i="10" s="1"/>
  <c r="K113" i="10" s="1"/>
  <c r="D111" i="10"/>
  <c r="D112" i="10" s="1"/>
  <c r="D113" i="10" s="1"/>
  <c r="S111" i="10"/>
  <c r="S112" i="10" s="1"/>
  <c r="S113" i="10" s="1"/>
  <c r="P111" i="10"/>
  <c r="P112" i="10" s="1"/>
  <c r="P113" i="10" s="1"/>
  <c r="Y111" i="10"/>
  <c r="Y112" i="10" s="1"/>
  <c r="Y113" i="10" s="1"/>
  <c r="G111" i="10"/>
  <c r="G112" i="10" s="1"/>
  <c r="G113" i="10" s="1"/>
  <c r="V111" i="10"/>
  <c r="V112" i="10" s="1"/>
  <c r="V113" i="10" s="1"/>
  <c r="C111" i="10"/>
  <c r="C112" i="10" s="1"/>
  <c r="C113" i="10" s="1"/>
  <c r="M111" i="10"/>
  <c r="M112" i="10" s="1"/>
  <c r="M113" i="10" s="1"/>
  <c r="C98" i="10"/>
  <c r="C103" i="10" s="1"/>
  <c r="C104" i="10" s="1"/>
  <c r="Y98" i="10"/>
  <c r="Y103" i="10" s="1"/>
  <c r="O97" i="10"/>
  <c r="O102" i="10" s="1"/>
  <c r="W95" i="10"/>
  <c r="W100" i="10" s="1"/>
  <c r="I95" i="10"/>
  <c r="I100" i="10" s="1"/>
  <c r="E98" i="10"/>
  <c r="E103" i="10" s="1"/>
  <c r="E97" i="10"/>
  <c r="E102" i="10" s="1"/>
  <c r="J95" i="10"/>
  <c r="J100" i="10" s="1"/>
  <c r="J104" i="10" s="1"/>
  <c r="Z104" i="10"/>
  <c r="B97" i="10"/>
  <c r="B102" i="10" s="1"/>
  <c r="Y96" i="10"/>
  <c r="Y101" i="10" s="1"/>
  <c r="Y104" i="10" s="1"/>
  <c r="I96" i="10"/>
  <c r="I101" i="10" s="1"/>
  <c r="G104" i="10"/>
  <c r="I97" i="10"/>
  <c r="I102" i="10" s="1"/>
  <c r="W96" i="10"/>
  <c r="W101" i="10" s="1"/>
  <c r="Q104" i="10"/>
  <c r="D97" i="10"/>
  <c r="D102" i="10" s="1"/>
  <c r="E96" i="10"/>
  <c r="E101" i="10" s="1"/>
  <c r="E104" i="10" s="1"/>
  <c r="T97" i="10"/>
  <c r="T102" i="10" s="1"/>
  <c r="B95" i="10"/>
  <c r="B100" i="10" s="1"/>
  <c r="D96" i="10"/>
  <c r="D101" i="10" s="1"/>
  <c r="D104" i="10" s="1"/>
  <c r="B77" i="4" a="1"/>
  <c r="B77" i="4" s="1"/>
  <c r="F77" i="4" a="1"/>
  <c r="F77" i="4" s="1"/>
  <c r="G77" i="4" a="1"/>
  <c r="G77" i="4" s="1"/>
  <c r="C77" i="4" a="1"/>
  <c r="C77" i="4" s="1"/>
  <c r="H77" i="4" a="1"/>
  <c r="H77" i="4" s="1"/>
  <c r="D77" i="4" a="1"/>
  <c r="D77" i="4" s="1"/>
  <c r="I77" i="4" a="1"/>
  <c r="I77" i="4" s="1"/>
  <c r="E77" i="4" a="1"/>
  <c r="E77" i="4" s="1"/>
  <c r="J77" i="4" a="1"/>
  <c r="J77" i="4" s="1"/>
  <c r="I78" i="4" l="1" a="1"/>
  <c r="I78" i="4" s="1"/>
  <c r="G78" i="4" a="1"/>
  <c r="G78" i="4" s="1"/>
  <c r="E78" i="4" a="1"/>
  <c r="E78" i="4" s="1"/>
  <c r="N10" i="6" a="1"/>
  <c r="N10" i="6" s="1"/>
  <c r="E23" i="18" s="1"/>
  <c r="E99" i="18" s="1"/>
  <c r="C78" i="4" a="1"/>
  <c r="C78" i="4" s="1"/>
  <c r="N3" i="6" a="1"/>
  <c r="N3" i="6" s="1"/>
  <c r="E14" i="17" s="1"/>
  <c r="E87" i="17" s="1"/>
  <c r="E17" i="17"/>
  <c r="E90" i="17" s="1"/>
  <c r="E19" i="18"/>
  <c r="E95" i="18" s="1"/>
  <c r="D16" i="11"/>
  <c r="D89" i="11" s="1"/>
  <c r="D16" i="17"/>
  <c r="D89" i="17" s="1"/>
  <c r="D21" i="11"/>
  <c r="D94" i="11" s="1"/>
  <c r="D21" i="17"/>
  <c r="D94" i="17" s="1"/>
  <c r="D19" i="11"/>
  <c r="D92" i="11" s="1"/>
  <c r="D19" i="17"/>
  <c r="D92" i="17" s="1"/>
  <c r="D17" i="11"/>
  <c r="D90" i="11" s="1"/>
  <c r="D17" i="17"/>
  <c r="D90" i="17" s="1"/>
  <c r="D18" i="11"/>
  <c r="D91" i="11" s="1"/>
  <c r="D18" i="17"/>
  <c r="D91" i="17" s="1"/>
  <c r="D87" i="17"/>
  <c r="D15" i="11"/>
  <c r="D88" i="11" s="1"/>
  <c r="D15" i="17"/>
  <c r="D88" i="17" s="1"/>
  <c r="D22" i="11"/>
  <c r="D95" i="11" s="1"/>
  <c r="D22" i="17"/>
  <c r="D95" i="17" s="1"/>
  <c r="D20" i="11"/>
  <c r="D93" i="11" s="1"/>
  <c r="D20" i="17"/>
  <c r="D93" i="17" s="1"/>
  <c r="N11" i="6" a="1"/>
  <c r="N11" i="6" s="1"/>
  <c r="E24" i="18" s="1"/>
  <c r="E100" i="18" s="1"/>
  <c r="N7" i="6" a="1"/>
  <c r="N7" i="6" s="1"/>
  <c r="E20" i="18" s="1"/>
  <c r="E96" i="18" s="1"/>
  <c r="N9" i="6" a="1"/>
  <c r="N9" i="6" s="1"/>
  <c r="E22" i="18" s="1"/>
  <c r="E98" i="18" s="1"/>
  <c r="N8" i="6" a="1"/>
  <c r="N8" i="6" s="1"/>
  <c r="E21" i="18" s="1"/>
  <c r="E97" i="18" s="1"/>
  <c r="J78" i="4" a="1"/>
  <c r="J78" i="4" s="1"/>
  <c r="H78" i="4" a="1"/>
  <c r="H78" i="4" s="1"/>
  <c r="F78" i="4" a="1"/>
  <c r="F78" i="4" s="1"/>
  <c r="D78" i="4" a="1"/>
  <c r="D78" i="4" s="1"/>
  <c r="B78" i="4" a="1"/>
  <c r="B78" i="4" s="1"/>
  <c r="N5" i="6" a="1"/>
  <c r="N5" i="6" s="1"/>
  <c r="E18" i="18" s="1"/>
  <c r="E94" i="18" s="1"/>
  <c r="N4" i="6" a="1"/>
  <c r="N4" i="6" s="1"/>
  <c r="E17" i="18" s="1"/>
  <c r="E93" i="18" s="1"/>
  <c r="D14" i="11"/>
  <c r="M12" i="6"/>
  <c r="E17" i="11"/>
  <c r="E90" i="11" s="1"/>
  <c r="E19" i="13"/>
  <c r="E95" i="13" s="1"/>
  <c r="K118" i="11"/>
  <c r="M118" i="11"/>
  <c r="O118" i="11"/>
  <c r="N118" i="11"/>
  <c r="I118" i="11"/>
  <c r="Z118" i="11"/>
  <c r="U118" i="11"/>
  <c r="AA118" i="11"/>
  <c r="X118" i="11"/>
  <c r="H118" i="11"/>
  <c r="T118" i="11"/>
  <c r="L118" i="11"/>
  <c r="W118" i="11"/>
  <c r="Q118" i="11"/>
  <c r="J37" i="11"/>
  <c r="J38" i="11" s="1"/>
  <c r="J41" i="11" s="1"/>
  <c r="J43" i="11" s="1"/>
  <c r="J45" i="11" s="1"/>
  <c r="J47" i="11" s="1"/>
  <c r="J49" i="11" s="1"/>
  <c r="J51" i="11" s="1"/>
  <c r="J53" i="11" s="1"/>
  <c r="J124" i="11"/>
  <c r="Y118" i="11"/>
  <c r="G118" i="11"/>
  <c r="V118" i="11"/>
  <c r="J106" i="11"/>
  <c r="J117" i="11" s="1"/>
  <c r="J100" i="11"/>
  <c r="J111" i="11" s="1"/>
  <c r="J99" i="11"/>
  <c r="J110" i="11" s="1"/>
  <c r="J98" i="11"/>
  <c r="J109" i="11" s="1"/>
  <c r="R118" i="11"/>
  <c r="P118" i="11"/>
  <c r="Q116" i="10"/>
  <c r="Q117" i="10" s="1"/>
  <c r="Q114" i="10"/>
  <c r="I104" i="10"/>
  <c r="B104" i="10"/>
  <c r="R116" i="10"/>
  <c r="R117" i="10" s="1"/>
  <c r="R114" i="10"/>
  <c r="W104" i="10"/>
  <c r="S114" i="10"/>
  <c r="S116" i="10"/>
  <c r="S117" i="10" s="1"/>
  <c r="O104" i="10"/>
  <c r="E16" i="13" l="1"/>
  <c r="E92" i="13" s="1"/>
  <c r="E16" i="18"/>
  <c r="E92" i="18" s="1"/>
  <c r="E21" i="17"/>
  <c r="E94" i="17" s="1"/>
  <c r="E23" i="13"/>
  <c r="E99" i="13" s="1"/>
  <c r="E14" i="11"/>
  <c r="E87" i="11" s="1"/>
  <c r="E21" i="11"/>
  <c r="E94" i="11" s="1"/>
  <c r="E18" i="11"/>
  <c r="E91" i="11" s="1"/>
  <c r="E18" i="17"/>
  <c r="E91" i="17" s="1"/>
  <c r="E22" i="11"/>
  <c r="E95" i="11" s="1"/>
  <c r="E22" i="17"/>
  <c r="E95" i="17" s="1"/>
  <c r="E15" i="11"/>
  <c r="E88" i="11" s="1"/>
  <c r="E15" i="17"/>
  <c r="E16" i="11"/>
  <c r="E89" i="11" s="1"/>
  <c r="E16" i="17"/>
  <c r="E89" i="17" s="1"/>
  <c r="E19" i="11"/>
  <c r="E92" i="11" s="1"/>
  <c r="E19" i="17"/>
  <c r="E92" i="17" s="1"/>
  <c r="D13" i="17"/>
  <c r="E20" i="11"/>
  <c r="E93" i="11" s="1"/>
  <c r="E20" i="17"/>
  <c r="E93" i="17" s="1"/>
  <c r="D86" i="17"/>
  <c r="D99" i="17" s="1"/>
  <c r="D110" i="17" s="1"/>
  <c r="E22" i="13"/>
  <c r="E98" i="13" s="1"/>
  <c r="E24" i="13"/>
  <c r="E100" i="13" s="1"/>
  <c r="E21" i="13"/>
  <c r="E97" i="13" s="1"/>
  <c r="E18" i="13"/>
  <c r="E94" i="13" s="1"/>
  <c r="E20" i="13"/>
  <c r="E96" i="13" s="1"/>
  <c r="E17" i="13"/>
  <c r="E93" i="13" s="1"/>
  <c r="M13" i="6"/>
  <c r="N12" i="6"/>
  <c r="D87" i="11"/>
  <c r="D13" i="11"/>
  <c r="J118" i="11"/>
  <c r="X105" i="10"/>
  <c r="X108" i="10" s="1"/>
  <c r="X50" i="10" s="1"/>
  <c r="X51" i="10" s="1"/>
  <c r="X53" i="10" s="1"/>
  <c r="X55" i="10" s="1"/>
  <c r="X57" i="10" s="1"/>
  <c r="X59" i="10" s="1"/>
  <c r="X61" i="10" s="1"/>
  <c r="X63" i="10" s="1"/>
  <c r="X65" i="10" s="1"/>
  <c r="R105" i="10"/>
  <c r="R108" i="10" s="1"/>
  <c r="L105" i="10"/>
  <c r="L108" i="10" s="1"/>
  <c r="L50" i="10" s="1"/>
  <c r="L51" i="10" s="1"/>
  <c r="L53" i="10" s="1"/>
  <c r="L55" i="10" s="1"/>
  <c r="L57" i="10" s="1"/>
  <c r="L59" i="10" s="1"/>
  <c r="L61" i="10" s="1"/>
  <c r="L63" i="10" s="1"/>
  <c r="L65" i="10" s="1"/>
  <c r="E105" i="10"/>
  <c r="E108" i="10" s="1"/>
  <c r="E50" i="10" s="1"/>
  <c r="E51" i="10" s="1"/>
  <c r="E53" i="10" s="1"/>
  <c r="E55" i="10" s="1"/>
  <c r="E57" i="10" s="1"/>
  <c r="E59" i="10" s="1"/>
  <c r="E61" i="10" s="1"/>
  <c r="E63" i="10" s="1"/>
  <c r="E65" i="10" s="1"/>
  <c r="W105" i="10"/>
  <c r="W108" i="10" s="1"/>
  <c r="W50" i="10" s="1"/>
  <c r="W51" i="10" s="1"/>
  <c r="W53" i="10" s="1"/>
  <c r="W55" i="10" s="1"/>
  <c r="W57" i="10" s="1"/>
  <c r="W59" i="10" s="1"/>
  <c r="W61" i="10" s="1"/>
  <c r="W63" i="10" s="1"/>
  <c r="W65" i="10" s="1"/>
  <c r="Q105" i="10"/>
  <c r="Q108" i="10" s="1"/>
  <c r="K105" i="10"/>
  <c r="K108" i="10" s="1"/>
  <c r="K50" i="10" s="1"/>
  <c r="K51" i="10" s="1"/>
  <c r="K53" i="10" s="1"/>
  <c r="K55" i="10" s="1"/>
  <c r="K57" i="10" s="1"/>
  <c r="K59" i="10" s="1"/>
  <c r="K61" i="10" s="1"/>
  <c r="K63" i="10" s="1"/>
  <c r="K65" i="10" s="1"/>
  <c r="D105" i="10"/>
  <c r="D108" i="10" s="1"/>
  <c r="D50" i="10" s="1"/>
  <c r="D51" i="10" s="1"/>
  <c r="D53" i="10" s="1"/>
  <c r="D55" i="10" s="1"/>
  <c r="D57" i="10" s="1"/>
  <c r="D59" i="10" s="1"/>
  <c r="D61" i="10" s="1"/>
  <c r="D63" i="10" s="1"/>
  <c r="D65" i="10" s="1"/>
  <c r="AA105" i="10"/>
  <c r="AA108" i="10" s="1"/>
  <c r="AA50" i="10" s="1"/>
  <c r="AA51" i="10" s="1"/>
  <c r="AA53" i="10" s="1"/>
  <c r="AA55" i="10" s="1"/>
  <c r="AA57" i="10" s="1"/>
  <c r="AA59" i="10" s="1"/>
  <c r="AA61" i="10" s="1"/>
  <c r="AA63" i="10" s="1"/>
  <c r="AA65" i="10" s="1"/>
  <c r="U105" i="10"/>
  <c r="U108" i="10" s="1"/>
  <c r="U50" i="10" s="1"/>
  <c r="U51" i="10" s="1"/>
  <c r="U53" i="10" s="1"/>
  <c r="U55" i="10" s="1"/>
  <c r="U57" i="10" s="1"/>
  <c r="U59" i="10" s="1"/>
  <c r="U61" i="10" s="1"/>
  <c r="U63" i="10" s="1"/>
  <c r="U65" i="10" s="1"/>
  <c r="O105" i="10"/>
  <c r="O108" i="10" s="1"/>
  <c r="O50" i="10" s="1"/>
  <c r="O51" i="10" s="1"/>
  <c r="O53" i="10" s="1"/>
  <c r="O55" i="10" s="1"/>
  <c r="O57" i="10" s="1"/>
  <c r="O59" i="10" s="1"/>
  <c r="O61" i="10" s="1"/>
  <c r="O63" i="10" s="1"/>
  <c r="O65" i="10" s="1"/>
  <c r="I105" i="10"/>
  <c r="I108" i="10" s="1"/>
  <c r="I50" i="10" s="1"/>
  <c r="I51" i="10" s="1"/>
  <c r="I53" i="10" s="1"/>
  <c r="I55" i="10" s="1"/>
  <c r="I57" i="10" s="1"/>
  <c r="I59" i="10" s="1"/>
  <c r="I61" i="10" s="1"/>
  <c r="I63" i="10" s="1"/>
  <c r="I65" i="10" s="1"/>
  <c r="Z105" i="10"/>
  <c r="Z108" i="10" s="1"/>
  <c r="Z50" i="10" s="1"/>
  <c r="Z51" i="10" s="1"/>
  <c r="Z53" i="10" s="1"/>
  <c r="Z55" i="10" s="1"/>
  <c r="Z57" i="10" s="1"/>
  <c r="Z59" i="10" s="1"/>
  <c r="Z61" i="10" s="1"/>
  <c r="Z63" i="10" s="1"/>
  <c r="Z65" i="10" s="1"/>
  <c r="T105" i="10"/>
  <c r="T108" i="10" s="1"/>
  <c r="T50" i="10" s="1"/>
  <c r="T51" i="10" s="1"/>
  <c r="T53" i="10" s="1"/>
  <c r="T55" i="10" s="1"/>
  <c r="T57" i="10" s="1"/>
  <c r="T59" i="10" s="1"/>
  <c r="T61" i="10" s="1"/>
  <c r="T63" i="10" s="1"/>
  <c r="T65" i="10" s="1"/>
  <c r="N105" i="10"/>
  <c r="N108" i="10" s="1"/>
  <c r="N50" i="10" s="1"/>
  <c r="N51" i="10" s="1"/>
  <c r="N53" i="10" s="1"/>
  <c r="N55" i="10" s="1"/>
  <c r="N57" i="10" s="1"/>
  <c r="N59" i="10" s="1"/>
  <c r="N61" i="10" s="1"/>
  <c r="N63" i="10" s="1"/>
  <c r="N65" i="10" s="1"/>
  <c r="H105" i="10"/>
  <c r="H108" i="10" s="1"/>
  <c r="H50" i="10" s="1"/>
  <c r="H51" i="10" s="1"/>
  <c r="H53" i="10" s="1"/>
  <c r="H55" i="10" s="1"/>
  <c r="H57" i="10" s="1"/>
  <c r="H59" i="10" s="1"/>
  <c r="H61" i="10" s="1"/>
  <c r="H63" i="10" s="1"/>
  <c r="H65" i="10" s="1"/>
  <c r="J105" i="10"/>
  <c r="J108" i="10" s="1"/>
  <c r="J50" i="10" s="1"/>
  <c r="J51" i="10" s="1"/>
  <c r="J53" i="10" s="1"/>
  <c r="J55" i="10" s="1"/>
  <c r="J57" i="10" s="1"/>
  <c r="J59" i="10" s="1"/>
  <c r="J61" i="10" s="1"/>
  <c r="J63" i="10" s="1"/>
  <c r="J65" i="10" s="1"/>
  <c r="Y105" i="10"/>
  <c r="Y108" i="10" s="1"/>
  <c r="Y50" i="10" s="1"/>
  <c r="Y51" i="10" s="1"/>
  <c r="Y53" i="10" s="1"/>
  <c r="Y55" i="10" s="1"/>
  <c r="Y57" i="10" s="1"/>
  <c r="Y59" i="10" s="1"/>
  <c r="Y61" i="10" s="1"/>
  <c r="Y63" i="10" s="1"/>
  <c r="Y65" i="10" s="1"/>
  <c r="G105" i="10"/>
  <c r="G108" i="10" s="1"/>
  <c r="G50" i="10" s="1"/>
  <c r="G51" i="10" s="1"/>
  <c r="G53" i="10" s="1"/>
  <c r="G55" i="10" s="1"/>
  <c r="G57" i="10" s="1"/>
  <c r="G59" i="10" s="1"/>
  <c r="G61" i="10" s="1"/>
  <c r="G63" i="10" s="1"/>
  <c r="G65" i="10" s="1"/>
  <c r="S105" i="10"/>
  <c r="S108" i="10" s="1"/>
  <c r="P105" i="10"/>
  <c r="P108" i="10" s="1"/>
  <c r="P50" i="10" s="1"/>
  <c r="P51" i="10" s="1"/>
  <c r="P53" i="10" s="1"/>
  <c r="P55" i="10" s="1"/>
  <c r="P57" i="10" s="1"/>
  <c r="P59" i="10" s="1"/>
  <c r="P61" i="10" s="1"/>
  <c r="P63" i="10" s="1"/>
  <c r="P65" i="10" s="1"/>
  <c r="V105" i="10"/>
  <c r="V108" i="10" s="1"/>
  <c r="V50" i="10" s="1"/>
  <c r="V51" i="10" s="1"/>
  <c r="V53" i="10" s="1"/>
  <c r="V55" i="10" s="1"/>
  <c r="V57" i="10" s="1"/>
  <c r="V59" i="10" s="1"/>
  <c r="V61" i="10" s="1"/>
  <c r="V63" i="10" s="1"/>
  <c r="V65" i="10" s="1"/>
  <c r="M105" i="10"/>
  <c r="M108" i="10" s="1"/>
  <c r="M50" i="10" s="1"/>
  <c r="M51" i="10" s="1"/>
  <c r="M53" i="10" s="1"/>
  <c r="M55" i="10" s="1"/>
  <c r="M57" i="10" s="1"/>
  <c r="M59" i="10" s="1"/>
  <c r="M61" i="10" s="1"/>
  <c r="M63" i="10" s="1"/>
  <c r="M65" i="10" s="1"/>
  <c r="C105" i="10"/>
  <c r="C108" i="10" s="1"/>
  <c r="C50" i="10" s="1"/>
  <c r="C51" i="10" s="1"/>
  <c r="C53" i="10" s="1"/>
  <c r="C55" i="10" s="1"/>
  <c r="C57" i="10" s="1"/>
  <c r="C59" i="10" s="1"/>
  <c r="C61" i="10" s="1"/>
  <c r="C63" i="10" s="1"/>
  <c r="C65" i="10" s="1"/>
  <c r="E15" i="18" l="1"/>
  <c r="E133" i="18" s="1"/>
  <c r="E13" i="11"/>
  <c r="E37" i="11" s="1"/>
  <c r="E38" i="11" s="1"/>
  <c r="E41" i="11" s="1"/>
  <c r="E43" i="11" s="1"/>
  <c r="E45" i="11" s="1"/>
  <c r="E47" i="11" s="1"/>
  <c r="E49" i="11" s="1"/>
  <c r="E51" i="11" s="1"/>
  <c r="E53" i="11" s="1"/>
  <c r="E91" i="18"/>
  <c r="E105" i="18" s="1"/>
  <c r="E116" i="18" s="1"/>
  <c r="D104" i="17"/>
  <c r="D115" i="17" s="1"/>
  <c r="D102" i="17"/>
  <c r="D113" i="17" s="1"/>
  <c r="D98" i="17"/>
  <c r="D109" i="17" s="1"/>
  <c r="E88" i="17"/>
  <c r="E13" i="17"/>
  <c r="D106" i="17"/>
  <c r="D117" i="17" s="1"/>
  <c r="D100" i="17"/>
  <c r="D111" i="17" s="1"/>
  <c r="D105" i="17"/>
  <c r="D116" i="17" s="1"/>
  <c r="D103" i="17"/>
  <c r="D114" i="17" s="1"/>
  <c r="D124" i="17"/>
  <c r="D37" i="17"/>
  <c r="D38" i="17" s="1"/>
  <c r="D41" i="17" s="1"/>
  <c r="D43" i="17" s="1"/>
  <c r="D45" i="17" s="1"/>
  <c r="D47" i="17" s="1"/>
  <c r="D49" i="17" s="1"/>
  <c r="D51" i="17" s="1"/>
  <c r="D53" i="17" s="1"/>
  <c r="D101" i="17"/>
  <c r="D112" i="17" s="1"/>
  <c r="E15" i="13"/>
  <c r="E133" i="13" s="1"/>
  <c r="N13" i="6"/>
  <c r="E91" i="13"/>
  <c r="D37" i="11"/>
  <c r="D38" i="11" s="1"/>
  <c r="D41" i="11" s="1"/>
  <c r="D43" i="11" s="1"/>
  <c r="D45" i="11" s="1"/>
  <c r="D47" i="11" s="1"/>
  <c r="D49" i="11" s="1"/>
  <c r="D51" i="11" s="1"/>
  <c r="D53" i="11" s="1"/>
  <c r="D124" i="11"/>
  <c r="D86" i="11"/>
  <c r="D98" i="11" s="1"/>
  <c r="D109" i="11" s="1"/>
  <c r="E86" i="11"/>
  <c r="E98" i="11" s="1"/>
  <c r="E109" i="11" s="1"/>
  <c r="H114" i="10"/>
  <c r="H116" i="10"/>
  <c r="H117" i="10" s="1"/>
  <c r="H66" i="10" s="1"/>
  <c r="H67" i="10" s="1"/>
  <c r="H69" i="10" s="1"/>
  <c r="H71" i="10" s="1"/>
  <c r="H72" i="10" s="1"/>
  <c r="U116" i="10"/>
  <c r="U117" i="10" s="1"/>
  <c r="U66" i="10" s="1"/>
  <c r="U67" i="10" s="1"/>
  <c r="U69" i="10" s="1"/>
  <c r="U71" i="10" s="1"/>
  <c r="U72" i="10" s="1"/>
  <c r="U114" i="10"/>
  <c r="E116" i="10"/>
  <c r="E117" i="10" s="1"/>
  <c r="E66" i="10" s="1"/>
  <c r="E67" i="10" s="1"/>
  <c r="E69" i="10" s="1"/>
  <c r="E71" i="10" s="1"/>
  <c r="E72" i="10" s="1"/>
  <c r="E114" i="10"/>
  <c r="C114" i="10"/>
  <c r="C116" i="10"/>
  <c r="C117" i="10" s="1"/>
  <c r="C66" i="10" s="1"/>
  <c r="C67" i="10" s="1"/>
  <c r="C69" i="10" s="1"/>
  <c r="C71" i="10" s="1"/>
  <c r="Y114" i="10"/>
  <c r="Y116" i="10"/>
  <c r="Y117" i="10" s="1"/>
  <c r="Y66" i="10" s="1"/>
  <c r="Y67" i="10" s="1"/>
  <c r="Y69" i="10" s="1"/>
  <c r="Y71" i="10" s="1"/>
  <c r="Y72" i="10" s="1"/>
  <c r="M114" i="10"/>
  <c r="M116" i="10"/>
  <c r="M117" i="10" s="1"/>
  <c r="M66" i="10" s="1"/>
  <c r="M67" i="10" s="1"/>
  <c r="M69" i="10" s="1"/>
  <c r="M71" i="10" s="1"/>
  <c r="M72" i="10" s="1"/>
  <c r="O116" i="10"/>
  <c r="O117" i="10" s="1"/>
  <c r="O66" i="10" s="1"/>
  <c r="O67" i="10" s="1"/>
  <c r="O69" i="10" s="1"/>
  <c r="O71" i="10" s="1"/>
  <c r="O72" i="10" s="1"/>
  <c r="O114" i="10"/>
  <c r="W116" i="10"/>
  <c r="W117" i="10" s="1"/>
  <c r="W66" i="10" s="1"/>
  <c r="W67" i="10" s="1"/>
  <c r="W69" i="10" s="1"/>
  <c r="W71" i="10" s="1"/>
  <c r="W72" i="10" s="1"/>
  <c r="W114" i="10"/>
  <c r="P114" i="10"/>
  <c r="P116" i="10"/>
  <c r="P117" i="10" s="1"/>
  <c r="P66" i="10" s="1"/>
  <c r="P67" i="10" s="1"/>
  <c r="P69" i="10" s="1"/>
  <c r="P71" i="10" s="1"/>
  <c r="P72" i="10" s="1"/>
  <c r="AA114" i="10"/>
  <c r="AA116" i="10"/>
  <c r="AA117" i="10" s="1"/>
  <c r="AA66" i="10" s="1"/>
  <c r="AA67" i="10" s="1"/>
  <c r="AA69" i="10" s="1"/>
  <c r="AA71" i="10" s="1"/>
  <c r="AA72" i="10" s="1"/>
  <c r="L116" i="10"/>
  <c r="L117" i="10" s="1"/>
  <c r="L66" i="10" s="1"/>
  <c r="L67" i="10" s="1"/>
  <c r="L69" i="10" s="1"/>
  <c r="L71" i="10" s="1"/>
  <c r="L72" i="10" s="1"/>
  <c r="L114" i="10"/>
  <c r="T114" i="10"/>
  <c r="T116" i="10"/>
  <c r="T117" i="10" s="1"/>
  <c r="T66" i="10" s="1"/>
  <c r="T67" i="10" s="1"/>
  <c r="T69" i="10" s="1"/>
  <c r="T71" i="10" s="1"/>
  <c r="T72" i="10" s="1"/>
  <c r="D116" i="10"/>
  <c r="D117" i="10" s="1"/>
  <c r="D66" i="10" s="1"/>
  <c r="D67" i="10" s="1"/>
  <c r="D69" i="10" s="1"/>
  <c r="D71" i="10" s="1"/>
  <c r="D72" i="10" s="1"/>
  <c r="D114" i="10"/>
  <c r="I116" i="10"/>
  <c r="I117" i="10" s="1"/>
  <c r="I66" i="10" s="1"/>
  <c r="I67" i="10" s="1"/>
  <c r="I69" i="10" s="1"/>
  <c r="I71" i="10" s="1"/>
  <c r="I72" i="10" s="1"/>
  <c r="I114" i="10"/>
  <c r="J67" i="10"/>
  <c r="J69" i="10" s="1"/>
  <c r="J71" i="10" s="1"/>
  <c r="J72" i="10" s="1"/>
  <c r="J116" i="10"/>
  <c r="J117" i="10" s="1"/>
  <c r="J114" i="10"/>
  <c r="V116" i="10"/>
  <c r="V117" i="10" s="1"/>
  <c r="V66" i="10" s="1"/>
  <c r="V67" i="10" s="1"/>
  <c r="V69" i="10" s="1"/>
  <c r="V71" i="10" s="1"/>
  <c r="V72" i="10" s="1"/>
  <c r="V114" i="10"/>
  <c r="N116" i="10"/>
  <c r="N117" i="10" s="1"/>
  <c r="N66" i="10" s="1"/>
  <c r="N67" i="10" s="1"/>
  <c r="N69" i="10" s="1"/>
  <c r="N71" i="10" s="1"/>
  <c r="N72" i="10" s="1"/>
  <c r="N114" i="10"/>
  <c r="G114" i="10"/>
  <c r="G116" i="10"/>
  <c r="G117" i="10" s="1"/>
  <c r="G66" i="10" s="1"/>
  <c r="G67" i="10" s="1"/>
  <c r="G69" i="10" s="1"/>
  <c r="G71" i="10" s="1"/>
  <c r="G72" i="10" s="1"/>
  <c r="Z114" i="10"/>
  <c r="Z116" i="10"/>
  <c r="Z117" i="10" s="1"/>
  <c r="Z66" i="10" s="1"/>
  <c r="Z67" i="10" s="1"/>
  <c r="Z69" i="10" s="1"/>
  <c r="Z71" i="10" s="1"/>
  <c r="Z72" i="10" s="1"/>
  <c r="K116" i="10"/>
  <c r="K117" i="10" s="1"/>
  <c r="K66" i="10" s="1"/>
  <c r="K67" i="10" s="1"/>
  <c r="K69" i="10" s="1"/>
  <c r="K71" i="10" s="1"/>
  <c r="K72" i="10" s="1"/>
  <c r="K114" i="10"/>
  <c r="X114" i="10"/>
  <c r="X116" i="10"/>
  <c r="X117" i="10" s="1"/>
  <c r="X66" i="10" s="1"/>
  <c r="X67" i="10" s="1"/>
  <c r="X69" i="10" s="1"/>
  <c r="X71" i="10" s="1"/>
  <c r="X72" i="10" s="1"/>
  <c r="E36" i="18" l="1"/>
  <c r="E37" i="18" s="1"/>
  <c r="E40" i="18" s="1"/>
  <c r="E42" i="18" s="1"/>
  <c r="E44" i="18" s="1"/>
  <c r="E46" i="18" s="1"/>
  <c r="E48" i="18" s="1"/>
  <c r="E50" i="18" s="1"/>
  <c r="E52" i="18" s="1"/>
  <c r="E124" i="11"/>
  <c r="E106" i="18"/>
  <c r="E117" i="18" s="1"/>
  <c r="E111" i="18"/>
  <c r="E122" i="18" s="1"/>
  <c r="E109" i="18"/>
  <c r="E120" i="18" s="1"/>
  <c r="E108" i="18"/>
  <c r="E119" i="18" s="1"/>
  <c r="E112" i="18"/>
  <c r="E123" i="18" s="1"/>
  <c r="E107" i="18"/>
  <c r="E118" i="18" s="1"/>
  <c r="E113" i="18"/>
  <c r="E124" i="18" s="1"/>
  <c r="E110" i="18"/>
  <c r="E121" i="18" s="1"/>
  <c r="E124" i="17"/>
  <c r="E37" i="17"/>
  <c r="E38" i="17" s="1"/>
  <c r="E41" i="17" s="1"/>
  <c r="E43" i="17" s="1"/>
  <c r="E45" i="17" s="1"/>
  <c r="E47" i="17" s="1"/>
  <c r="E49" i="17" s="1"/>
  <c r="E51" i="17" s="1"/>
  <c r="E53" i="17" s="1"/>
  <c r="D118" i="17"/>
  <c r="E86" i="17"/>
  <c r="E36" i="13"/>
  <c r="E37" i="13" s="1"/>
  <c r="E40" i="13" s="1"/>
  <c r="E42" i="13" s="1"/>
  <c r="E44" i="13" s="1"/>
  <c r="E46" i="13" s="1"/>
  <c r="E48" i="13" s="1"/>
  <c r="E50" i="13" s="1"/>
  <c r="E52" i="13" s="1"/>
  <c r="E113" i="13"/>
  <c r="E124" i="13" s="1"/>
  <c r="E110" i="13"/>
  <c r="E121" i="13" s="1"/>
  <c r="E112" i="13"/>
  <c r="E123" i="13" s="1"/>
  <c r="E106" i="13"/>
  <c r="E117" i="13" s="1"/>
  <c r="E111" i="13"/>
  <c r="E122" i="13" s="1"/>
  <c r="E107" i="13"/>
  <c r="E118" i="13" s="1"/>
  <c r="E108" i="13"/>
  <c r="E119" i="13" s="1"/>
  <c r="E109" i="13"/>
  <c r="E120" i="13" s="1"/>
  <c r="D102" i="11"/>
  <c r="D113" i="11" s="1"/>
  <c r="D105" i="11"/>
  <c r="D116" i="11" s="1"/>
  <c r="D101" i="11"/>
  <c r="D112" i="11" s="1"/>
  <c r="D100" i="11"/>
  <c r="D111" i="11" s="1"/>
  <c r="D104" i="11"/>
  <c r="D115" i="11" s="1"/>
  <c r="D99" i="11"/>
  <c r="D110" i="11" s="1"/>
  <c r="D103" i="11"/>
  <c r="D114" i="11" s="1"/>
  <c r="D106" i="11"/>
  <c r="D117" i="11" s="1"/>
  <c r="E105" i="11"/>
  <c r="E116" i="11" s="1"/>
  <c r="E102" i="11"/>
  <c r="E113" i="11" s="1"/>
  <c r="E100" i="11"/>
  <c r="E111" i="11" s="1"/>
  <c r="E106" i="11"/>
  <c r="E117" i="11" s="1"/>
  <c r="E101" i="11"/>
  <c r="E112" i="11" s="1"/>
  <c r="E103" i="11"/>
  <c r="E114" i="11" s="1"/>
  <c r="E99" i="11"/>
  <c r="E110" i="11" s="1"/>
  <c r="E104" i="11"/>
  <c r="E115" i="11" s="1"/>
  <c r="E105" i="13"/>
  <c r="E116" i="13" s="1"/>
  <c r="B74" i="10"/>
  <c r="C72" i="10"/>
  <c r="E125" i="18" l="1"/>
  <c r="E105" i="17"/>
  <c r="E116" i="17" s="1"/>
  <c r="E101" i="17"/>
  <c r="E112" i="17" s="1"/>
  <c r="E98" i="17"/>
  <c r="E109" i="17" s="1"/>
  <c r="E100" i="17"/>
  <c r="E111" i="17" s="1"/>
  <c r="E103" i="17"/>
  <c r="E114" i="17" s="1"/>
  <c r="E104" i="17"/>
  <c r="E115" i="17" s="1"/>
  <c r="E106" i="17"/>
  <c r="E117" i="17" s="1"/>
  <c r="E102" i="17"/>
  <c r="E113" i="17" s="1"/>
  <c r="E99" i="17"/>
  <c r="E110" i="17" s="1"/>
  <c r="E118" i="11"/>
  <c r="D118" i="11"/>
  <c r="E125" i="13"/>
  <c r="B76" i="10"/>
  <c r="B77" i="10" s="1"/>
  <c r="B75" i="10"/>
  <c r="E118" i="17" l="1"/>
  <c r="A99" i="9"/>
  <c r="A100" i="9"/>
  <c r="A101" i="9"/>
  <c r="A102" i="9"/>
  <c r="A103" i="9"/>
  <c r="A104" i="9"/>
  <c r="A105" i="9"/>
  <c r="A106" i="9"/>
  <c r="F37" i="2"/>
  <c r="E37" i="2"/>
  <c r="D37" i="2"/>
  <c r="C37" i="2"/>
  <c r="D36" i="1"/>
  <c r="E36" i="1"/>
  <c r="F36" i="1"/>
  <c r="C36" i="1"/>
  <c r="E120" i="9"/>
  <c r="D120" i="9"/>
  <c r="C120" i="9"/>
  <c r="B120" i="9"/>
  <c r="A107" i="9"/>
  <c r="A16" i="9"/>
  <c r="A86" i="9" s="1"/>
  <c r="A17" i="9"/>
  <c r="A87" i="9" s="1"/>
  <c r="A18" i="9"/>
  <c r="A88" i="9" s="1"/>
  <c r="A19" i="9"/>
  <c r="A89" i="9" s="1"/>
  <c r="A20" i="9"/>
  <c r="A90" i="9" s="1"/>
  <c r="A21" i="9"/>
  <c r="A91" i="9" s="1"/>
  <c r="A22" i="9"/>
  <c r="A92" i="9" s="1"/>
  <c r="A23" i="9"/>
  <c r="A93" i="9" s="1"/>
  <c r="A15" i="9"/>
  <c r="A85" i="9" s="1"/>
  <c r="M132" i="9"/>
  <c r="K132" i="9"/>
  <c r="J132" i="9"/>
  <c r="Q123" i="9"/>
  <c r="Q124" i="9" s="1"/>
  <c r="P123" i="9"/>
  <c r="P124" i="9" s="1"/>
  <c r="O123" i="9"/>
  <c r="O124" i="9" s="1"/>
  <c r="L123" i="9"/>
  <c r="L124" i="9" s="1"/>
  <c r="I123" i="9"/>
  <c r="I124" i="9" s="1"/>
  <c r="H123" i="9"/>
  <c r="H124" i="9" s="1"/>
  <c r="E123" i="9"/>
  <c r="E124" i="9" s="1"/>
  <c r="D123" i="9"/>
  <c r="D124" i="9" s="1"/>
  <c r="C123" i="9"/>
  <c r="C124" i="9" s="1"/>
  <c r="B123" i="9"/>
  <c r="Q93" i="9"/>
  <c r="P93" i="9"/>
  <c r="O93" i="9"/>
  <c r="N93" i="9"/>
  <c r="L93" i="9"/>
  <c r="I93" i="9"/>
  <c r="H93" i="9"/>
  <c r="Q88" i="9"/>
  <c r="P88" i="9"/>
  <c r="O88" i="9"/>
  <c r="N88" i="9"/>
  <c r="L88" i="9"/>
  <c r="I88" i="9"/>
  <c r="H88" i="9"/>
  <c r="Q87" i="9"/>
  <c r="P87" i="9"/>
  <c r="O87" i="9"/>
  <c r="N87" i="9"/>
  <c r="L87" i="9"/>
  <c r="I87" i="9"/>
  <c r="H87" i="9"/>
  <c r="P86" i="9"/>
  <c r="O86" i="9"/>
  <c r="N86" i="9"/>
  <c r="I86" i="9"/>
  <c r="H86" i="9"/>
  <c r="P85" i="9"/>
  <c r="O85" i="9"/>
  <c r="N85" i="9"/>
  <c r="I85" i="9"/>
  <c r="Q38" i="9"/>
  <c r="P38" i="9"/>
  <c r="O38" i="9"/>
  <c r="N38" i="9"/>
  <c r="L38" i="9"/>
  <c r="I38" i="9"/>
  <c r="H38" i="9"/>
  <c r="E38" i="9"/>
  <c r="D38" i="9"/>
  <c r="C38" i="9"/>
  <c r="Q35" i="9"/>
  <c r="P35" i="9"/>
  <c r="O35" i="9"/>
  <c r="N35" i="9"/>
  <c r="L35" i="9"/>
  <c r="I35" i="9"/>
  <c r="H35" i="9"/>
  <c r="E35" i="9"/>
  <c r="D35" i="9"/>
  <c r="C35" i="9"/>
  <c r="N28" i="9"/>
  <c r="Q16" i="9"/>
  <c r="Q86" i="9" s="1"/>
  <c r="Q15" i="9"/>
  <c r="L15" i="9"/>
  <c r="L16" i="9" s="1"/>
  <c r="H15" i="9"/>
  <c r="H85" i="9" s="1"/>
  <c r="P14" i="9"/>
  <c r="P84" i="9" s="1"/>
  <c r="O14" i="9"/>
  <c r="O129" i="9" s="1"/>
  <c r="N14" i="9"/>
  <c r="I14" i="9"/>
  <c r="I129" i="9" s="1"/>
  <c r="Q7" i="9"/>
  <c r="P7" i="9"/>
  <c r="O7" i="9"/>
  <c r="N7" i="9"/>
  <c r="L7" i="9"/>
  <c r="I7" i="9"/>
  <c r="H7" i="9"/>
  <c r="E7" i="9"/>
  <c r="D7" i="9"/>
  <c r="C7" i="9"/>
  <c r="B7" i="9"/>
  <c r="M119" i="8"/>
  <c r="K119" i="8"/>
  <c r="J119" i="8"/>
  <c r="I116" i="8"/>
  <c r="O110" i="8"/>
  <c r="O111" i="8" s="1"/>
  <c r="L110" i="8"/>
  <c r="L111" i="8" s="1"/>
  <c r="I110" i="8"/>
  <c r="I111" i="8" s="1"/>
  <c r="C110" i="8"/>
  <c r="C111" i="8" s="1"/>
  <c r="H99" i="8"/>
  <c r="H106" i="8" s="1"/>
  <c r="Q91" i="8"/>
  <c r="P91" i="8"/>
  <c r="O91" i="8"/>
  <c r="N91" i="8"/>
  <c r="L91" i="8"/>
  <c r="I91" i="8"/>
  <c r="H91" i="8"/>
  <c r="E91" i="8"/>
  <c r="D91" i="8"/>
  <c r="C91" i="8"/>
  <c r="B91" i="8"/>
  <c r="Q90" i="8"/>
  <c r="P90" i="8"/>
  <c r="O90" i="8"/>
  <c r="N90" i="8"/>
  <c r="L90" i="8"/>
  <c r="I90" i="8"/>
  <c r="I100" i="8" s="1"/>
  <c r="I107" i="8" s="1"/>
  <c r="H90" i="8"/>
  <c r="H100" i="8" s="1"/>
  <c r="H107" i="8" s="1"/>
  <c r="E90" i="8"/>
  <c r="D90" i="8"/>
  <c r="D100" i="8" s="1"/>
  <c r="D107" i="8" s="1"/>
  <c r="C90" i="8"/>
  <c r="B90" i="8"/>
  <c r="Q89" i="8"/>
  <c r="P89" i="8"/>
  <c r="O89" i="8"/>
  <c r="N89" i="8"/>
  <c r="L89" i="8"/>
  <c r="I89" i="8"/>
  <c r="I99" i="8" s="1"/>
  <c r="I106" i="8" s="1"/>
  <c r="H89" i="8"/>
  <c r="E89" i="8"/>
  <c r="D89" i="8"/>
  <c r="D99" i="8" s="1"/>
  <c r="D106" i="8" s="1"/>
  <c r="C89" i="8"/>
  <c r="A89" i="8"/>
  <c r="Q88" i="8"/>
  <c r="P88" i="8"/>
  <c r="O88" i="8"/>
  <c r="N88" i="8"/>
  <c r="I88" i="8"/>
  <c r="H88" i="8"/>
  <c r="E88" i="8"/>
  <c r="D88" i="8"/>
  <c r="C88" i="8"/>
  <c r="A88" i="8"/>
  <c r="P87" i="8"/>
  <c r="O87" i="8"/>
  <c r="N87" i="8"/>
  <c r="I87" i="8"/>
  <c r="H87" i="8"/>
  <c r="H97" i="8" s="1"/>
  <c r="H104" i="8" s="1"/>
  <c r="E87" i="8"/>
  <c r="D87" i="8"/>
  <c r="C87" i="8"/>
  <c r="D86" i="8"/>
  <c r="D98" i="8" s="1"/>
  <c r="D105" i="8" s="1"/>
  <c r="B86" i="8"/>
  <c r="B97" i="8" s="1"/>
  <c r="B104" i="8" s="1"/>
  <c r="Q34" i="8"/>
  <c r="P34" i="8"/>
  <c r="O34" i="8"/>
  <c r="N34" i="8"/>
  <c r="L34" i="8"/>
  <c r="I34" i="8"/>
  <c r="H34" i="8"/>
  <c r="E34" i="8"/>
  <c r="D34" i="8"/>
  <c r="C34" i="8"/>
  <c r="P32" i="8"/>
  <c r="P33" i="8" s="1"/>
  <c r="P36" i="8" s="1"/>
  <c r="P38" i="8" s="1"/>
  <c r="P40" i="8" s="1"/>
  <c r="P42" i="8" s="1"/>
  <c r="P44" i="8" s="1"/>
  <c r="P46" i="8" s="1"/>
  <c r="P48" i="8" s="1"/>
  <c r="N32" i="8"/>
  <c r="N33" i="8" s="1"/>
  <c r="N36" i="8" s="1"/>
  <c r="N38" i="8" s="1"/>
  <c r="N40" i="8" s="1"/>
  <c r="N42" i="8" s="1"/>
  <c r="N44" i="8" s="1"/>
  <c r="N46" i="8" s="1"/>
  <c r="N48" i="8" s="1"/>
  <c r="H32" i="8"/>
  <c r="H33" i="8" s="1"/>
  <c r="H36" i="8" s="1"/>
  <c r="H38" i="8" s="1"/>
  <c r="H40" i="8" s="1"/>
  <c r="H42" i="8" s="1"/>
  <c r="H44" i="8" s="1"/>
  <c r="H46" i="8" s="1"/>
  <c r="H48" i="8" s="1"/>
  <c r="D32" i="8"/>
  <c r="D33" i="8" s="1"/>
  <c r="D36" i="8" s="1"/>
  <c r="D38" i="8" s="1"/>
  <c r="D40" i="8" s="1"/>
  <c r="D42" i="8" s="1"/>
  <c r="D44" i="8" s="1"/>
  <c r="D46" i="8" s="1"/>
  <c r="D48" i="8" s="1"/>
  <c r="Q31" i="8"/>
  <c r="P31" i="8"/>
  <c r="O31" i="8"/>
  <c r="N31" i="8"/>
  <c r="L31" i="8"/>
  <c r="I31" i="8"/>
  <c r="H31" i="8"/>
  <c r="E31" i="8"/>
  <c r="D31" i="8"/>
  <c r="C31" i="8"/>
  <c r="N24" i="8"/>
  <c r="B116" i="8"/>
  <c r="B89" i="8"/>
  <c r="Q16" i="8"/>
  <c r="B88" i="8"/>
  <c r="Q15" i="8"/>
  <c r="L15" i="8"/>
  <c r="H15" i="8"/>
  <c r="H14" i="8" s="1"/>
  <c r="H86" i="8" s="1"/>
  <c r="B87" i="8"/>
  <c r="P14" i="8"/>
  <c r="P116" i="8" s="1"/>
  <c r="O14" i="8"/>
  <c r="N14" i="8"/>
  <c r="N116" i="8" s="1"/>
  <c r="I14" i="8"/>
  <c r="I86" i="8" s="1"/>
  <c r="I98" i="8" s="1"/>
  <c r="I105" i="8" s="1"/>
  <c r="E14" i="8"/>
  <c r="E116" i="8" s="1"/>
  <c r="D14" i="8"/>
  <c r="D116" i="8" s="1"/>
  <c r="C14" i="8"/>
  <c r="B14" i="8"/>
  <c r="Q7" i="8"/>
  <c r="P7" i="8"/>
  <c r="O7" i="8"/>
  <c r="N7" i="8"/>
  <c r="L7" i="8"/>
  <c r="I7" i="8"/>
  <c r="H7" i="8"/>
  <c r="E7" i="8"/>
  <c r="D7" i="8"/>
  <c r="C7" i="8"/>
  <c r="B7" i="8"/>
  <c r="I84" i="9" l="1"/>
  <c r="I101" i="9" s="1"/>
  <c r="I113" i="9" s="1"/>
  <c r="L85" i="9"/>
  <c r="H14" i="9"/>
  <c r="H129" i="9" s="1"/>
  <c r="P129" i="9"/>
  <c r="I36" i="9"/>
  <c r="I37" i="9" s="1"/>
  <c r="I40" i="9" s="1"/>
  <c r="I42" i="9" s="1"/>
  <c r="I44" i="9" s="1"/>
  <c r="I46" i="9" s="1"/>
  <c r="I48" i="9" s="1"/>
  <c r="I50" i="9" s="1"/>
  <c r="I52" i="9" s="1"/>
  <c r="N84" i="9"/>
  <c r="N99" i="9" s="1"/>
  <c r="N111" i="9" s="1"/>
  <c r="N36" i="9"/>
  <c r="N37" i="9" s="1"/>
  <c r="N40" i="9" s="1"/>
  <c r="N42" i="9" s="1"/>
  <c r="N44" i="9" s="1"/>
  <c r="N46" i="9" s="1"/>
  <c r="N48" i="9" s="1"/>
  <c r="N50" i="9" s="1"/>
  <c r="N52" i="9" s="1"/>
  <c r="L14" i="9"/>
  <c r="L86" i="9"/>
  <c r="O84" i="9"/>
  <c r="O99" i="9" s="1"/>
  <c r="O111" i="9" s="1"/>
  <c r="O36" i="9"/>
  <c r="O37" i="9" s="1"/>
  <c r="O40" i="9" s="1"/>
  <c r="O42" i="9" s="1"/>
  <c r="O44" i="9" s="1"/>
  <c r="O46" i="9" s="1"/>
  <c r="O48" i="9" s="1"/>
  <c r="O50" i="9" s="1"/>
  <c r="O52" i="9" s="1"/>
  <c r="P107" i="9"/>
  <c r="P120" i="9" s="1"/>
  <c r="Q85" i="9"/>
  <c r="Q14" i="9"/>
  <c r="P100" i="9"/>
  <c r="P99" i="9"/>
  <c r="P111" i="9" s="1"/>
  <c r="N129" i="9"/>
  <c r="P101" i="9"/>
  <c r="P113" i="9" s="1"/>
  <c r="P36" i="9"/>
  <c r="P37" i="9" s="1"/>
  <c r="P40" i="9" s="1"/>
  <c r="P42" i="9" s="1"/>
  <c r="P44" i="9" s="1"/>
  <c r="P46" i="9" s="1"/>
  <c r="P48" i="9" s="1"/>
  <c r="P50" i="9" s="1"/>
  <c r="P52" i="9" s="1"/>
  <c r="N123" i="9"/>
  <c r="N124" i="9" s="1"/>
  <c r="E100" i="8"/>
  <c r="E107" i="8" s="1"/>
  <c r="P117" i="8"/>
  <c r="P118" i="8" s="1"/>
  <c r="P119" i="8" s="1"/>
  <c r="E117" i="8"/>
  <c r="E118" i="8" s="1"/>
  <c r="E119" i="8" s="1"/>
  <c r="N117" i="8"/>
  <c r="N118" i="8" s="1"/>
  <c r="N119" i="8" s="1"/>
  <c r="I117" i="8"/>
  <c r="N86" i="8"/>
  <c r="P98" i="8"/>
  <c r="P105" i="8" s="1"/>
  <c r="B98" i="8"/>
  <c r="B105" i="8" s="1"/>
  <c r="C86" i="8"/>
  <c r="C99" i="8" s="1"/>
  <c r="C106" i="8" s="1"/>
  <c r="C116" i="8"/>
  <c r="C117" i="8" s="1"/>
  <c r="C118" i="8" s="1"/>
  <c r="C119" i="8" s="1"/>
  <c r="C32" i="8"/>
  <c r="C33" i="8" s="1"/>
  <c r="C36" i="8" s="1"/>
  <c r="C38" i="8" s="1"/>
  <c r="C40" i="8" s="1"/>
  <c r="C42" i="8" s="1"/>
  <c r="C44" i="8" s="1"/>
  <c r="C46" i="8" s="1"/>
  <c r="C48" i="8" s="1"/>
  <c r="H108" i="8"/>
  <c r="P99" i="8"/>
  <c r="P106" i="8" s="1"/>
  <c r="Q14" i="8"/>
  <c r="Q87" i="8"/>
  <c r="O116" i="8"/>
  <c r="O117" i="8" s="1"/>
  <c r="O118" i="8" s="1"/>
  <c r="O119" i="8" s="1"/>
  <c r="O32" i="8"/>
  <c r="O33" i="8" s="1"/>
  <c r="O36" i="8" s="1"/>
  <c r="O38" i="8" s="1"/>
  <c r="O40" i="8" s="1"/>
  <c r="O42" i="8" s="1"/>
  <c r="O44" i="8" s="1"/>
  <c r="O46" i="8" s="1"/>
  <c r="O48" i="8" s="1"/>
  <c r="O86" i="8"/>
  <c r="O100" i="8" s="1"/>
  <c r="O107" i="8" s="1"/>
  <c r="D117" i="8"/>
  <c r="D118" i="8" s="1"/>
  <c r="D119" i="8" s="1"/>
  <c r="B110" i="8"/>
  <c r="B100" i="8"/>
  <c r="B107" i="8" s="1"/>
  <c r="E86" i="8"/>
  <c r="E98" i="8" s="1"/>
  <c r="E105" i="8" s="1"/>
  <c r="D97" i="8"/>
  <c r="D104" i="8" s="1"/>
  <c r="D108" i="8" s="1"/>
  <c r="P97" i="8"/>
  <c r="P104" i="8" s="1"/>
  <c r="H98" i="8"/>
  <c r="H105" i="8" s="1"/>
  <c r="N100" i="8"/>
  <c r="N107" i="8" s="1"/>
  <c r="I97" i="8"/>
  <c r="I104" i="8" s="1"/>
  <c r="I108" i="8" s="1"/>
  <c r="Q110" i="8"/>
  <c r="Q111" i="8" s="1"/>
  <c r="H110" i="8"/>
  <c r="H111" i="8" s="1"/>
  <c r="I118" i="8"/>
  <c r="I119" i="8" s="1"/>
  <c r="P110" i="8"/>
  <c r="P111" i="8" s="1"/>
  <c r="E110" i="8"/>
  <c r="E111" i="8" s="1"/>
  <c r="B99" i="8"/>
  <c r="B106" i="8" s="1"/>
  <c r="B108" i="8" s="1"/>
  <c r="O97" i="8"/>
  <c r="O104" i="8" s="1"/>
  <c r="L87" i="8"/>
  <c r="L16" i="8"/>
  <c r="E32" i="8"/>
  <c r="E33" i="8" s="1"/>
  <c r="E36" i="8" s="1"/>
  <c r="E38" i="8" s="1"/>
  <c r="E40" i="8" s="1"/>
  <c r="E42" i="8" s="1"/>
  <c r="E44" i="8" s="1"/>
  <c r="E46" i="8" s="1"/>
  <c r="E48" i="8" s="1"/>
  <c r="N110" i="8"/>
  <c r="N111" i="8" s="1"/>
  <c r="H116" i="8"/>
  <c r="H117" i="8" s="1"/>
  <c r="H118" i="8" s="1"/>
  <c r="H119" i="8" s="1"/>
  <c r="P86" i="8"/>
  <c r="P100" i="8" s="1"/>
  <c r="P107" i="8" s="1"/>
  <c r="D110" i="8"/>
  <c r="D111" i="8" s="1"/>
  <c r="I32" i="8"/>
  <c r="I33" i="8" s="1"/>
  <c r="I36" i="8" s="1"/>
  <c r="I38" i="8" s="1"/>
  <c r="I40" i="8" s="1"/>
  <c r="I42" i="8" s="1"/>
  <c r="I44" i="8" s="1"/>
  <c r="I46" i="8" s="1"/>
  <c r="I48" i="8" s="1"/>
  <c r="I107" i="9" l="1"/>
  <c r="I120" i="9" s="1"/>
  <c r="I100" i="9"/>
  <c r="N100" i="9"/>
  <c r="N107" i="9"/>
  <c r="N120" i="9" s="1"/>
  <c r="O107" i="9"/>
  <c r="O120" i="9" s="1"/>
  <c r="I99" i="9"/>
  <c r="I111" i="9" s="1"/>
  <c r="O101" i="9"/>
  <c r="O113" i="9" s="1"/>
  <c r="O100" i="9"/>
  <c r="H36" i="9"/>
  <c r="H37" i="9" s="1"/>
  <c r="H40" i="9" s="1"/>
  <c r="H42" i="9" s="1"/>
  <c r="H44" i="9" s="1"/>
  <c r="H46" i="9" s="1"/>
  <c r="H48" i="9" s="1"/>
  <c r="H50" i="9" s="1"/>
  <c r="H52" i="9" s="1"/>
  <c r="H84" i="9"/>
  <c r="L129" i="9"/>
  <c r="L84" i="9"/>
  <c r="L36" i="9"/>
  <c r="L37" i="9" s="1"/>
  <c r="L40" i="9" s="1"/>
  <c r="L42" i="9" s="1"/>
  <c r="L44" i="9" s="1"/>
  <c r="L46" i="9" s="1"/>
  <c r="L48" i="9" s="1"/>
  <c r="L50" i="9" s="1"/>
  <c r="L52" i="9" s="1"/>
  <c r="Q36" i="9"/>
  <c r="Q37" i="9" s="1"/>
  <c r="Q40" i="9" s="1"/>
  <c r="Q42" i="9" s="1"/>
  <c r="Q44" i="9" s="1"/>
  <c r="Q46" i="9" s="1"/>
  <c r="Q48" i="9" s="1"/>
  <c r="Q50" i="9" s="1"/>
  <c r="Q52" i="9" s="1"/>
  <c r="Q129" i="9"/>
  <c r="Q84" i="9"/>
  <c r="Q99" i="9" s="1"/>
  <c r="Q111" i="9" s="1"/>
  <c r="N101" i="9"/>
  <c r="N113" i="9" s="1"/>
  <c r="D109" i="8"/>
  <c r="D112" i="8" s="1"/>
  <c r="D49" i="8" s="1"/>
  <c r="D50" i="8" s="1"/>
  <c r="D52" i="8" s="1"/>
  <c r="D54" i="8" s="1"/>
  <c r="D56" i="8" s="1"/>
  <c r="D58" i="8" s="1"/>
  <c r="D60" i="8" s="1"/>
  <c r="D122" i="8" s="1"/>
  <c r="D123" i="8" s="1"/>
  <c r="D61" i="8" s="1"/>
  <c r="D62" i="8" s="1"/>
  <c r="D64" i="8" s="1"/>
  <c r="D66" i="8" s="1"/>
  <c r="D68" i="8" s="1"/>
  <c r="D69" i="8" s="1"/>
  <c r="I109" i="8"/>
  <c r="I112" i="8" s="1"/>
  <c r="I49" i="8" s="1"/>
  <c r="I50" i="8" s="1"/>
  <c r="I52" i="8" s="1"/>
  <c r="I54" i="8" s="1"/>
  <c r="I56" i="8" s="1"/>
  <c r="I58" i="8" s="1"/>
  <c r="I60" i="8" s="1"/>
  <c r="I122" i="8" s="1"/>
  <c r="I123" i="8" s="1"/>
  <c r="I61" i="8" s="1"/>
  <c r="I62" i="8" s="1"/>
  <c r="I64" i="8" s="1"/>
  <c r="I66" i="8" s="1"/>
  <c r="I68" i="8" s="1"/>
  <c r="I69" i="8" s="1"/>
  <c r="H109" i="8"/>
  <c r="H112" i="8" s="1"/>
  <c r="H49" i="8" s="1"/>
  <c r="H50" i="8" s="1"/>
  <c r="H52" i="8" s="1"/>
  <c r="H54" i="8" s="1"/>
  <c r="H56" i="8" s="1"/>
  <c r="H58" i="8" s="1"/>
  <c r="H60" i="8" s="1"/>
  <c r="H120" i="8" s="1"/>
  <c r="O108" i="8"/>
  <c r="O109" i="8" s="1"/>
  <c r="O112" i="8" s="1"/>
  <c r="O49" i="8" s="1"/>
  <c r="O50" i="8" s="1"/>
  <c r="O52" i="8" s="1"/>
  <c r="O54" i="8" s="1"/>
  <c r="O56" i="8" s="1"/>
  <c r="O58" i="8" s="1"/>
  <c r="O60" i="8" s="1"/>
  <c r="O98" i="8"/>
  <c r="O105" i="8" s="1"/>
  <c r="E97" i="8"/>
  <c r="E104" i="8" s="1"/>
  <c r="O99" i="8"/>
  <c r="O106" i="8" s="1"/>
  <c r="E99" i="8"/>
  <c r="E106" i="8" s="1"/>
  <c r="L88" i="8"/>
  <c r="L14" i="8"/>
  <c r="C97" i="8"/>
  <c r="C104" i="8" s="1"/>
  <c r="N97" i="8"/>
  <c r="N104" i="8" s="1"/>
  <c r="N99" i="8"/>
  <c r="N106" i="8" s="1"/>
  <c r="C98" i="8"/>
  <c r="C105" i="8" s="1"/>
  <c r="C100" i="8"/>
  <c r="C107" i="8" s="1"/>
  <c r="P108" i="8"/>
  <c r="P109" i="8" s="1"/>
  <c r="P112" i="8" s="1"/>
  <c r="P49" i="8" s="1"/>
  <c r="P50" i="8" s="1"/>
  <c r="P52" i="8" s="1"/>
  <c r="P54" i="8" s="1"/>
  <c r="P56" i="8" s="1"/>
  <c r="P58" i="8" s="1"/>
  <c r="P60" i="8" s="1"/>
  <c r="Q86" i="8"/>
  <c r="Q32" i="8"/>
  <c r="Q33" i="8" s="1"/>
  <c r="Q36" i="8" s="1"/>
  <c r="Q38" i="8" s="1"/>
  <c r="Q40" i="8" s="1"/>
  <c r="Q42" i="8" s="1"/>
  <c r="Q44" i="8" s="1"/>
  <c r="Q46" i="8" s="1"/>
  <c r="Q48" i="8" s="1"/>
  <c r="Q116" i="8"/>
  <c r="Q117" i="8" s="1"/>
  <c r="Q118" i="8" s="1"/>
  <c r="Q119" i="8" s="1"/>
  <c r="N98" i="8"/>
  <c r="N105" i="8" s="1"/>
  <c r="N112" i="9" l="1"/>
  <c r="N121" i="9" s="1"/>
  <c r="O112" i="9"/>
  <c r="O121" i="9" s="1"/>
  <c r="I112" i="9"/>
  <c r="I121" i="9" s="1"/>
  <c r="P112" i="9"/>
  <c r="P121" i="9" s="1"/>
  <c r="H100" i="9"/>
  <c r="H112" i="9" s="1"/>
  <c r="H99" i="9"/>
  <c r="H111" i="9" s="1"/>
  <c r="H101" i="9"/>
  <c r="H113" i="9" s="1"/>
  <c r="H107" i="9"/>
  <c r="H120" i="9" s="1"/>
  <c r="H122" i="8"/>
  <c r="H123" i="8" s="1"/>
  <c r="H61" i="8" s="1"/>
  <c r="H62" i="8" s="1"/>
  <c r="H64" i="8" s="1"/>
  <c r="H66" i="8" s="1"/>
  <c r="H68" i="8" s="1"/>
  <c r="H69" i="8" s="1"/>
  <c r="L107" i="9"/>
  <c r="L120" i="9" s="1"/>
  <c r="L101" i="9"/>
  <c r="L113" i="9" s="1"/>
  <c r="L99" i="9"/>
  <c r="L111" i="9" s="1"/>
  <c r="Q100" i="9"/>
  <c r="Q112" i="9" s="1"/>
  <c r="Q101" i="9"/>
  <c r="Q113" i="9" s="1"/>
  <c r="Q107" i="9"/>
  <c r="Q120" i="9" s="1"/>
  <c r="O122" i="8"/>
  <c r="O123" i="8" s="1"/>
  <c r="O61" i="8" s="1"/>
  <c r="O62" i="8" s="1"/>
  <c r="O64" i="8" s="1"/>
  <c r="O66" i="8" s="1"/>
  <c r="O68" i="8" s="1"/>
  <c r="O69" i="8" s="1"/>
  <c r="O120" i="8"/>
  <c r="P120" i="8"/>
  <c r="P122" i="8"/>
  <c r="P123" i="8" s="1"/>
  <c r="P61" i="8" s="1"/>
  <c r="P62" i="8" s="1"/>
  <c r="P64" i="8" s="1"/>
  <c r="P66" i="8" s="1"/>
  <c r="P68" i="8" s="1"/>
  <c r="P69" i="8" s="1"/>
  <c r="N108" i="8"/>
  <c r="N109" i="8" s="1"/>
  <c r="N112" i="8" s="1"/>
  <c r="N49" i="8" s="1"/>
  <c r="N50" i="8" s="1"/>
  <c r="N52" i="8" s="1"/>
  <c r="N54" i="8" s="1"/>
  <c r="N56" i="8" s="1"/>
  <c r="N58" i="8" s="1"/>
  <c r="N60" i="8" s="1"/>
  <c r="D120" i="8"/>
  <c r="I120" i="8"/>
  <c r="E108" i="8"/>
  <c r="E109" i="8" s="1"/>
  <c r="E112" i="8" s="1"/>
  <c r="E49" i="8" s="1"/>
  <c r="E50" i="8" s="1"/>
  <c r="E52" i="8" s="1"/>
  <c r="E54" i="8" s="1"/>
  <c r="E56" i="8" s="1"/>
  <c r="E58" i="8" s="1"/>
  <c r="E60" i="8" s="1"/>
  <c r="L32" i="8"/>
  <c r="L33" i="8" s="1"/>
  <c r="L36" i="8" s="1"/>
  <c r="L38" i="8" s="1"/>
  <c r="L40" i="8" s="1"/>
  <c r="L42" i="8" s="1"/>
  <c r="L44" i="8" s="1"/>
  <c r="L46" i="8" s="1"/>
  <c r="L48" i="8" s="1"/>
  <c r="L86" i="8"/>
  <c r="L116" i="8"/>
  <c r="L117" i="8" s="1"/>
  <c r="L118" i="8" s="1"/>
  <c r="L119" i="8" s="1"/>
  <c r="C108" i="8"/>
  <c r="C109" i="8" s="1"/>
  <c r="C112" i="8" s="1"/>
  <c r="C49" i="8" s="1"/>
  <c r="C50" i="8" s="1"/>
  <c r="C52" i="8" s="1"/>
  <c r="C54" i="8" s="1"/>
  <c r="C56" i="8" s="1"/>
  <c r="C58" i="8" s="1"/>
  <c r="C60" i="8" s="1"/>
  <c r="Q99" i="8"/>
  <c r="Q106" i="8" s="1"/>
  <c r="Q100" i="8"/>
  <c r="Q107" i="8" s="1"/>
  <c r="Q98" i="8"/>
  <c r="Q105" i="8" s="1"/>
  <c r="Q97" i="8"/>
  <c r="Q104" i="8" s="1"/>
  <c r="H121" i="9" l="1"/>
  <c r="Q121" i="9"/>
  <c r="L121" i="9"/>
  <c r="E122" i="8"/>
  <c r="E123" i="8" s="1"/>
  <c r="E61" i="8" s="1"/>
  <c r="E62" i="8" s="1"/>
  <c r="E64" i="8" s="1"/>
  <c r="E66" i="8" s="1"/>
  <c r="E68" i="8" s="1"/>
  <c r="E69" i="8" s="1"/>
  <c r="E120" i="8"/>
  <c r="Q108" i="8"/>
  <c r="Q109" i="8" s="1"/>
  <c r="Q112" i="8" s="1"/>
  <c r="Q49" i="8" s="1"/>
  <c r="Q50" i="8" s="1"/>
  <c r="Q52" i="8" s="1"/>
  <c r="Q54" i="8" s="1"/>
  <c r="Q56" i="8" s="1"/>
  <c r="Q58" i="8" s="1"/>
  <c r="Q60" i="8" s="1"/>
  <c r="L100" i="8"/>
  <c r="L107" i="8" s="1"/>
  <c r="L99" i="8"/>
  <c r="L106" i="8" s="1"/>
  <c r="L97" i="8"/>
  <c r="L104" i="8" s="1"/>
  <c r="L108" i="8" s="1"/>
  <c r="L109" i="8" s="1"/>
  <c r="L112" i="8" s="1"/>
  <c r="L49" i="8" s="1"/>
  <c r="L50" i="8" s="1"/>
  <c r="L52" i="8" s="1"/>
  <c r="L54" i="8" s="1"/>
  <c r="L56" i="8" s="1"/>
  <c r="L58" i="8" s="1"/>
  <c r="L60" i="8" s="1"/>
  <c r="L122" i="8" s="1"/>
  <c r="L123" i="8" s="1"/>
  <c r="L61" i="8" s="1"/>
  <c r="L62" i="8" s="1"/>
  <c r="L64" i="8" s="1"/>
  <c r="L66" i="8" s="1"/>
  <c r="L68" i="8" s="1"/>
  <c r="L69" i="8" s="1"/>
  <c r="C122" i="8"/>
  <c r="C123" i="8" s="1"/>
  <c r="C61" i="8" s="1"/>
  <c r="C62" i="8" s="1"/>
  <c r="C64" i="8" s="1"/>
  <c r="C66" i="8" s="1"/>
  <c r="C68" i="8" s="1"/>
  <c r="C120" i="8"/>
  <c r="N120" i="8"/>
  <c r="N122" i="8"/>
  <c r="N123" i="8" s="1"/>
  <c r="N61" i="8" s="1"/>
  <c r="N62" i="8" s="1"/>
  <c r="N64" i="8" s="1"/>
  <c r="N66" i="8" s="1"/>
  <c r="N68" i="8" s="1"/>
  <c r="N69" i="8" s="1"/>
  <c r="L120" i="8" l="1"/>
  <c r="C69" i="8"/>
  <c r="B71" i="8"/>
  <c r="Q120" i="8"/>
  <c r="Q122" i="8"/>
  <c r="Q123" i="8" s="1"/>
  <c r="Q61" i="8" s="1"/>
  <c r="Q62" i="8" s="1"/>
  <c r="Q64" i="8" s="1"/>
  <c r="Q66" i="8" s="1"/>
  <c r="Q68" i="8" s="1"/>
  <c r="Q69" i="8" s="1"/>
  <c r="B73" i="8" l="1"/>
  <c r="B74" i="8" s="1"/>
  <c r="B72" i="8"/>
  <c r="D16" i="1" l="1"/>
  <c r="A96" i="7"/>
  <c r="A97" i="7"/>
  <c r="A98" i="7"/>
  <c r="A99" i="7"/>
  <c r="A100" i="7"/>
  <c r="A101" i="7"/>
  <c r="A102" i="7"/>
  <c r="A23" i="7"/>
  <c r="A103" i="7" s="1"/>
  <c r="A95" i="7"/>
  <c r="J129" i="7"/>
  <c r="J130" i="7" s="1"/>
  <c r="I129" i="7"/>
  <c r="I130" i="7" s="1"/>
  <c r="H129" i="7"/>
  <c r="H130" i="7" s="1"/>
  <c r="E129" i="7"/>
  <c r="E130" i="7" s="1"/>
  <c r="D129" i="7"/>
  <c r="D130" i="7" s="1"/>
  <c r="C129" i="7"/>
  <c r="C130" i="7" s="1"/>
  <c r="B129" i="7"/>
  <c r="J103" i="7"/>
  <c r="I103" i="7"/>
  <c r="H103" i="7"/>
  <c r="G103" i="7"/>
  <c r="J98" i="7"/>
  <c r="I98" i="7"/>
  <c r="H98" i="7"/>
  <c r="G98" i="7"/>
  <c r="J97" i="7"/>
  <c r="I97" i="7"/>
  <c r="H97" i="7"/>
  <c r="J96" i="7"/>
  <c r="I96" i="7"/>
  <c r="H96" i="7"/>
  <c r="G96" i="7"/>
  <c r="J95" i="7"/>
  <c r="H95" i="7"/>
  <c r="J39" i="7"/>
  <c r="I39" i="7"/>
  <c r="H39" i="7"/>
  <c r="G39" i="7"/>
  <c r="E39" i="7"/>
  <c r="D39" i="7"/>
  <c r="C39" i="7"/>
  <c r="J36" i="7"/>
  <c r="I36" i="7"/>
  <c r="G36" i="7"/>
  <c r="E36" i="7"/>
  <c r="D36" i="7"/>
  <c r="C36" i="7"/>
  <c r="G29" i="7"/>
  <c r="G129" i="7" s="1"/>
  <c r="G130" i="7" s="1"/>
  <c r="Q24" i="7"/>
  <c r="P24" i="7"/>
  <c r="O24" i="7"/>
  <c r="N24" i="7"/>
  <c r="M24" i="7"/>
  <c r="L24" i="7"/>
  <c r="G17" i="7"/>
  <c r="G97" i="7" s="1"/>
  <c r="I15" i="7"/>
  <c r="I95" i="7" s="1"/>
  <c r="G15" i="7"/>
  <c r="G95" i="7" s="1"/>
  <c r="J14" i="7"/>
  <c r="J135" i="7" s="1"/>
  <c r="H14" i="7"/>
  <c r="H37" i="7" s="1"/>
  <c r="H38" i="7" s="1"/>
  <c r="H41" i="7" s="1"/>
  <c r="J8" i="7"/>
  <c r="I8" i="7"/>
  <c r="H8" i="7"/>
  <c r="G8" i="7"/>
  <c r="E8" i="7"/>
  <c r="D8" i="7"/>
  <c r="C8" i="7"/>
  <c r="B8" i="7"/>
  <c r="F52" i="4" a="1"/>
  <c r="F52" i="4" s="1"/>
  <c r="H52" i="4" a="1"/>
  <c r="H52" i="4" s="1"/>
  <c r="J52" i="4" a="1"/>
  <c r="J52" i="4" s="1"/>
  <c r="L52" i="4" a="1"/>
  <c r="L52" i="4" s="1"/>
  <c r="N52" i="4" a="1"/>
  <c r="N52" i="4" s="1"/>
  <c r="P52" i="4" a="1"/>
  <c r="P52" i="4" s="1"/>
  <c r="R52" i="4" a="1"/>
  <c r="R52" i="4" s="1"/>
  <c r="T52" i="4" a="1"/>
  <c r="T52" i="4" s="1"/>
  <c r="F51" i="4" a="1"/>
  <c r="F51" i="4" s="1"/>
  <c r="H51" i="4" a="1"/>
  <c r="H51" i="4" s="1"/>
  <c r="J51" i="4" a="1"/>
  <c r="J51" i="4" s="1"/>
  <c r="L51" i="4" a="1"/>
  <c r="L51" i="4" s="1"/>
  <c r="N51" i="4" a="1"/>
  <c r="N51" i="4" s="1"/>
  <c r="P51" i="4" a="1"/>
  <c r="P51" i="4" s="1"/>
  <c r="R51" i="4" a="1"/>
  <c r="R51" i="4" s="1"/>
  <c r="T51" i="4" a="1"/>
  <c r="T51" i="4" s="1"/>
  <c r="F50" i="4" a="1"/>
  <c r="F50" i="4" s="1"/>
  <c r="H50" i="4" a="1"/>
  <c r="H50" i="4" s="1"/>
  <c r="J50" i="4" a="1"/>
  <c r="J50" i="4" s="1"/>
  <c r="L50" i="4" a="1"/>
  <c r="L50" i="4" s="1"/>
  <c r="N50" i="4" a="1"/>
  <c r="N50" i="4" s="1"/>
  <c r="P50" i="4" a="1"/>
  <c r="P50" i="4" s="1"/>
  <c r="R50" i="4" a="1"/>
  <c r="R50" i="4" s="1"/>
  <c r="T50" i="4" a="1"/>
  <c r="T50" i="4" s="1"/>
  <c r="I111" i="5"/>
  <c r="I112" i="5" s="1"/>
  <c r="H111" i="5"/>
  <c r="H112" i="5" s="1"/>
  <c r="E111" i="5"/>
  <c r="E112" i="5" s="1"/>
  <c r="D111" i="5"/>
  <c r="D112" i="5" s="1"/>
  <c r="J95" i="5"/>
  <c r="J90" i="5" s="1"/>
  <c r="I95" i="5"/>
  <c r="H95" i="5"/>
  <c r="G95" i="5"/>
  <c r="E95" i="5"/>
  <c r="E90" i="5" s="1"/>
  <c r="D95" i="5"/>
  <c r="C95" i="5"/>
  <c r="B95" i="5"/>
  <c r="J94" i="5"/>
  <c r="I94" i="5"/>
  <c r="H94" i="5"/>
  <c r="H102" i="5" s="1"/>
  <c r="H108" i="5" s="1"/>
  <c r="G94" i="5"/>
  <c r="E94" i="5"/>
  <c r="D94" i="5"/>
  <c r="C94" i="5"/>
  <c r="A94" i="5"/>
  <c r="J93" i="5"/>
  <c r="I93" i="5"/>
  <c r="H93" i="5"/>
  <c r="H101" i="5" s="1"/>
  <c r="H107" i="5" s="1"/>
  <c r="E93" i="5"/>
  <c r="D93" i="5"/>
  <c r="C93" i="5"/>
  <c r="A93" i="5"/>
  <c r="J92" i="5"/>
  <c r="I92" i="5"/>
  <c r="H92" i="5"/>
  <c r="G92" i="5"/>
  <c r="E92" i="5"/>
  <c r="D92" i="5"/>
  <c r="D100" i="5" s="1"/>
  <c r="D106" i="5" s="1"/>
  <c r="C92" i="5"/>
  <c r="A92" i="5"/>
  <c r="J91" i="5"/>
  <c r="H91" i="5"/>
  <c r="H90" i="5" s="1"/>
  <c r="E91" i="5"/>
  <c r="D91" i="5"/>
  <c r="D99" i="5" s="1"/>
  <c r="D105" i="5" s="1"/>
  <c r="C91" i="5"/>
  <c r="A91" i="5"/>
  <c r="D90" i="5"/>
  <c r="C90" i="5"/>
  <c r="J35" i="5"/>
  <c r="I35" i="5"/>
  <c r="H35" i="5"/>
  <c r="G35" i="5"/>
  <c r="E35" i="5"/>
  <c r="D35" i="5"/>
  <c r="C35" i="5"/>
  <c r="H33" i="5"/>
  <c r="H34" i="5" s="1"/>
  <c r="H37" i="5" s="1"/>
  <c r="E33" i="5"/>
  <c r="E34" i="5" s="1"/>
  <c r="E37" i="5" s="1"/>
  <c r="D33" i="5"/>
  <c r="D34" i="5" s="1"/>
  <c r="D37" i="5" s="1"/>
  <c r="J32" i="5"/>
  <c r="I32" i="5"/>
  <c r="G32" i="5"/>
  <c r="E32" i="5"/>
  <c r="D32" i="5"/>
  <c r="C32" i="5"/>
  <c r="G25" i="5"/>
  <c r="B111" i="5"/>
  <c r="Q20" i="5"/>
  <c r="P20" i="5"/>
  <c r="O20" i="5"/>
  <c r="N20" i="5"/>
  <c r="M20" i="5"/>
  <c r="L20" i="5"/>
  <c r="L21" i="5" s="1"/>
  <c r="B18" i="5"/>
  <c r="B94" i="5" s="1"/>
  <c r="G17" i="5"/>
  <c r="G93" i="5" s="1"/>
  <c r="B93" i="5"/>
  <c r="B92" i="5"/>
  <c r="I15" i="5"/>
  <c r="I91" i="5" s="1"/>
  <c r="G15" i="5"/>
  <c r="G14" i="5" s="1"/>
  <c r="G33" i="5" s="1"/>
  <c r="G34" i="5" s="1"/>
  <c r="G37" i="5" s="1"/>
  <c r="B91" i="5"/>
  <c r="J14" i="5"/>
  <c r="J33" i="5" s="1"/>
  <c r="J34" i="5" s="1"/>
  <c r="J37" i="5" s="1"/>
  <c r="I14" i="5"/>
  <c r="I33" i="5" s="1"/>
  <c r="I34" i="5" s="1"/>
  <c r="I37" i="5" s="1"/>
  <c r="H14" i="5"/>
  <c r="H117" i="5" s="1"/>
  <c r="E14" i="5"/>
  <c r="E117" i="5" s="1"/>
  <c r="D14" i="5"/>
  <c r="D117" i="5" s="1"/>
  <c r="C14" i="5"/>
  <c r="C33" i="5" s="1"/>
  <c r="C34" i="5" s="1"/>
  <c r="C37" i="5" s="1"/>
  <c r="B14" i="5"/>
  <c r="J8" i="5"/>
  <c r="I8" i="5"/>
  <c r="H8" i="5"/>
  <c r="G8" i="5"/>
  <c r="E8" i="5"/>
  <c r="D8" i="5"/>
  <c r="C8" i="5"/>
  <c r="B8" i="5"/>
  <c r="U52" i="4" l="1"/>
  <c r="Z52" i="4" s="1"/>
  <c r="U51" i="4"/>
  <c r="U50" i="4"/>
  <c r="Z50" i="4" s="1"/>
  <c r="E99" i="5"/>
  <c r="E105" i="5" s="1"/>
  <c r="E102" i="5"/>
  <c r="E108" i="5" s="1"/>
  <c r="D109" i="5"/>
  <c r="J101" i="5"/>
  <c r="J107" i="5" s="1"/>
  <c r="E100" i="5"/>
  <c r="E106" i="5" s="1"/>
  <c r="D101" i="5"/>
  <c r="D107" i="5" s="1"/>
  <c r="C102" i="5"/>
  <c r="C108" i="5" s="1"/>
  <c r="J102" i="5"/>
  <c r="J108" i="5" s="1"/>
  <c r="C101" i="5"/>
  <c r="C107" i="5" s="1"/>
  <c r="J99" i="5"/>
  <c r="J105" i="5" s="1"/>
  <c r="E101" i="5"/>
  <c r="E107" i="5" s="1"/>
  <c r="D102" i="5"/>
  <c r="D108" i="5" s="1"/>
  <c r="C99" i="5"/>
  <c r="C105" i="5" s="1"/>
  <c r="C100" i="5"/>
  <c r="C106" i="5" s="1"/>
  <c r="J100" i="5"/>
  <c r="J106" i="5" s="1"/>
  <c r="H43" i="7"/>
  <c r="H45" i="7" s="1"/>
  <c r="H47" i="7" s="1"/>
  <c r="H49" i="7" s="1"/>
  <c r="H51" i="7" s="1"/>
  <c r="H53" i="7" s="1"/>
  <c r="G14" i="7"/>
  <c r="G37" i="7" s="1"/>
  <c r="G38" i="7" s="1"/>
  <c r="G41" i="7" s="1"/>
  <c r="G43" i="7" s="1"/>
  <c r="G45" i="7" s="1"/>
  <c r="G47" i="7" s="1"/>
  <c r="G49" i="7" s="1"/>
  <c r="G51" i="7" s="1"/>
  <c r="G53" i="7" s="1"/>
  <c r="L25" i="7"/>
  <c r="J94" i="7"/>
  <c r="J109" i="7" s="1"/>
  <c r="J120" i="7" s="1"/>
  <c r="I14" i="7"/>
  <c r="H135" i="7"/>
  <c r="H94" i="7"/>
  <c r="H114" i="7" s="1"/>
  <c r="H125" i="7" s="1"/>
  <c r="G94" i="7"/>
  <c r="G114" i="7" s="1"/>
  <c r="G125" i="7" s="1"/>
  <c r="J37" i="7"/>
  <c r="J38" i="7" s="1"/>
  <c r="J41" i="7" s="1"/>
  <c r="J43" i="7" s="1"/>
  <c r="J45" i="7" s="1"/>
  <c r="J47" i="7" s="1"/>
  <c r="J49" i="7" s="1"/>
  <c r="J51" i="7" s="1"/>
  <c r="J53" i="7" s="1"/>
  <c r="I94" i="7"/>
  <c r="I109" i="7" s="1"/>
  <c r="I120" i="7" s="1"/>
  <c r="D39" i="5"/>
  <c r="D41" i="5" s="1"/>
  <c r="D43" i="5" s="1"/>
  <c r="D45" i="5" s="1"/>
  <c r="D47" i="5" s="1"/>
  <c r="D49" i="5" s="1"/>
  <c r="E39" i="5"/>
  <c r="E41" i="5" s="1"/>
  <c r="E43" i="5" s="1"/>
  <c r="E45" i="5" s="1"/>
  <c r="E47" i="5" s="1"/>
  <c r="E49" i="5" s="1"/>
  <c r="I39" i="5"/>
  <c r="I41" i="5" s="1"/>
  <c r="I43" i="5" s="1"/>
  <c r="I45" i="5" s="1"/>
  <c r="I47" i="5" s="1"/>
  <c r="I49" i="5" s="1"/>
  <c r="B102" i="5"/>
  <c r="B108" i="5" s="1"/>
  <c r="C39" i="5"/>
  <c r="C41" i="5" s="1"/>
  <c r="C43" i="5" s="1"/>
  <c r="C45" i="5" s="1"/>
  <c r="C47" i="5" s="1"/>
  <c r="C49" i="5" s="1"/>
  <c r="J39" i="5"/>
  <c r="J41" i="5" s="1"/>
  <c r="J43" i="5" s="1"/>
  <c r="J45" i="5" s="1"/>
  <c r="J47" i="5" s="1"/>
  <c r="J49" i="5" s="1"/>
  <c r="I90" i="5"/>
  <c r="I101" i="5" s="1"/>
  <c r="I107" i="5" s="1"/>
  <c r="I99" i="5"/>
  <c r="I105" i="5" s="1"/>
  <c r="I102" i="5"/>
  <c r="I108" i="5" s="1"/>
  <c r="B100" i="5"/>
  <c r="B106" i="5" s="1"/>
  <c r="G39" i="5"/>
  <c r="G41" i="5" s="1"/>
  <c r="G43" i="5" s="1"/>
  <c r="G45" i="5" s="1"/>
  <c r="G47" i="5" s="1"/>
  <c r="G49" i="5" s="1"/>
  <c r="B90" i="5"/>
  <c r="B101" i="5" s="1"/>
  <c r="B107" i="5" s="1"/>
  <c r="B99" i="5"/>
  <c r="B105" i="5" s="1"/>
  <c r="G117" i="5"/>
  <c r="H39" i="5"/>
  <c r="H41" i="5" s="1"/>
  <c r="H43" i="5" s="1"/>
  <c r="H45" i="5" s="1"/>
  <c r="H47" i="5" s="1"/>
  <c r="H49" i="5" s="1"/>
  <c r="J109" i="5"/>
  <c r="H100" i="5"/>
  <c r="H106" i="5" s="1"/>
  <c r="G91" i="5"/>
  <c r="H99" i="5"/>
  <c r="H105" i="5" s="1"/>
  <c r="G111" i="5"/>
  <c r="G112" i="5" s="1"/>
  <c r="B117" i="5"/>
  <c r="I117" i="5"/>
  <c r="C117" i="5"/>
  <c r="J117" i="5"/>
  <c r="C111" i="5"/>
  <c r="C112" i="5" s="1"/>
  <c r="J111" i="5"/>
  <c r="J112" i="5" s="1"/>
  <c r="C76" i="4" l="1" a="1"/>
  <c r="C76" i="4" s="1"/>
  <c r="Z51" i="4"/>
  <c r="W50" i="4"/>
  <c r="W51" i="4"/>
  <c r="W52" i="4"/>
  <c r="I100" i="5"/>
  <c r="I106" i="5" s="1"/>
  <c r="I109" i="5" s="1"/>
  <c r="C109" i="5"/>
  <c r="E109" i="5"/>
  <c r="G107" i="7"/>
  <c r="G118" i="7" s="1"/>
  <c r="H109" i="7"/>
  <c r="H120" i="7" s="1"/>
  <c r="J114" i="7"/>
  <c r="J125" i="7" s="1"/>
  <c r="J108" i="7"/>
  <c r="J119" i="7" s="1"/>
  <c r="G135" i="7"/>
  <c r="I108" i="7"/>
  <c r="I119" i="7" s="1"/>
  <c r="J107" i="7"/>
  <c r="J118" i="7" s="1"/>
  <c r="I37" i="7"/>
  <c r="I38" i="7" s="1"/>
  <c r="I41" i="7" s="1"/>
  <c r="I43" i="7" s="1"/>
  <c r="I45" i="7" s="1"/>
  <c r="I47" i="7" s="1"/>
  <c r="I49" i="7" s="1"/>
  <c r="I51" i="7" s="1"/>
  <c r="I53" i="7" s="1"/>
  <c r="I135" i="7"/>
  <c r="H108" i="7"/>
  <c r="H119" i="7" s="1"/>
  <c r="H107" i="7"/>
  <c r="H118" i="7" s="1"/>
  <c r="G109" i="7"/>
  <c r="G120" i="7" s="1"/>
  <c r="I107" i="7"/>
  <c r="I118" i="7" s="1"/>
  <c r="I114" i="7"/>
  <c r="I125" i="7" s="1"/>
  <c r="G108" i="7"/>
  <c r="G119" i="7" s="1"/>
  <c r="L4" i="6" a="1"/>
  <c r="L4" i="6" s="1"/>
  <c r="L11" i="6" a="1"/>
  <c r="L11" i="6" s="1"/>
  <c r="G90" i="5"/>
  <c r="G99" i="5"/>
  <c r="G105" i="5" s="1"/>
  <c r="B109" i="5"/>
  <c r="J118" i="5"/>
  <c r="J119" i="5" s="1"/>
  <c r="J120" i="5" s="1"/>
  <c r="C118" i="5"/>
  <c r="C119" i="5" s="1"/>
  <c r="C120" i="5" s="1"/>
  <c r="I118" i="5"/>
  <c r="I119" i="5" s="1"/>
  <c r="I120" i="5" s="1"/>
  <c r="H118" i="5"/>
  <c r="H119" i="5" s="1"/>
  <c r="H120" i="5" s="1"/>
  <c r="G118" i="5"/>
  <c r="G119" i="5" s="1"/>
  <c r="G120" i="5" s="1"/>
  <c r="E118" i="5"/>
  <c r="E119" i="5" s="1"/>
  <c r="E120" i="5" s="1"/>
  <c r="D118" i="5"/>
  <c r="D119" i="5" s="1"/>
  <c r="D120" i="5" s="1"/>
  <c r="H109" i="5"/>
  <c r="F76" i="4" l="1" a="1"/>
  <c r="F76" i="4" s="1"/>
  <c r="D76" i="4" a="1"/>
  <c r="D76" i="4" s="1"/>
  <c r="L7" i="6" a="1"/>
  <c r="L7" i="6" s="1"/>
  <c r="C19" i="7" s="1"/>
  <c r="C19" i="16" s="1"/>
  <c r="C89" i="16" s="1"/>
  <c r="L10" i="6" a="1"/>
  <c r="L10" i="6" s="1"/>
  <c r="C22" i="15" s="1"/>
  <c r="C102" i="15" s="1"/>
  <c r="L9" i="6" a="1"/>
  <c r="L9" i="6" s="1"/>
  <c r="C21" i="7" s="1"/>
  <c r="L8" i="6" a="1"/>
  <c r="L8" i="6" s="1"/>
  <c r="C20" i="7" s="1"/>
  <c r="C20" i="16" s="1"/>
  <c r="C90" i="16" s="1"/>
  <c r="G76" i="4" a="1"/>
  <c r="G76" i="4" s="1"/>
  <c r="H76" i="4" a="1"/>
  <c r="H76" i="4" s="1"/>
  <c r="I76" i="4" a="1"/>
  <c r="I76" i="4" s="1"/>
  <c r="J76" i="4" a="1"/>
  <c r="J76" i="4" s="1"/>
  <c r="B76" i="4" a="1"/>
  <c r="B76" i="4" s="1"/>
  <c r="L5" i="6" a="1"/>
  <c r="L5" i="6" s="1"/>
  <c r="C17" i="15" s="1"/>
  <c r="C97" i="15" s="1"/>
  <c r="E76" i="4" a="1"/>
  <c r="E76" i="4" s="1"/>
  <c r="L3" i="6" a="1"/>
  <c r="L3" i="6" s="1"/>
  <c r="C15" i="15" s="1"/>
  <c r="C95" i="15" s="1"/>
  <c r="L6" i="6" a="1"/>
  <c r="L6" i="6" s="1"/>
  <c r="C18" i="15" s="1"/>
  <c r="C98" i="15" s="1"/>
  <c r="C23" i="7"/>
  <c r="C103" i="7" s="1"/>
  <c r="C23" i="15"/>
  <c r="C103" i="15" s="1"/>
  <c r="C16" i="7"/>
  <c r="C16" i="15"/>
  <c r="C96" i="15" s="1"/>
  <c r="J127" i="7"/>
  <c r="G127" i="7"/>
  <c r="H127" i="7"/>
  <c r="I127" i="7"/>
  <c r="E110" i="5"/>
  <c r="E113" i="5" s="1"/>
  <c r="E50" i="5" s="1"/>
  <c r="E51" i="5" s="1"/>
  <c r="E53" i="5" s="1"/>
  <c r="E55" i="5" s="1"/>
  <c r="E57" i="5" s="1"/>
  <c r="E59" i="5" s="1"/>
  <c r="E61" i="5" s="1"/>
  <c r="E63" i="5" s="1"/>
  <c r="E65" i="5" s="1"/>
  <c r="E121" i="5" s="1"/>
  <c r="D110" i="5"/>
  <c r="D113" i="5" s="1"/>
  <c r="D50" i="5" s="1"/>
  <c r="D51" i="5" s="1"/>
  <c r="D53" i="5" s="1"/>
  <c r="D55" i="5" s="1"/>
  <c r="D57" i="5" s="1"/>
  <c r="D59" i="5" s="1"/>
  <c r="D61" i="5" s="1"/>
  <c r="D63" i="5" s="1"/>
  <c r="D65" i="5" s="1"/>
  <c r="D123" i="5" s="1"/>
  <c r="D124" i="5" s="1"/>
  <c r="D66" i="5" s="1"/>
  <c r="D67" i="5" s="1"/>
  <c r="D69" i="5" s="1"/>
  <c r="D71" i="5" s="1"/>
  <c r="D73" i="5" s="1"/>
  <c r="D74" i="5" s="1"/>
  <c r="J110" i="5"/>
  <c r="J113" i="5" s="1"/>
  <c r="J50" i="5" s="1"/>
  <c r="J51" i="5" s="1"/>
  <c r="J53" i="5" s="1"/>
  <c r="J55" i="5" s="1"/>
  <c r="J57" i="5" s="1"/>
  <c r="J59" i="5" s="1"/>
  <c r="J61" i="5" s="1"/>
  <c r="J63" i="5" s="1"/>
  <c r="J65" i="5" s="1"/>
  <c r="J123" i="5" s="1"/>
  <c r="J124" i="5" s="1"/>
  <c r="J66" i="5" s="1"/>
  <c r="J67" i="5" s="1"/>
  <c r="J69" i="5" s="1"/>
  <c r="J71" i="5" s="1"/>
  <c r="J73" i="5" s="1"/>
  <c r="J74" i="5" s="1"/>
  <c r="C110" i="5"/>
  <c r="C113" i="5" s="1"/>
  <c r="C50" i="5" s="1"/>
  <c r="C51" i="5" s="1"/>
  <c r="C53" i="5" s="1"/>
  <c r="C55" i="5" s="1"/>
  <c r="C57" i="5" s="1"/>
  <c r="C59" i="5" s="1"/>
  <c r="C61" i="5" s="1"/>
  <c r="C63" i="5" s="1"/>
  <c r="C65" i="5" s="1"/>
  <c r="C123" i="5" s="1"/>
  <c r="C124" i="5" s="1"/>
  <c r="C66" i="5" s="1"/>
  <c r="C67" i="5" s="1"/>
  <c r="C69" i="5" s="1"/>
  <c r="C71" i="5" s="1"/>
  <c r="C73" i="5" s="1"/>
  <c r="I110" i="5"/>
  <c r="I113" i="5" s="1"/>
  <c r="I50" i="5" s="1"/>
  <c r="I51" i="5" s="1"/>
  <c r="I53" i="5" s="1"/>
  <c r="I55" i="5" s="1"/>
  <c r="I57" i="5" s="1"/>
  <c r="I59" i="5" s="1"/>
  <c r="I61" i="5" s="1"/>
  <c r="I63" i="5" s="1"/>
  <c r="I65" i="5" s="1"/>
  <c r="I123" i="5" s="1"/>
  <c r="I124" i="5" s="1"/>
  <c r="I66" i="5" s="1"/>
  <c r="I67" i="5" s="1"/>
  <c r="I69" i="5" s="1"/>
  <c r="I71" i="5" s="1"/>
  <c r="I73" i="5" s="1"/>
  <c r="I74" i="5" s="1"/>
  <c r="H110" i="5"/>
  <c r="H113" i="5" s="1"/>
  <c r="H50" i="5" s="1"/>
  <c r="H51" i="5" s="1"/>
  <c r="H53" i="5" s="1"/>
  <c r="H55" i="5" s="1"/>
  <c r="H57" i="5" s="1"/>
  <c r="H59" i="5" s="1"/>
  <c r="H61" i="5" s="1"/>
  <c r="H63" i="5" s="1"/>
  <c r="H65" i="5" s="1"/>
  <c r="H123" i="5" s="1"/>
  <c r="H124" i="5" s="1"/>
  <c r="H66" i="5" s="1"/>
  <c r="H67" i="5" s="1"/>
  <c r="H69" i="5" s="1"/>
  <c r="H71" i="5" s="1"/>
  <c r="H73" i="5" s="1"/>
  <c r="H74" i="5" s="1"/>
  <c r="G102" i="5"/>
  <c r="G108" i="5" s="1"/>
  <c r="G100" i="5"/>
  <c r="G106" i="5" s="1"/>
  <c r="G101" i="5"/>
  <c r="G107" i="5" s="1"/>
  <c r="C22" i="7" l="1"/>
  <c r="C22" i="9" s="1"/>
  <c r="C92" i="9" s="1"/>
  <c r="C17" i="7"/>
  <c r="C17" i="16" s="1"/>
  <c r="C87" i="16" s="1"/>
  <c r="C20" i="15"/>
  <c r="C100" i="15" s="1"/>
  <c r="C19" i="15"/>
  <c r="C99" i="15" s="1"/>
  <c r="C21" i="15"/>
  <c r="C101" i="15" s="1"/>
  <c r="C21" i="16"/>
  <c r="C91" i="16" s="1"/>
  <c r="C21" i="9"/>
  <c r="C91" i="9" s="1"/>
  <c r="L12" i="6"/>
  <c r="L13" i="6" s="1"/>
  <c r="C18" i="7"/>
  <c r="C98" i="7" s="1"/>
  <c r="C15" i="7"/>
  <c r="C15" i="16" s="1"/>
  <c r="C85" i="16" s="1"/>
  <c r="C100" i="7"/>
  <c r="C101" i="7"/>
  <c r="C20" i="9"/>
  <c r="C90" i="9" s="1"/>
  <c r="C97" i="7"/>
  <c r="C19" i="9"/>
  <c r="C89" i="9" s="1"/>
  <c r="C99" i="7"/>
  <c r="C96" i="7"/>
  <c r="C16" i="16"/>
  <c r="C86" i="16" s="1"/>
  <c r="C23" i="9"/>
  <c r="C93" i="9" s="1"/>
  <c r="C23" i="16"/>
  <c r="C93" i="16" s="1"/>
  <c r="C102" i="7"/>
  <c r="C17" i="9"/>
  <c r="C87" i="9" s="1"/>
  <c r="C16" i="9"/>
  <c r="C86" i="9" s="1"/>
  <c r="G109" i="5"/>
  <c r="G110" i="5" s="1"/>
  <c r="G113" i="5" s="1"/>
  <c r="G50" i="5" s="1"/>
  <c r="G51" i="5" s="1"/>
  <c r="G53" i="5" s="1"/>
  <c r="G55" i="5" s="1"/>
  <c r="G57" i="5" s="1"/>
  <c r="G59" i="5" s="1"/>
  <c r="G61" i="5" s="1"/>
  <c r="G63" i="5" s="1"/>
  <c r="G65" i="5" s="1"/>
  <c r="G121" i="5" s="1"/>
  <c r="J121" i="5"/>
  <c r="E123" i="5"/>
  <c r="E124" i="5" s="1"/>
  <c r="E66" i="5" s="1"/>
  <c r="E67" i="5" s="1"/>
  <c r="E69" i="5" s="1"/>
  <c r="E71" i="5" s="1"/>
  <c r="E73" i="5" s="1"/>
  <c r="E74" i="5" s="1"/>
  <c r="C121" i="5"/>
  <c r="I121" i="5"/>
  <c r="H121" i="5"/>
  <c r="D121" i="5"/>
  <c r="C74" i="5"/>
  <c r="C94" i="15" l="1"/>
  <c r="C114" i="15" s="1"/>
  <c r="C125" i="15" s="1"/>
  <c r="C22" i="16"/>
  <c r="C92" i="16" s="1"/>
  <c r="C14" i="15"/>
  <c r="C135" i="15" s="1"/>
  <c r="C15" i="9"/>
  <c r="C85" i="9" s="1"/>
  <c r="C95" i="7"/>
  <c r="C94" i="7" s="1"/>
  <c r="C107" i="7" s="1"/>
  <c r="C18" i="9"/>
  <c r="C88" i="9" s="1"/>
  <c r="C14" i="7"/>
  <c r="C135" i="7" s="1"/>
  <c r="C18" i="16"/>
  <c r="C88" i="16" s="1"/>
  <c r="C113" i="15"/>
  <c r="C124" i="15" s="1"/>
  <c r="G123" i="5"/>
  <c r="G124" i="5" s="1"/>
  <c r="G66" i="5" s="1"/>
  <c r="G67" i="5" s="1"/>
  <c r="G69" i="5" s="1"/>
  <c r="G71" i="5" s="1"/>
  <c r="G73" i="5" s="1"/>
  <c r="G74" i="5" s="1"/>
  <c r="B76" i="5"/>
  <c r="C115" i="15" l="1"/>
  <c r="C126" i="15" s="1"/>
  <c r="C108" i="15"/>
  <c r="C119" i="15" s="1"/>
  <c r="C110" i="15"/>
  <c r="C121" i="15" s="1"/>
  <c r="C112" i="15"/>
  <c r="C123" i="15" s="1"/>
  <c r="C111" i="15"/>
  <c r="C122" i="15" s="1"/>
  <c r="C107" i="15"/>
  <c r="C118" i="15" s="1"/>
  <c r="C109" i="15"/>
  <c r="C120" i="15" s="1"/>
  <c r="C37" i="15"/>
  <c r="C38" i="15" s="1"/>
  <c r="C41" i="15" s="1"/>
  <c r="C43" i="15" s="1"/>
  <c r="C45" i="15" s="1"/>
  <c r="C47" i="15" s="1"/>
  <c r="C49" i="15" s="1"/>
  <c r="C51" i="15" s="1"/>
  <c r="C53" i="15" s="1"/>
  <c r="C14" i="16"/>
  <c r="C36" i="16" s="1"/>
  <c r="C37" i="16" s="1"/>
  <c r="C40" i="16" s="1"/>
  <c r="C42" i="16" s="1"/>
  <c r="C44" i="16" s="1"/>
  <c r="C46" i="16" s="1"/>
  <c r="C48" i="16" s="1"/>
  <c r="C50" i="16" s="1"/>
  <c r="C52" i="16" s="1"/>
  <c r="C14" i="9"/>
  <c r="C129" i="9" s="1"/>
  <c r="C37" i="7"/>
  <c r="C38" i="7" s="1"/>
  <c r="C41" i="7" s="1"/>
  <c r="C43" i="7" s="1"/>
  <c r="C45" i="7" s="1"/>
  <c r="C47" i="7" s="1"/>
  <c r="C49" i="7" s="1"/>
  <c r="C51" i="7" s="1"/>
  <c r="C53" i="7" s="1"/>
  <c r="C127" i="15"/>
  <c r="C118" i="7"/>
  <c r="C108" i="7"/>
  <c r="C119" i="7" s="1"/>
  <c r="C109" i="7"/>
  <c r="C120" i="7" s="1"/>
  <c r="C110" i="7"/>
  <c r="C121" i="7" s="1"/>
  <c r="C115" i="7"/>
  <c r="C126" i="7" s="1"/>
  <c r="C114" i="7"/>
  <c r="C125" i="7" s="1"/>
  <c r="C111" i="7"/>
  <c r="C122" i="7" s="1"/>
  <c r="C113" i="7"/>
  <c r="C124" i="7" s="1"/>
  <c r="C112" i="7"/>
  <c r="C123" i="7" s="1"/>
  <c r="B78" i="5"/>
  <c r="B79" i="5" s="1"/>
  <c r="B77" i="5"/>
  <c r="C36" i="9" l="1"/>
  <c r="C37" i="9" s="1"/>
  <c r="C40" i="9" s="1"/>
  <c r="C42" i="9" s="1"/>
  <c r="C44" i="9" s="1"/>
  <c r="C46" i="9" s="1"/>
  <c r="C48" i="9" s="1"/>
  <c r="C50" i="9" s="1"/>
  <c r="C52" i="9" s="1"/>
  <c r="C84" i="9"/>
  <c r="C99" i="9" s="1"/>
  <c r="C111" i="9" s="1"/>
  <c r="C84" i="16"/>
  <c r="C106" i="16" s="1"/>
  <c r="C118" i="16" s="1"/>
  <c r="C129" i="16"/>
  <c r="C127" i="7"/>
  <c r="F49" i="4" a="1"/>
  <c r="F49" i="4" s="1"/>
  <c r="H49" i="4" a="1"/>
  <c r="H49" i="4" s="1"/>
  <c r="J49" i="4" a="1"/>
  <c r="J49" i="4" s="1"/>
  <c r="L49" i="4" a="1"/>
  <c r="L49" i="4" s="1"/>
  <c r="N49" i="4" a="1"/>
  <c r="N49" i="4" s="1"/>
  <c r="P49" i="4" a="1"/>
  <c r="P49" i="4" s="1"/>
  <c r="R49" i="4" a="1"/>
  <c r="R49" i="4" s="1"/>
  <c r="T49" i="4" a="1"/>
  <c r="T49" i="4" s="1"/>
  <c r="F48" i="4" a="1"/>
  <c r="F48" i="4" s="1"/>
  <c r="H48" i="4" a="1"/>
  <c r="H48" i="4" s="1"/>
  <c r="J48" i="4" a="1"/>
  <c r="J48" i="4" s="1"/>
  <c r="L48" i="4" a="1"/>
  <c r="L48" i="4" s="1"/>
  <c r="N48" i="4" a="1"/>
  <c r="N48" i="4" s="1"/>
  <c r="P48" i="4" a="1"/>
  <c r="P48" i="4" s="1"/>
  <c r="R48" i="4" a="1"/>
  <c r="R48" i="4" s="1"/>
  <c r="T48" i="4" a="1"/>
  <c r="T48" i="4" s="1"/>
  <c r="C105" i="9" l="1"/>
  <c r="C117" i="9" s="1"/>
  <c r="C104" i="9"/>
  <c r="C116" i="9" s="1"/>
  <c r="C107" i="9"/>
  <c r="C119" i="9" s="1"/>
  <c r="C100" i="9"/>
  <c r="C112" i="9" s="1"/>
  <c r="C102" i="9"/>
  <c r="C114" i="9" s="1"/>
  <c r="C106" i="9"/>
  <c r="C118" i="9" s="1"/>
  <c r="C103" i="9"/>
  <c r="C115" i="9" s="1"/>
  <c r="C101" i="9"/>
  <c r="C113" i="9" s="1"/>
  <c r="C100" i="16"/>
  <c r="C112" i="16" s="1"/>
  <c r="C103" i="16"/>
  <c r="C115" i="16" s="1"/>
  <c r="C99" i="16"/>
  <c r="C111" i="16" s="1"/>
  <c r="C105" i="16"/>
  <c r="C117" i="16" s="1"/>
  <c r="C107" i="16"/>
  <c r="C119" i="16" s="1"/>
  <c r="C104" i="16"/>
  <c r="C116" i="16" s="1"/>
  <c r="C101" i="16"/>
  <c r="C113" i="16" s="1"/>
  <c r="C102" i="16"/>
  <c r="C114" i="16" s="1"/>
  <c r="U49" i="4"/>
  <c r="Z49" i="4" s="1"/>
  <c r="U48" i="4"/>
  <c r="Z48" i="4" s="1"/>
  <c r="C121" i="9" l="1"/>
  <c r="C121" i="16"/>
  <c r="W49" i="4"/>
  <c r="W48" i="4"/>
  <c r="F47" i="4" a="1"/>
  <c r="F47" i="4" s="1"/>
  <c r="H47" i="4" a="1"/>
  <c r="H47" i="4" s="1"/>
  <c r="J47" i="4" a="1"/>
  <c r="J47" i="4" s="1"/>
  <c r="L47" i="4" a="1"/>
  <c r="L47" i="4" s="1"/>
  <c r="N47" i="4" a="1"/>
  <c r="N47" i="4" s="1"/>
  <c r="P47" i="4" a="1"/>
  <c r="P47" i="4" s="1"/>
  <c r="R47" i="4" a="1"/>
  <c r="R47" i="4" s="1"/>
  <c r="T47" i="4" a="1"/>
  <c r="T47" i="4" s="1"/>
  <c r="F46" i="4" a="1"/>
  <c r="F46" i="4" s="1"/>
  <c r="H46" i="4" a="1"/>
  <c r="H46" i="4" s="1"/>
  <c r="J46" i="4" a="1"/>
  <c r="J46" i="4" s="1"/>
  <c r="L46" i="4" a="1"/>
  <c r="L46" i="4" s="1"/>
  <c r="N46" i="4" a="1"/>
  <c r="N46" i="4" s="1"/>
  <c r="P46" i="4" a="1"/>
  <c r="P46" i="4" s="1"/>
  <c r="R46" i="4" a="1"/>
  <c r="R46" i="4" s="1"/>
  <c r="T46" i="4" a="1"/>
  <c r="T46" i="4" s="1"/>
  <c r="F45" i="4" a="1"/>
  <c r="F45" i="4" s="1"/>
  <c r="H45" i="4" a="1"/>
  <c r="H45" i="4" s="1"/>
  <c r="J45" i="4" a="1"/>
  <c r="J45" i="4" s="1"/>
  <c r="L45" i="4" a="1"/>
  <c r="L45" i="4" s="1"/>
  <c r="N45" i="4" a="1"/>
  <c r="N45" i="4" s="1"/>
  <c r="P45" i="4" a="1"/>
  <c r="P45" i="4" s="1"/>
  <c r="R45" i="4" a="1"/>
  <c r="R45" i="4" s="1"/>
  <c r="T45" i="4" a="1"/>
  <c r="T45" i="4" s="1"/>
  <c r="F44" i="4" a="1"/>
  <c r="F44" i="4" s="1"/>
  <c r="H44" i="4" a="1"/>
  <c r="H44" i="4" s="1"/>
  <c r="J44" i="4" a="1"/>
  <c r="J44" i="4" s="1"/>
  <c r="L44" i="4" a="1"/>
  <c r="L44" i="4" s="1"/>
  <c r="N44" i="4" a="1"/>
  <c r="N44" i="4" s="1"/>
  <c r="P44" i="4" a="1"/>
  <c r="P44" i="4" s="1"/>
  <c r="R44" i="4" a="1"/>
  <c r="R44" i="4" s="1"/>
  <c r="T44" i="4" a="1"/>
  <c r="T44" i="4" s="1"/>
  <c r="F43" i="4" a="1"/>
  <c r="F43" i="4" s="1"/>
  <c r="H43" i="4" a="1"/>
  <c r="H43" i="4" s="1"/>
  <c r="J43" i="4" a="1"/>
  <c r="J43" i="4" s="1"/>
  <c r="L43" i="4" a="1"/>
  <c r="L43" i="4" s="1"/>
  <c r="N43" i="4" a="1"/>
  <c r="N43" i="4" s="1"/>
  <c r="P43" i="4" a="1"/>
  <c r="P43" i="4" s="1"/>
  <c r="R43" i="4" a="1"/>
  <c r="R43" i="4" s="1"/>
  <c r="T43" i="4" a="1"/>
  <c r="T43" i="4" s="1"/>
  <c r="F42" i="4" a="1"/>
  <c r="F42" i="4" s="1"/>
  <c r="H42" i="4" a="1"/>
  <c r="H42" i="4" s="1"/>
  <c r="J42" i="4" a="1"/>
  <c r="J42" i="4" s="1"/>
  <c r="L42" i="4" a="1"/>
  <c r="L42" i="4" s="1"/>
  <c r="N42" i="4" a="1"/>
  <c r="N42" i="4" s="1"/>
  <c r="P42" i="4" a="1"/>
  <c r="P42" i="4" s="1"/>
  <c r="R42" i="4" a="1"/>
  <c r="R42" i="4" s="1"/>
  <c r="T42" i="4" a="1"/>
  <c r="T42" i="4" s="1"/>
  <c r="F41" i="4" a="1"/>
  <c r="F41" i="4" s="1"/>
  <c r="H41" i="4" a="1"/>
  <c r="H41" i="4" s="1"/>
  <c r="J41" i="4" a="1"/>
  <c r="J41" i="4" s="1"/>
  <c r="L41" i="4" a="1"/>
  <c r="L41" i="4" s="1"/>
  <c r="N41" i="4" a="1"/>
  <c r="N41" i="4" s="1"/>
  <c r="P41" i="4" a="1"/>
  <c r="P41" i="4" s="1"/>
  <c r="R41" i="4" a="1"/>
  <c r="R41" i="4" s="1"/>
  <c r="T41" i="4" a="1"/>
  <c r="T41" i="4" s="1"/>
  <c r="F40" i="4" a="1"/>
  <c r="F40" i="4" s="1"/>
  <c r="H40" i="4" a="1"/>
  <c r="H40" i="4" s="1"/>
  <c r="J40" i="4" a="1"/>
  <c r="J40" i="4" s="1"/>
  <c r="L40" i="4" a="1"/>
  <c r="L40" i="4" s="1"/>
  <c r="N40" i="4" a="1"/>
  <c r="N40" i="4" s="1"/>
  <c r="P40" i="4" a="1"/>
  <c r="P40" i="4" s="1"/>
  <c r="R40" i="4" a="1"/>
  <c r="R40" i="4" s="1"/>
  <c r="T40" i="4" a="1"/>
  <c r="T40" i="4" s="1"/>
  <c r="F39" i="4" a="1"/>
  <c r="F39" i="4" s="1"/>
  <c r="H39" i="4" a="1"/>
  <c r="H39" i="4" s="1"/>
  <c r="J39" i="4" a="1"/>
  <c r="J39" i="4" s="1"/>
  <c r="L39" i="4" a="1"/>
  <c r="L39" i="4" s="1"/>
  <c r="N39" i="4" a="1"/>
  <c r="N39" i="4" s="1"/>
  <c r="P39" i="4" a="1"/>
  <c r="P39" i="4" s="1"/>
  <c r="R39" i="4" a="1"/>
  <c r="R39" i="4" s="1"/>
  <c r="T39" i="4" a="1"/>
  <c r="T39" i="4" s="1"/>
  <c r="U40" i="4" l="1"/>
  <c r="Z40" i="4" s="1"/>
  <c r="U43" i="4"/>
  <c r="Z43" i="4" s="1"/>
  <c r="U46" i="4"/>
  <c r="Z46" i="4" s="1"/>
  <c r="U41" i="4"/>
  <c r="Z41" i="4" s="1"/>
  <c r="U44" i="4"/>
  <c r="U47" i="4"/>
  <c r="Z47" i="4" s="1"/>
  <c r="U39" i="4"/>
  <c r="U42" i="4"/>
  <c r="Z42" i="4" s="1"/>
  <c r="U45" i="4"/>
  <c r="I10" i="6" l="1" a="1"/>
  <c r="I10" i="6" s="1"/>
  <c r="W43" i="4"/>
  <c r="H10" i="6" a="1"/>
  <c r="H10" i="6" s="1"/>
  <c r="K5" i="6" a="1"/>
  <c r="K5" i="6" s="1"/>
  <c r="W40" i="4"/>
  <c r="J4" i="6" a="1"/>
  <c r="J4" i="6" s="1"/>
  <c r="Z45" i="4"/>
  <c r="W46" i="4"/>
  <c r="G9" i="6" a="1"/>
  <c r="G9" i="6" s="1"/>
  <c r="Z39" i="4"/>
  <c r="Z44" i="4"/>
  <c r="W41" i="4"/>
  <c r="W45" i="4"/>
  <c r="W42" i="4"/>
  <c r="W39" i="4"/>
  <c r="W44" i="4"/>
  <c r="W47" i="4"/>
  <c r="I9" i="6" a="1"/>
  <c r="I9" i="6" s="1"/>
  <c r="J8" i="6" a="1"/>
  <c r="J8" i="6" s="1"/>
  <c r="I73" i="4" a="1"/>
  <c r="I73" i="4" s="1"/>
  <c r="C73" i="4" a="1"/>
  <c r="C73" i="4" s="1"/>
  <c r="H73" i="4" a="1"/>
  <c r="H73" i="4" s="1"/>
  <c r="G73" i="4" a="1"/>
  <c r="G73" i="4" s="1"/>
  <c r="J74" i="4" a="1"/>
  <c r="J74" i="4" s="1"/>
  <c r="F32" i="4" a="1"/>
  <c r="F32" i="4" s="1"/>
  <c r="H32" i="4" a="1"/>
  <c r="H32" i="4" s="1"/>
  <c r="J32" i="4" a="1"/>
  <c r="J32" i="4" s="1"/>
  <c r="L32" i="4" a="1"/>
  <c r="L32" i="4" s="1"/>
  <c r="N32" i="4" a="1"/>
  <c r="N32" i="4" s="1"/>
  <c r="P32" i="4" a="1"/>
  <c r="P32" i="4" s="1"/>
  <c r="R32" i="4" a="1"/>
  <c r="R32" i="4" s="1"/>
  <c r="T32" i="4" a="1"/>
  <c r="T32" i="4" s="1"/>
  <c r="F34" i="4" a="1"/>
  <c r="F34" i="4" s="1"/>
  <c r="F35" i="4" a="1"/>
  <c r="F35" i="4" s="1"/>
  <c r="F36" i="4" a="1"/>
  <c r="F36" i="4" s="1"/>
  <c r="F37" i="4" a="1"/>
  <c r="F37" i="4" s="1"/>
  <c r="F38" i="4" a="1"/>
  <c r="F38" i="4" s="1"/>
  <c r="H34" i="4" a="1"/>
  <c r="H34" i="4" s="1"/>
  <c r="H35" i="4" a="1"/>
  <c r="H35" i="4" s="1"/>
  <c r="H36" i="4" a="1"/>
  <c r="H36" i="4" s="1"/>
  <c r="H37" i="4" a="1"/>
  <c r="H37" i="4" s="1"/>
  <c r="H38" i="4" a="1"/>
  <c r="H38" i="4" s="1"/>
  <c r="J34" i="4" a="1"/>
  <c r="J34" i="4" s="1"/>
  <c r="J36" i="4" a="1"/>
  <c r="J36" i="4" s="1"/>
  <c r="J37" i="4" a="1"/>
  <c r="J37" i="4" s="1"/>
  <c r="J38" i="4" a="1"/>
  <c r="J38" i="4" s="1"/>
  <c r="L34" i="4" a="1"/>
  <c r="L34" i="4" s="1"/>
  <c r="L35" i="4" a="1"/>
  <c r="L35" i="4" s="1"/>
  <c r="L36" i="4" a="1"/>
  <c r="L36" i="4" s="1"/>
  <c r="L37" i="4" a="1"/>
  <c r="L37" i="4" s="1"/>
  <c r="L38" i="4" a="1"/>
  <c r="L38" i="4" s="1"/>
  <c r="N34" i="4" a="1"/>
  <c r="N34" i="4" s="1"/>
  <c r="N35" i="4" a="1"/>
  <c r="N35" i="4" s="1"/>
  <c r="N36" i="4" a="1"/>
  <c r="N36" i="4" s="1"/>
  <c r="N37" i="4" a="1"/>
  <c r="N37" i="4" s="1"/>
  <c r="N38" i="4" a="1"/>
  <c r="N38" i="4" s="1"/>
  <c r="P34" i="4" a="1"/>
  <c r="P34" i="4" s="1"/>
  <c r="P35" i="4" a="1"/>
  <c r="P35" i="4" s="1"/>
  <c r="P36" i="4" a="1"/>
  <c r="P36" i="4" s="1"/>
  <c r="P37" i="4" a="1"/>
  <c r="P37" i="4" s="1"/>
  <c r="P38" i="4" a="1"/>
  <c r="P38" i="4" s="1"/>
  <c r="R34" i="4" a="1"/>
  <c r="R34" i="4" s="1"/>
  <c r="R35" i="4" a="1"/>
  <c r="R35" i="4" s="1"/>
  <c r="R36" i="4" a="1"/>
  <c r="R36" i="4" s="1"/>
  <c r="R37" i="4" a="1"/>
  <c r="R37" i="4" s="1"/>
  <c r="R38" i="4" a="1"/>
  <c r="R38" i="4" s="1"/>
  <c r="T34" i="4" a="1"/>
  <c r="T34" i="4" s="1"/>
  <c r="T35" i="4" a="1"/>
  <c r="T35" i="4" s="1"/>
  <c r="T36" i="4" a="1"/>
  <c r="T36" i="4" s="1"/>
  <c r="T37" i="4" a="1"/>
  <c r="T37" i="4" s="1"/>
  <c r="T38" i="4" a="1"/>
  <c r="T38" i="4" s="1"/>
  <c r="F33" i="4" a="1"/>
  <c r="F33" i="4" s="1"/>
  <c r="H33" i="4" a="1"/>
  <c r="H33" i="4" s="1"/>
  <c r="L33" i="4" a="1"/>
  <c r="L33" i="4" s="1"/>
  <c r="N33" i="4" a="1"/>
  <c r="N33" i="4" s="1"/>
  <c r="P33" i="4" a="1"/>
  <c r="P33" i="4" s="1"/>
  <c r="R33" i="4" a="1"/>
  <c r="R33" i="4" s="1"/>
  <c r="T33" i="4" a="1"/>
  <c r="T33" i="4" s="1"/>
  <c r="F31" i="4" a="1"/>
  <c r="F31" i="4" s="1"/>
  <c r="H31" i="4" a="1"/>
  <c r="H31" i="4" s="1"/>
  <c r="J31" i="4" a="1"/>
  <c r="J31" i="4" s="1"/>
  <c r="L31" i="4" a="1"/>
  <c r="L31" i="4" s="1"/>
  <c r="N31" i="4" a="1"/>
  <c r="N31" i="4" s="1"/>
  <c r="P31" i="4" a="1"/>
  <c r="P31" i="4" s="1"/>
  <c r="R31" i="4" a="1"/>
  <c r="R31" i="4" s="1"/>
  <c r="T31" i="4" a="1"/>
  <c r="T31" i="4" s="1"/>
  <c r="B73" i="4" l="1" a="1"/>
  <c r="B73" i="4" s="1"/>
  <c r="I11" i="6" a="1"/>
  <c r="I11" i="6" s="1"/>
  <c r="F24" i="13" s="1"/>
  <c r="F100" i="13" s="1"/>
  <c r="H74" i="4" a="1"/>
  <c r="H74" i="4" s="1"/>
  <c r="J7" i="6" a="1"/>
  <c r="J7" i="6" s="1"/>
  <c r="F74" i="4" a="1"/>
  <c r="F74" i="4" s="1"/>
  <c r="J10" i="6" a="1"/>
  <c r="J10" i="6" s="1"/>
  <c r="G74" i="4" a="1"/>
  <c r="G74" i="4" s="1"/>
  <c r="J9" i="6" a="1"/>
  <c r="J9" i="6" s="1"/>
  <c r="E74" i="4" a="1"/>
  <c r="E74" i="4" s="1"/>
  <c r="D74" i="4" a="1"/>
  <c r="D74" i="4" s="1"/>
  <c r="I74" i="4" a="1"/>
  <c r="I74" i="4" s="1"/>
  <c r="J5" i="6" a="1"/>
  <c r="J5" i="6" s="1"/>
  <c r="C74" i="4" a="1"/>
  <c r="C74" i="4" s="1"/>
  <c r="J3" i="6" a="1"/>
  <c r="J3" i="6" s="1"/>
  <c r="J11" i="6" a="1"/>
  <c r="J11" i="6" s="1"/>
  <c r="B74" i="4" a="1"/>
  <c r="B74" i="4" s="1"/>
  <c r="J6" i="6" a="1"/>
  <c r="J6" i="6" s="1"/>
  <c r="I7" i="6" a="1"/>
  <c r="I7" i="6" s="1"/>
  <c r="F20" i="18" s="1"/>
  <c r="F96" i="18" s="1"/>
  <c r="K8" i="6" a="1"/>
  <c r="K8" i="6" s="1"/>
  <c r="D75" i="4" a="1"/>
  <c r="D75" i="4" s="1"/>
  <c r="B71" i="4" a="1"/>
  <c r="B71" i="4" s="1"/>
  <c r="G4" i="6" a="1"/>
  <c r="G4" i="6" s="1"/>
  <c r="G75" i="4" a="1"/>
  <c r="G75" i="4" s="1"/>
  <c r="D71" i="4" a="1"/>
  <c r="D71" i="4" s="1"/>
  <c r="K7" i="6" a="1"/>
  <c r="K7" i="6" s="1"/>
  <c r="G7" i="6" a="1"/>
  <c r="G7" i="6" s="1"/>
  <c r="H75" i="4" a="1"/>
  <c r="H75" i="4" s="1"/>
  <c r="C75" i="4" a="1"/>
  <c r="C75" i="4" s="1"/>
  <c r="G71" i="4" a="1"/>
  <c r="G71" i="4" s="1"/>
  <c r="K3" i="6" a="1"/>
  <c r="K3" i="6" s="1"/>
  <c r="H6" i="6" a="1"/>
  <c r="H6" i="6" s="1"/>
  <c r="C17" i="11" s="1"/>
  <c r="C90" i="11" s="1"/>
  <c r="G10" i="6" a="1"/>
  <c r="G10" i="6" s="1"/>
  <c r="E75" i="4" a="1"/>
  <c r="E75" i="4" s="1"/>
  <c r="B75" i="4" a="1"/>
  <c r="B75" i="4" s="1"/>
  <c r="J71" i="4" a="1"/>
  <c r="J71" i="4" s="1"/>
  <c r="E71" i="4" a="1"/>
  <c r="E71" i="4" s="1"/>
  <c r="K6" i="6" a="1"/>
  <c r="K6" i="6" s="1"/>
  <c r="H5" i="6" a="1"/>
  <c r="H5" i="6" s="1"/>
  <c r="D18" i="13" s="1"/>
  <c r="D94" i="13" s="1"/>
  <c r="G5" i="6" a="1"/>
  <c r="G5" i="6" s="1"/>
  <c r="G3" i="6" a="1"/>
  <c r="G3" i="6" s="1"/>
  <c r="K10" i="6" a="1"/>
  <c r="K10" i="6" s="1"/>
  <c r="F75" i="4" a="1"/>
  <c r="F75" i="4" s="1"/>
  <c r="I72" i="4" a="1"/>
  <c r="I72" i="4" s="1"/>
  <c r="H71" i="4" a="1"/>
  <c r="H71" i="4" s="1"/>
  <c r="I71" i="4" a="1"/>
  <c r="I71" i="4" s="1"/>
  <c r="K9" i="6" a="1"/>
  <c r="K9" i="6" s="1"/>
  <c r="H7" i="6" a="1"/>
  <c r="H7" i="6" s="1"/>
  <c r="D20" i="18" s="1"/>
  <c r="D96" i="18" s="1"/>
  <c r="G8" i="6" a="1"/>
  <c r="G8" i="6" s="1"/>
  <c r="G6" i="6" a="1"/>
  <c r="G6" i="6" s="1"/>
  <c r="H4" i="6" a="1"/>
  <c r="H4" i="6" s="1"/>
  <c r="D17" i="18" s="1"/>
  <c r="D93" i="18" s="1"/>
  <c r="K11" i="6" a="1"/>
  <c r="K11" i="6" s="1"/>
  <c r="J75" i="4" a="1"/>
  <c r="J75" i="4" s="1"/>
  <c r="I75" i="4" a="1"/>
  <c r="I75" i="4" s="1"/>
  <c r="D72" i="4" a="1"/>
  <c r="D72" i="4" s="1"/>
  <c r="C71" i="4" a="1"/>
  <c r="C71" i="4" s="1"/>
  <c r="F71" i="4" a="1"/>
  <c r="F71" i="4" s="1"/>
  <c r="K4" i="6" a="1"/>
  <c r="K4" i="6" s="1"/>
  <c r="G11" i="6" a="1"/>
  <c r="G11" i="6" s="1"/>
  <c r="I5" i="6" a="1"/>
  <c r="I5" i="6" s="1"/>
  <c r="E17" i="15" s="1"/>
  <c r="E97" i="15" s="1"/>
  <c r="U38" i="4"/>
  <c r="Z38" i="4" s="1"/>
  <c r="F73" i="4" a="1"/>
  <c r="F73" i="4" s="1"/>
  <c r="D73" i="4" a="1"/>
  <c r="D73" i="4" s="1"/>
  <c r="I8" i="6" a="1"/>
  <c r="I8" i="6" s="1"/>
  <c r="F21" i="13" s="1"/>
  <c r="F97" i="13" s="1"/>
  <c r="J73" i="4" a="1"/>
  <c r="J73" i="4" s="1"/>
  <c r="I3" i="6" a="1"/>
  <c r="I3" i="6" s="1"/>
  <c r="F16" i="18" s="1"/>
  <c r="F92" i="18" s="1"/>
  <c r="I4" i="6" a="1"/>
  <c r="I4" i="6" s="1"/>
  <c r="E16" i="15" s="1"/>
  <c r="E96" i="15" s="1"/>
  <c r="E73" i="4" a="1"/>
  <c r="E73" i="4" s="1"/>
  <c r="I6" i="6" a="1"/>
  <c r="I6" i="6" s="1"/>
  <c r="F19" i="18" s="1"/>
  <c r="F95" i="18" s="1"/>
  <c r="C21" i="17"/>
  <c r="C94" i="17" s="1"/>
  <c r="D23" i="18"/>
  <c r="D99" i="18" s="1"/>
  <c r="F24" i="18"/>
  <c r="F100" i="18" s="1"/>
  <c r="E21" i="15"/>
  <c r="E101" i="15" s="1"/>
  <c r="F22" i="18"/>
  <c r="F98" i="18" s="1"/>
  <c r="E22" i="15"/>
  <c r="E102" i="15" s="1"/>
  <c r="F23" i="18"/>
  <c r="F99" i="18" s="1"/>
  <c r="D23" i="13"/>
  <c r="D99" i="13" s="1"/>
  <c r="D22" i="15"/>
  <c r="D102" i="15" s="1"/>
  <c r="U36" i="4"/>
  <c r="G72" i="4" a="1"/>
  <c r="G72" i="4" s="1"/>
  <c r="H72" i="4" a="1"/>
  <c r="H72" i="4" s="1"/>
  <c r="H8" i="6" a="1"/>
  <c r="H8" i="6" s="1"/>
  <c r="D21" i="18" s="1"/>
  <c r="D97" i="18" s="1"/>
  <c r="U35" i="4"/>
  <c r="Z35" i="4" s="1"/>
  <c r="U32" i="4"/>
  <c r="Z32" i="4" s="1"/>
  <c r="F72" i="4" a="1"/>
  <c r="F72" i="4" s="1"/>
  <c r="C72" i="4" a="1"/>
  <c r="C72" i="4" s="1"/>
  <c r="H11" i="6" a="1"/>
  <c r="H11" i="6" s="1"/>
  <c r="U31" i="4"/>
  <c r="Z31" i="4" s="1"/>
  <c r="U34" i="4"/>
  <c r="J72" i="4" a="1"/>
  <c r="J72" i="4" s="1"/>
  <c r="B72" i="4" a="1"/>
  <c r="B72" i="4" s="1"/>
  <c r="H9" i="6" a="1"/>
  <c r="H9" i="6" s="1"/>
  <c r="U33" i="4"/>
  <c r="Z33" i="4" s="1"/>
  <c r="E72" i="4" a="1"/>
  <c r="E72" i="4" s="1"/>
  <c r="H3" i="6" a="1"/>
  <c r="H3" i="6" s="1"/>
  <c r="E23" i="7"/>
  <c r="E21" i="7"/>
  <c r="F22" i="13"/>
  <c r="F98" i="13" s="1"/>
  <c r="E22" i="7"/>
  <c r="F23" i="13"/>
  <c r="F99" i="13" s="1"/>
  <c r="D22" i="7"/>
  <c r="C21" i="11"/>
  <c r="C94" i="11" s="1"/>
  <c r="E23" i="15" l="1"/>
  <c r="E103" i="15" s="1"/>
  <c r="E15" i="7"/>
  <c r="E15" i="16" s="1"/>
  <c r="D19" i="15"/>
  <c r="D99" i="15" s="1"/>
  <c r="E19" i="15"/>
  <c r="E99" i="15" s="1"/>
  <c r="J12" i="6"/>
  <c r="J13" i="6" s="1"/>
  <c r="C18" i="11"/>
  <c r="C91" i="11" s="1"/>
  <c r="F20" i="13"/>
  <c r="F96" i="13" s="1"/>
  <c r="D19" i="7"/>
  <c r="D19" i="9" s="1"/>
  <c r="D89" i="9" s="1"/>
  <c r="E19" i="7"/>
  <c r="E19" i="16" s="1"/>
  <c r="E89" i="16" s="1"/>
  <c r="C18" i="17"/>
  <c r="C91" i="17" s="1"/>
  <c r="F18" i="13"/>
  <c r="F94" i="13" s="1"/>
  <c r="F18" i="18"/>
  <c r="F94" i="18" s="1"/>
  <c r="F21" i="18"/>
  <c r="F97" i="18" s="1"/>
  <c r="C15" i="11"/>
  <c r="C88" i="11" s="1"/>
  <c r="F17" i="13"/>
  <c r="F93" i="13" s="1"/>
  <c r="E16" i="7"/>
  <c r="E16" i="16" s="1"/>
  <c r="E86" i="16" s="1"/>
  <c r="W38" i="4"/>
  <c r="K12" i="6"/>
  <c r="K13" i="6" s="1"/>
  <c r="D18" i="15"/>
  <c r="D98" i="15" s="1"/>
  <c r="C16" i="11"/>
  <c r="C89" i="11" s="1"/>
  <c r="E17" i="7"/>
  <c r="E97" i="7" s="1"/>
  <c r="D17" i="13"/>
  <c r="D93" i="13" s="1"/>
  <c r="E15" i="15"/>
  <c r="E95" i="15" s="1"/>
  <c r="D19" i="18"/>
  <c r="D95" i="18" s="1"/>
  <c r="C17" i="17"/>
  <c r="C90" i="17" s="1"/>
  <c r="C15" i="17"/>
  <c r="C88" i="17" s="1"/>
  <c r="D18" i="18"/>
  <c r="D94" i="18" s="1"/>
  <c r="D20" i="13"/>
  <c r="D96" i="13" s="1"/>
  <c r="F17" i="18"/>
  <c r="F93" i="18" s="1"/>
  <c r="G12" i="6"/>
  <c r="G13" i="6" s="1"/>
  <c r="D18" i="7"/>
  <c r="D98" i="7" s="1"/>
  <c r="C16" i="17"/>
  <c r="C89" i="17" s="1"/>
  <c r="F19" i="13"/>
  <c r="F95" i="13" s="1"/>
  <c r="D19" i="13"/>
  <c r="D95" i="13" s="1"/>
  <c r="D17" i="7"/>
  <c r="D17" i="9" s="1"/>
  <c r="D87" i="9" s="1"/>
  <c r="D16" i="7"/>
  <c r="D16" i="16" s="1"/>
  <c r="D86" i="16" s="1"/>
  <c r="E18" i="7"/>
  <c r="E18" i="16" s="1"/>
  <c r="E88" i="16" s="1"/>
  <c r="D17" i="15"/>
  <c r="D97" i="15" s="1"/>
  <c r="E18" i="15"/>
  <c r="E98" i="15" s="1"/>
  <c r="F16" i="13"/>
  <c r="F92" i="13" s="1"/>
  <c r="D16" i="15"/>
  <c r="D96" i="15" s="1"/>
  <c r="I12" i="6"/>
  <c r="I13" i="6" s="1"/>
  <c r="E20" i="7"/>
  <c r="E100" i="7" s="1"/>
  <c r="E20" i="15"/>
  <c r="E100" i="15" s="1"/>
  <c r="C14" i="17"/>
  <c r="C87" i="17" s="1"/>
  <c r="D16" i="18"/>
  <c r="C20" i="17"/>
  <c r="C93" i="17" s="1"/>
  <c r="D22" i="18"/>
  <c r="D98" i="18" s="1"/>
  <c r="C22" i="17"/>
  <c r="C95" i="17" s="1"/>
  <c r="D24" i="18"/>
  <c r="D100" i="18" s="1"/>
  <c r="C19" i="11"/>
  <c r="C92" i="11" s="1"/>
  <c r="C19" i="17"/>
  <c r="C92" i="17" s="1"/>
  <c r="E85" i="16"/>
  <c r="E16" i="9"/>
  <c r="E86" i="9" s="1"/>
  <c r="E102" i="7"/>
  <c r="E22" i="16"/>
  <c r="E92" i="16" s="1"/>
  <c r="D22" i="9"/>
  <c r="D92" i="9" s="1"/>
  <c r="D22" i="16"/>
  <c r="D92" i="16" s="1"/>
  <c r="E101" i="7"/>
  <c r="E21" i="16"/>
  <c r="E91" i="16" s="1"/>
  <c r="E103" i="7"/>
  <c r="E23" i="16"/>
  <c r="E93" i="16" s="1"/>
  <c r="D22" i="13"/>
  <c r="D98" i="13" s="1"/>
  <c r="D21" i="15"/>
  <c r="D101" i="15" s="1"/>
  <c r="D21" i="13"/>
  <c r="D97" i="13" s="1"/>
  <c r="D20" i="15"/>
  <c r="D100" i="15" s="1"/>
  <c r="D24" i="13"/>
  <c r="D100" i="13" s="1"/>
  <c r="D23" i="15"/>
  <c r="D103" i="15" s="1"/>
  <c r="C14" i="11"/>
  <c r="C87" i="11" s="1"/>
  <c r="D15" i="15"/>
  <c r="F9" i="6" a="1"/>
  <c r="F9" i="6" s="1"/>
  <c r="Z34" i="4"/>
  <c r="Z36" i="4"/>
  <c r="D21" i="7"/>
  <c r="D23" i="7"/>
  <c r="C20" i="11"/>
  <c r="C93" i="11" s="1"/>
  <c r="D20" i="7"/>
  <c r="W31" i="4"/>
  <c r="W32" i="4"/>
  <c r="W33" i="4"/>
  <c r="W35" i="4"/>
  <c r="H12" i="6"/>
  <c r="H13" i="6" s="1"/>
  <c r="C22" i="11"/>
  <c r="C95" i="11" s="1"/>
  <c r="D15" i="7"/>
  <c r="D16" i="13"/>
  <c r="D92" i="13" s="1"/>
  <c r="W34" i="4"/>
  <c r="W36" i="4"/>
  <c r="E23" i="9"/>
  <c r="E93" i="9" s="1"/>
  <c r="E21" i="9"/>
  <c r="E91" i="9" s="1"/>
  <c r="E22" i="9"/>
  <c r="E92" i="9" s="1"/>
  <c r="E96" i="7"/>
  <c r="D102" i="7"/>
  <c r="E95" i="7"/>
  <c r="E15" i="9"/>
  <c r="F11" i="4" a="1"/>
  <c r="F11" i="4" s="1"/>
  <c r="F12" i="4" a="1"/>
  <c r="F12" i="4" s="1"/>
  <c r="F13" i="4" a="1"/>
  <c r="F13" i="4" s="1"/>
  <c r="F14" i="4" a="1"/>
  <c r="F14" i="4" s="1"/>
  <c r="F15" i="4" a="1"/>
  <c r="F15" i="4" s="1"/>
  <c r="F16" i="4" a="1"/>
  <c r="F16" i="4" s="1"/>
  <c r="F17" i="4" a="1"/>
  <c r="F17" i="4" s="1"/>
  <c r="F18" i="4" a="1"/>
  <c r="F18" i="4" s="1"/>
  <c r="F19" i="4" a="1"/>
  <c r="F19" i="4" s="1"/>
  <c r="F20" i="4" a="1"/>
  <c r="F20" i="4" s="1"/>
  <c r="F21" i="4" a="1"/>
  <c r="F21" i="4" s="1"/>
  <c r="F22" i="4" a="1"/>
  <c r="F22" i="4" s="1"/>
  <c r="F23" i="4" a="1"/>
  <c r="F23" i="4" s="1"/>
  <c r="F24" i="4" a="1"/>
  <c r="F24" i="4" s="1"/>
  <c r="F25" i="4" a="1"/>
  <c r="F25" i="4" s="1"/>
  <c r="F26" i="4" a="1"/>
  <c r="F26" i="4" s="1"/>
  <c r="F27" i="4" a="1"/>
  <c r="F27" i="4" s="1"/>
  <c r="F28" i="4" a="1"/>
  <c r="F28" i="4" s="1"/>
  <c r="F29" i="4" a="1"/>
  <c r="F29" i="4" s="1"/>
  <c r="F30" i="4" a="1"/>
  <c r="F30" i="4" s="1"/>
  <c r="H11" i="4" a="1"/>
  <c r="H11" i="4" s="1"/>
  <c r="H12" i="4" a="1"/>
  <c r="H12" i="4" s="1"/>
  <c r="H13" i="4" a="1"/>
  <c r="H13" i="4" s="1"/>
  <c r="H14" i="4" a="1"/>
  <c r="H14" i="4" s="1"/>
  <c r="H15" i="4" a="1"/>
  <c r="H15" i="4" s="1"/>
  <c r="H16" i="4" a="1"/>
  <c r="H16" i="4" s="1"/>
  <c r="H17" i="4" a="1"/>
  <c r="H17" i="4" s="1"/>
  <c r="H18" i="4" a="1"/>
  <c r="H18" i="4" s="1"/>
  <c r="H19" i="4" a="1"/>
  <c r="H19" i="4" s="1"/>
  <c r="H20" i="4" a="1"/>
  <c r="H20" i="4" s="1"/>
  <c r="H21" i="4" a="1"/>
  <c r="H21" i="4" s="1"/>
  <c r="H22" i="4" a="1"/>
  <c r="H22" i="4" s="1"/>
  <c r="H23" i="4" a="1"/>
  <c r="H23" i="4" s="1"/>
  <c r="H24" i="4" a="1"/>
  <c r="H24" i="4" s="1"/>
  <c r="H25" i="4" a="1"/>
  <c r="H25" i="4" s="1"/>
  <c r="H26" i="4" a="1"/>
  <c r="H26" i="4" s="1"/>
  <c r="H27" i="4" a="1"/>
  <c r="H27" i="4" s="1"/>
  <c r="H28" i="4" a="1"/>
  <c r="H28" i="4" s="1"/>
  <c r="H29" i="4" a="1"/>
  <c r="H29" i="4" s="1"/>
  <c r="H30" i="4" a="1"/>
  <c r="H30" i="4" s="1"/>
  <c r="J11" i="4" a="1"/>
  <c r="J11" i="4" s="1"/>
  <c r="J12" i="4" a="1"/>
  <c r="J12" i="4" s="1"/>
  <c r="J13" i="4" a="1"/>
  <c r="J13" i="4" s="1"/>
  <c r="J14" i="4" a="1"/>
  <c r="J14" i="4" s="1"/>
  <c r="J15" i="4" a="1"/>
  <c r="J15" i="4" s="1"/>
  <c r="J16" i="4" a="1"/>
  <c r="J16" i="4" s="1"/>
  <c r="J17" i="4" a="1"/>
  <c r="J17" i="4" s="1"/>
  <c r="J18" i="4" a="1"/>
  <c r="J18" i="4" s="1"/>
  <c r="J19" i="4" a="1"/>
  <c r="J19" i="4" s="1"/>
  <c r="J20" i="4" a="1"/>
  <c r="J20" i="4" s="1"/>
  <c r="J21" i="4" a="1"/>
  <c r="J21" i="4" s="1"/>
  <c r="J22" i="4" a="1"/>
  <c r="J22" i="4" s="1"/>
  <c r="J23" i="4" a="1"/>
  <c r="J23" i="4" s="1"/>
  <c r="J24" i="4" a="1"/>
  <c r="J24" i="4" s="1"/>
  <c r="J25" i="4" a="1"/>
  <c r="J25" i="4" s="1"/>
  <c r="J26" i="4" a="1"/>
  <c r="J26" i="4" s="1"/>
  <c r="J27" i="4" a="1"/>
  <c r="J27" i="4" s="1"/>
  <c r="J28" i="4" a="1"/>
  <c r="J28" i="4" s="1"/>
  <c r="J29" i="4" a="1"/>
  <c r="J29" i="4" s="1"/>
  <c r="J30" i="4" a="1"/>
  <c r="J30" i="4" s="1"/>
  <c r="L11" i="4" a="1"/>
  <c r="L11" i="4" s="1"/>
  <c r="L12" i="4" a="1"/>
  <c r="L12" i="4" s="1"/>
  <c r="L13" i="4" a="1"/>
  <c r="L13" i="4" s="1"/>
  <c r="L14" i="4" a="1"/>
  <c r="L14" i="4" s="1"/>
  <c r="L15" i="4" a="1"/>
  <c r="L15" i="4" s="1"/>
  <c r="L16" i="4" a="1"/>
  <c r="L16" i="4" s="1"/>
  <c r="L17" i="4" a="1"/>
  <c r="L17" i="4" s="1"/>
  <c r="L18" i="4" a="1"/>
  <c r="L18" i="4" s="1"/>
  <c r="L19" i="4" a="1"/>
  <c r="L19" i="4" s="1"/>
  <c r="L20" i="4" a="1"/>
  <c r="L20" i="4" s="1"/>
  <c r="L21" i="4" a="1"/>
  <c r="L21" i="4" s="1"/>
  <c r="L22" i="4" a="1"/>
  <c r="L22" i="4" s="1"/>
  <c r="L23" i="4" a="1"/>
  <c r="L23" i="4" s="1"/>
  <c r="L24" i="4" a="1"/>
  <c r="L24" i="4" s="1"/>
  <c r="L25" i="4" a="1"/>
  <c r="L25" i="4" s="1"/>
  <c r="L26" i="4" a="1"/>
  <c r="L26" i="4" s="1"/>
  <c r="L27" i="4" a="1"/>
  <c r="L27" i="4" s="1"/>
  <c r="L28" i="4" a="1"/>
  <c r="L28" i="4" s="1"/>
  <c r="L29" i="4" a="1"/>
  <c r="L29" i="4" s="1"/>
  <c r="L30" i="4" a="1"/>
  <c r="L30" i="4" s="1"/>
  <c r="N11" i="4" a="1"/>
  <c r="N11" i="4" s="1"/>
  <c r="N12" i="4" a="1"/>
  <c r="N12" i="4" s="1"/>
  <c r="N13" i="4" a="1"/>
  <c r="N13" i="4" s="1"/>
  <c r="N14" i="4" a="1"/>
  <c r="N14" i="4" s="1"/>
  <c r="N15" i="4" a="1"/>
  <c r="N15" i="4" s="1"/>
  <c r="N16" i="4" a="1"/>
  <c r="N16" i="4" s="1"/>
  <c r="N17" i="4" a="1"/>
  <c r="N17" i="4" s="1"/>
  <c r="N18" i="4" a="1"/>
  <c r="N18" i="4" s="1"/>
  <c r="N19" i="4" a="1"/>
  <c r="N19" i="4" s="1"/>
  <c r="N20" i="4" a="1"/>
  <c r="N20" i="4" s="1"/>
  <c r="N21" i="4" a="1"/>
  <c r="N21" i="4" s="1"/>
  <c r="N22" i="4" a="1"/>
  <c r="N22" i="4" s="1"/>
  <c r="N23" i="4" a="1"/>
  <c r="N23" i="4" s="1"/>
  <c r="N24" i="4" a="1"/>
  <c r="N24" i="4" s="1"/>
  <c r="N25" i="4" a="1"/>
  <c r="N25" i="4" s="1"/>
  <c r="N26" i="4" a="1"/>
  <c r="N26" i="4" s="1"/>
  <c r="N27" i="4" a="1"/>
  <c r="N27" i="4" s="1"/>
  <c r="N28" i="4" a="1"/>
  <c r="N28" i="4" s="1"/>
  <c r="N29" i="4" a="1"/>
  <c r="N29" i="4" s="1"/>
  <c r="N30" i="4" a="1"/>
  <c r="N30" i="4" s="1"/>
  <c r="P11" i="4" a="1"/>
  <c r="P11" i="4" s="1"/>
  <c r="P12" i="4" a="1"/>
  <c r="P12" i="4" s="1"/>
  <c r="P13" i="4" a="1"/>
  <c r="P13" i="4" s="1"/>
  <c r="P14" i="4" a="1"/>
  <c r="P14" i="4" s="1"/>
  <c r="P15" i="4" a="1"/>
  <c r="P15" i="4" s="1"/>
  <c r="P16" i="4" a="1"/>
  <c r="P16" i="4" s="1"/>
  <c r="P17" i="4" a="1"/>
  <c r="P17" i="4" s="1"/>
  <c r="P18" i="4" a="1"/>
  <c r="P18" i="4" s="1"/>
  <c r="P19" i="4" a="1"/>
  <c r="P19" i="4" s="1"/>
  <c r="P20" i="4" a="1"/>
  <c r="P20" i="4" s="1"/>
  <c r="P21" i="4" a="1"/>
  <c r="P21" i="4" s="1"/>
  <c r="P22" i="4" a="1"/>
  <c r="P22" i="4" s="1"/>
  <c r="P23" i="4" a="1"/>
  <c r="P23" i="4" s="1"/>
  <c r="P24" i="4" a="1"/>
  <c r="P24" i="4" s="1"/>
  <c r="P25" i="4" a="1"/>
  <c r="P25" i="4" s="1"/>
  <c r="P26" i="4" a="1"/>
  <c r="P26" i="4" s="1"/>
  <c r="P27" i="4" a="1"/>
  <c r="P27" i="4" s="1"/>
  <c r="P28" i="4" a="1"/>
  <c r="P28" i="4" s="1"/>
  <c r="P29" i="4" a="1"/>
  <c r="P29" i="4" s="1"/>
  <c r="P30" i="4" a="1"/>
  <c r="P30" i="4" s="1"/>
  <c r="R11" i="4" a="1"/>
  <c r="R11" i="4" s="1"/>
  <c r="R12" i="4" a="1"/>
  <c r="R12" i="4" s="1"/>
  <c r="R13" i="4" a="1"/>
  <c r="R13" i="4" s="1"/>
  <c r="R14" i="4" a="1"/>
  <c r="R14" i="4" s="1"/>
  <c r="R15" i="4" a="1"/>
  <c r="R15" i="4" s="1"/>
  <c r="R16" i="4" a="1"/>
  <c r="R16" i="4" s="1"/>
  <c r="R17" i="4" a="1"/>
  <c r="R17" i="4" s="1"/>
  <c r="R18" i="4" a="1"/>
  <c r="R18" i="4" s="1"/>
  <c r="R19" i="4" a="1"/>
  <c r="R19" i="4" s="1"/>
  <c r="R20" i="4" a="1"/>
  <c r="R20" i="4" s="1"/>
  <c r="R21" i="4" a="1"/>
  <c r="R21" i="4" s="1"/>
  <c r="R22" i="4" a="1"/>
  <c r="R22" i="4" s="1"/>
  <c r="R23" i="4" a="1"/>
  <c r="R23" i="4" s="1"/>
  <c r="R24" i="4" a="1"/>
  <c r="R24" i="4" s="1"/>
  <c r="R25" i="4" a="1"/>
  <c r="R25" i="4" s="1"/>
  <c r="R26" i="4" a="1"/>
  <c r="R26" i="4" s="1"/>
  <c r="R27" i="4" a="1"/>
  <c r="R27" i="4" s="1"/>
  <c r="R28" i="4" a="1"/>
  <c r="R28" i="4" s="1"/>
  <c r="R29" i="4" a="1"/>
  <c r="R29" i="4" s="1"/>
  <c r="R30" i="4" a="1"/>
  <c r="R30" i="4" s="1"/>
  <c r="T11" i="4" a="1"/>
  <c r="T11" i="4" s="1"/>
  <c r="T12" i="4" a="1"/>
  <c r="T12" i="4" s="1"/>
  <c r="T13" i="4" a="1"/>
  <c r="T13" i="4" s="1"/>
  <c r="T14" i="4" a="1"/>
  <c r="T14" i="4" s="1"/>
  <c r="T15" i="4" a="1"/>
  <c r="T15" i="4" s="1"/>
  <c r="T16" i="4" a="1"/>
  <c r="T16" i="4" s="1"/>
  <c r="T17" i="4" a="1"/>
  <c r="T17" i="4" s="1"/>
  <c r="T18" i="4" a="1"/>
  <c r="T18" i="4" s="1"/>
  <c r="T19" i="4" a="1"/>
  <c r="T19" i="4" s="1"/>
  <c r="T20" i="4" a="1"/>
  <c r="T20" i="4" s="1"/>
  <c r="T21" i="4" a="1"/>
  <c r="T21" i="4" s="1"/>
  <c r="T22" i="4" a="1"/>
  <c r="T22" i="4" s="1"/>
  <c r="T23" i="4" a="1"/>
  <c r="T23" i="4" s="1"/>
  <c r="T24" i="4" a="1"/>
  <c r="T24" i="4" s="1"/>
  <c r="T25" i="4" a="1"/>
  <c r="T25" i="4" s="1"/>
  <c r="T26" i="4" a="1"/>
  <c r="T26" i="4" s="1"/>
  <c r="T27" i="4" a="1"/>
  <c r="T27" i="4" s="1"/>
  <c r="T28" i="4" a="1"/>
  <c r="T28" i="4" s="1"/>
  <c r="T29" i="4" a="1"/>
  <c r="T29" i="4" s="1"/>
  <c r="T30" i="4" a="1"/>
  <c r="T30" i="4" s="1"/>
  <c r="E99" i="7" l="1"/>
  <c r="D19" i="16"/>
  <c r="D89" i="16" s="1"/>
  <c r="F91" i="13"/>
  <c r="F110" i="13" s="1"/>
  <c r="F121" i="13" s="1"/>
  <c r="F91" i="18"/>
  <c r="F108" i="18" s="1"/>
  <c r="F119" i="18" s="1"/>
  <c r="D99" i="7"/>
  <c r="E19" i="9"/>
  <c r="E89" i="9" s="1"/>
  <c r="F10" i="6" a="1"/>
  <c r="F10" i="6" s="1"/>
  <c r="C23" i="13" s="1"/>
  <c r="C99" i="13" s="1"/>
  <c r="E98" i="7"/>
  <c r="E94" i="7" s="1"/>
  <c r="E114" i="7" s="1"/>
  <c r="E125" i="7" s="1"/>
  <c r="E14" i="15"/>
  <c r="E17" i="9"/>
  <c r="E87" i="9" s="1"/>
  <c r="E20" i="16"/>
  <c r="E90" i="16" s="1"/>
  <c r="E14" i="7"/>
  <c r="E135" i="7" s="1"/>
  <c r="F6" i="6" a="1"/>
  <c r="F6" i="6" s="1"/>
  <c r="C19" i="13" s="1"/>
  <c r="C95" i="13" s="1"/>
  <c r="E17" i="16"/>
  <c r="E87" i="16" s="1"/>
  <c r="E18" i="9"/>
  <c r="E88" i="9" s="1"/>
  <c r="F15" i="18"/>
  <c r="F133" i="18" s="1"/>
  <c r="F5" i="6" a="1"/>
  <c r="F5" i="6" s="1"/>
  <c r="C18" i="18" s="1"/>
  <c r="C94" i="18" s="1"/>
  <c r="D18" i="9"/>
  <c r="D88" i="9" s="1"/>
  <c r="D18" i="16"/>
  <c r="D88" i="16" s="1"/>
  <c r="D17" i="16"/>
  <c r="D87" i="16" s="1"/>
  <c r="D16" i="9"/>
  <c r="D86" i="9" s="1"/>
  <c r="G70" i="4" a="1"/>
  <c r="G70" i="4" s="1"/>
  <c r="H70" i="4" a="1"/>
  <c r="H70" i="4" s="1"/>
  <c r="J70" i="4" a="1"/>
  <c r="J70" i="4" s="1"/>
  <c r="F15" i="13"/>
  <c r="F133" i="13" s="1"/>
  <c r="F14" i="6"/>
  <c r="I70" i="4" a="1"/>
  <c r="I70" i="4" s="1"/>
  <c r="D97" i="7"/>
  <c r="E20" i="9"/>
  <c r="E90" i="9" s="1"/>
  <c r="D96" i="7"/>
  <c r="F7" i="6" a="1"/>
  <c r="F7" i="6" s="1"/>
  <c r="C20" i="13" s="1"/>
  <c r="C96" i="13" s="1"/>
  <c r="U14" i="4"/>
  <c r="Z14" i="4" s="1"/>
  <c r="B70" i="4" a="1"/>
  <c r="B70" i="4" s="1"/>
  <c r="E70" i="4" a="1"/>
  <c r="E70" i="4" s="1"/>
  <c r="F8" i="6" a="1"/>
  <c r="F8" i="6" s="1"/>
  <c r="C21" i="18" s="1"/>
  <c r="C97" i="18" s="1"/>
  <c r="U13" i="4"/>
  <c r="Z13" i="4" s="1"/>
  <c r="F11" i="6" a="1"/>
  <c r="F11" i="6" s="1"/>
  <c r="C24" i="18" s="1"/>
  <c r="C100" i="18" s="1"/>
  <c r="C70" i="4" a="1"/>
  <c r="C70" i="4" s="1"/>
  <c r="D70" i="4" a="1"/>
  <c r="D70" i="4" s="1"/>
  <c r="F3" i="6" a="1"/>
  <c r="F3" i="6" s="1"/>
  <c r="C16" i="18" s="1"/>
  <c r="F70" i="4" a="1"/>
  <c r="F70" i="4" s="1"/>
  <c r="F4" i="6" a="1"/>
  <c r="F4" i="6" s="1"/>
  <c r="C17" i="18" s="1"/>
  <c r="C93" i="18" s="1"/>
  <c r="C22" i="13"/>
  <c r="C98" i="13" s="1"/>
  <c r="C22" i="18"/>
  <c r="C98" i="18" s="1"/>
  <c r="D92" i="18"/>
  <c r="D15" i="18"/>
  <c r="C13" i="17"/>
  <c r="C37" i="17" s="1"/>
  <c r="C38" i="17" s="1"/>
  <c r="C41" i="17" s="1"/>
  <c r="C43" i="17" s="1"/>
  <c r="C45" i="17" s="1"/>
  <c r="C47" i="17" s="1"/>
  <c r="C49" i="17" s="1"/>
  <c r="C51" i="17" s="1"/>
  <c r="C53" i="17" s="1"/>
  <c r="C86" i="17"/>
  <c r="C103" i="17" s="1"/>
  <c r="C114" i="17" s="1"/>
  <c r="D95" i="7"/>
  <c r="D15" i="16"/>
  <c r="D23" i="9"/>
  <c r="D93" i="9" s="1"/>
  <c r="D23" i="16"/>
  <c r="D93" i="16" s="1"/>
  <c r="D100" i="7"/>
  <c r="D20" i="16"/>
  <c r="D90" i="16" s="1"/>
  <c r="D101" i="7"/>
  <c r="D21" i="16"/>
  <c r="D91" i="16" s="1"/>
  <c r="D95" i="15"/>
  <c r="D14" i="15"/>
  <c r="E37" i="15"/>
  <c r="E38" i="15" s="1"/>
  <c r="E41" i="15" s="1"/>
  <c r="E43" i="15" s="1"/>
  <c r="E45" i="15" s="1"/>
  <c r="E47" i="15" s="1"/>
  <c r="E49" i="15" s="1"/>
  <c r="E51" i="15" s="1"/>
  <c r="E53" i="15" s="1"/>
  <c r="E135" i="15"/>
  <c r="E94" i="15"/>
  <c r="C86" i="11"/>
  <c r="C100" i="11" s="1"/>
  <c r="C111" i="11" s="1"/>
  <c r="D20" i="9"/>
  <c r="D90" i="9" s="1"/>
  <c r="C13" i="11"/>
  <c r="C124" i="11" s="1"/>
  <c r="D21" i="9"/>
  <c r="D91" i="9" s="1"/>
  <c r="D14" i="7"/>
  <c r="D37" i="7" s="1"/>
  <c r="D38" i="7" s="1"/>
  <c r="D41" i="7" s="1"/>
  <c r="D43" i="7" s="1"/>
  <c r="D45" i="7" s="1"/>
  <c r="D47" i="7" s="1"/>
  <c r="D49" i="7" s="1"/>
  <c r="D51" i="7" s="1"/>
  <c r="D53" i="7" s="1"/>
  <c r="D15" i="13"/>
  <c r="D133" i="13" s="1"/>
  <c r="D103" i="7"/>
  <c r="D15" i="9"/>
  <c r="D85" i="9" s="1"/>
  <c r="U30" i="4"/>
  <c r="Z30" i="4" s="1"/>
  <c r="U12" i="4"/>
  <c r="Z12" i="4" s="1"/>
  <c r="U11" i="4"/>
  <c r="Z11" i="4" s="1"/>
  <c r="U18" i="4"/>
  <c r="Z18" i="4" s="1"/>
  <c r="U16" i="4"/>
  <c r="Z16" i="4" s="1"/>
  <c r="U15" i="4"/>
  <c r="Z15" i="4" s="1"/>
  <c r="F106" i="13"/>
  <c r="F117" i="13" s="1"/>
  <c r="F108" i="13"/>
  <c r="F119" i="13" s="1"/>
  <c r="F112" i="13"/>
  <c r="F123" i="13" s="1"/>
  <c r="F111" i="13"/>
  <c r="F122" i="13" s="1"/>
  <c r="F113" i="13"/>
  <c r="F124" i="13" s="1"/>
  <c r="F107" i="13"/>
  <c r="F118" i="13" s="1"/>
  <c r="F109" i="13"/>
  <c r="F120" i="13" s="1"/>
  <c r="F105" i="13"/>
  <c r="F116" i="13" s="1"/>
  <c r="D91" i="13"/>
  <c r="D105" i="13" s="1"/>
  <c r="D116" i="13" s="1"/>
  <c r="E85" i="9"/>
  <c r="F107" i="18" l="1"/>
  <c r="F118" i="18" s="1"/>
  <c r="F113" i="18"/>
  <c r="F124" i="18" s="1"/>
  <c r="F105" i="18"/>
  <c r="F116" i="18" s="1"/>
  <c r="E37" i="7"/>
  <c r="E38" i="7" s="1"/>
  <c r="E41" i="7" s="1"/>
  <c r="E43" i="7" s="1"/>
  <c r="E45" i="7" s="1"/>
  <c r="E47" i="7" s="1"/>
  <c r="E49" i="7" s="1"/>
  <c r="E51" i="7" s="1"/>
  <c r="E53" i="7" s="1"/>
  <c r="F110" i="18"/>
  <c r="F121" i="18" s="1"/>
  <c r="C19" i="18"/>
  <c r="C95" i="18" s="1"/>
  <c r="F112" i="18"/>
  <c r="F123" i="18" s="1"/>
  <c r="F109" i="18"/>
  <c r="F120" i="18" s="1"/>
  <c r="F111" i="18"/>
  <c r="F122" i="18" s="1"/>
  <c r="F106" i="18"/>
  <c r="F117" i="18" s="1"/>
  <c r="C23" i="18"/>
  <c r="C99" i="18" s="1"/>
  <c r="F36" i="18"/>
  <c r="F37" i="18" s="1"/>
  <c r="F40" i="18" s="1"/>
  <c r="F42" i="18" s="1"/>
  <c r="F44" i="18" s="1"/>
  <c r="F46" i="18" s="1"/>
  <c r="F48" i="18" s="1"/>
  <c r="F50" i="18" s="1"/>
  <c r="F52" i="18" s="1"/>
  <c r="E14" i="9"/>
  <c r="C18" i="13"/>
  <c r="C94" i="13" s="1"/>
  <c r="E14" i="16"/>
  <c r="E129" i="16" s="1"/>
  <c r="C21" i="13"/>
  <c r="C97" i="13" s="1"/>
  <c r="F36" i="13"/>
  <c r="F37" i="13" s="1"/>
  <c r="F40" i="13" s="1"/>
  <c r="F42" i="13" s="1"/>
  <c r="F44" i="13" s="1"/>
  <c r="F46" i="13" s="1"/>
  <c r="F48" i="13" s="1"/>
  <c r="F50" i="13" s="1"/>
  <c r="F52" i="13" s="1"/>
  <c r="W13" i="4"/>
  <c r="C16" i="13"/>
  <c r="C92" i="13" s="1"/>
  <c r="W14" i="4"/>
  <c r="C20" i="18"/>
  <c r="C96" i="18" s="1"/>
  <c r="F12" i="6"/>
  <c r="F13" i="6" s="1"/>
  <c r="C17" i="13"/>
  <c r="C93" i="13" s="1"/>
  <c r="C24" i="13"/>
  <c r="C100" i="13" s="1"/>
  <c r="C124" i="17"/>
  <c r="C92" i="18"/>
  <c r="D133" i="18"/>
  <c r="D36" i="18"/>
  <c r="D91" i="18"/>
  <c r="D105" i="18" s="1"/>
  <c r="D116" i="18" s="1"/>
  <c r="C105" i="17"/>
  <c r="C116" i="17" s="1"/>
  <c r="C102" i="17"/>
  <c r="C113" i="17" s="1"/>
  <c r="C101" i="17"/>
  <c r="C112" i="17" s="1"/>
  <c r="C100" i="17"/>
  <c r="C111" i="17" s="1"/>
  <c r="C99" i="17"/>
  <c r="C110" i="17" s="1"/>
  <c r="C104" i="17"/>
  <c r="C115" i="17" s="1"/>
  <c r="C106" i="17"/>
  <c r="C117" i="17" s="1"/>
  <c r="C98" i="17"/>
  <c r="C109" i="17" s="1"/>
  <c r="D14" i="16"/>
  <c r="D85" i="16"/>
  <c r="C37" i="11"/>
  <c r="C38" i="11" s="1"/>
  <c r="C41" i="11" s="1"/>
  <c r="C43" i="11" s="1"/>
  <c r="C45" i="11" s="1"/>
  <c r="C47" i="11" s="1"/>
  <c r="C49" i="11" s="1"/>
  <c r="C51" i="11" s="1"/>
  <c r="C53" i="11" s="1"/>
  <c r="D94" i="7"/>
  <c r="D108" i="7" s="1"/>
  <c r="D119" i="7" s="1"/>
  <c r="C103" i="11"/>
  <c r="C114" i="11" s="1"/>
  <c r="E113" i="15"/>
  <c r="E124" i="15" s="1"/>
  <c r="E108" i="15"/>
  <c r="E119" i="15" s="1"/>
  <c r="E114" i="15"/>
  <c r="E125" i="15" s="1"/>
  <c r="E109" i="15"/>
  <c r="E120" i="15" s="1"/>
  <c r="E110" i="15"/>
  <c r="E121" i="15" s="1"/>
  <c r="E111" i="15"/>
  <c r="E122" i="15" s="1"/>
  <c r="E115" i="15"/>
  <c r="E126" i="15" s="1"/>
  <c r="E112" i="15"/>
  <c r="E123" i="15" s="1"/>
  <c r="D37" i="15"/>
  <c r="D38" i="15" s="1"/>
  <c r="D41" i="15" s="1"/>
  <c r="D43" i="15" s="1"/>
  <c r="D45" i="15" s="1"/>
  <c r="D47" i="15" s="1"/>
  <c r="D49" i="15" s="1"/>
  <c r="D51" i="15" s="1"/>
  <c r="D53" i="15" s="1"/>
  <c r="D135" i="15"/>
  <c r="E107" i="15"/>
  <c r="E118" i="15" s="1"/>
  <c r="D94" i="15"/>
  <c r="D107" i="15" s="1"/>
  <c r="D118" i="15" s="1"/>
  <c r="D135" i="7"/>
  <c r="C98" i="11"/>
  <c r="C109" i="11" s="1"/>
  <c r="C106" i="11"/>
  <c r="C117" i="11" s="1"/>
  <c r="C104" i="11"/>
  <c r="C115" i="11" s="1"/>
  <c r="C101" i="11"/>
  <c r="C112" i="11" s="1"/>
  <c r="C105" i="11"/>
  <c r="C116" i="11" s="1"/>
  <c r="C102" i="11"/>
  <c r="C113" i="11" s="1"/>
  <c r="C99" i="11"/>
  <c r="C110" i="11" s="1"/>
  <c r="D36" i="13"/>
  <c r="D14" i="9"/>
  <c r="D84" i="9" s="1"/>
  <c r="D99" i="9" s="1"/>
  <c r="D111" i="9" s="1"/>
  <c r="W11" i="4"/>
  <c r="W15" i="4"/>
  <c r="W12" i="4"/>
  <c r="W18" i="4"/>
  <c r="W30" i="4"/>
  <c r="W16" i="4"/>
  <c r="E115" i="7"/>
  <c r="E126" i="7" s="1"/>
  <c r="E109" i="7"/>
  <c r="E120" i="7" s="1"/>
  <c r="E111" i="7"/>
  <c r="E122" i="7" s="1"/>
  <c r="E113" i="7"/>
  <c r="E124" i="7" s="1"/>
  <c r="E110" i="7"/>
  <c r="E121" i="7" s="1"/>
  <c r="E112" i="7"/>
  <c r="E123" i="7" s="1"/>
  <c r="E107" i="7"/>
  <c r="E118" i="7" s="1"/>
  <c r="E108" i="7"/>
  <c r="E119" i="7" s="1"/>
  <c r="D108" i="13"/>
  <c r="D119" i="13" s="1"/>
  <c r="D109" i="13"/>
  <c r="D120" i="13" s="1"/>
  <c r="D112" i="13"/>
  <c r="D123" i="13" s="1"/>
  <c r="D110" i="13"/>
  <c r="D121" i="13" s="1"/>
  <c r="D106" i="13"/>
  <c r="D117" i="13" s="1"/>
  <c r="D107" i="13"/>
  <c r="D118" i="13" s="1"/>
  <c r="D113" i="13"/>
  <c r="D124" i="13" s="1"/>
  <c r="D111" i="13"/>
  <c r="D122" i="13" s="1"/>
  <c r="F125" i="13"/>
  <c r="E84" i="9"/>
  <c r="E36" i="9"/>
  <c r="E37" i="9" s="1"/>
  <c r="E40" i="9" s="1"/>
  <c r="E42" i="9" s="1"/>
  <c r="E44" i="9" s="1"/>
  <c r="E46" i="9" s="1"/>
  <c r="E48" i="9" s="1"/>
  <c r="E50" i="9" s="1"/>
  <c r="E52" i="9" s="1"/>
  <c r="E129" i="9"/>
  <c r="F10" i="4" a="1"/>
  <c r="F10" i="4" s="1"/>
  <c r="H10" i="4" a="1"/>
  <c r="H10" i="4" s="1"/>
  <c r="J10" i="4" a="1"/>
  <c r="J10" i="4" s="1"/>
  <c r="L10" i="4" a="1"/>
  <c r="L10" i="4" s="1"/>
  <c r="N10" i="4" a="1"/>
  <c r="N10" i="4" s="1"/>
  <c r="P10" i="4" a="1"/>
  <c r="P10" i="4" s="1"/>
  <c r="R10" i="4" a="1"/>
  <c r="R10" i="4" s="1"/>
  <c r="T10" i="4" a="1"/>
  <c r="T10" i="4" s="1"/>
  <c r="F9" i="4" a="1"/>
  <c r="F9" i="4" s="1"/>
  <c r="H9" i="4" a="1"/>
  <c r="H9" i="4" s="1"/>
  <c r="J9" i="4" a="1"/>
  <c r="J9" i="4" s="1"/>
  <c r="L9" i="4" a="1"/>
  <c r="L9" i="4" s="1"/>
  <c r="N9" i="4" a="1"/>
  <c r="N9" i="4" s="1"/>
  <c r="P9" i="4" a="1"/>
  <c r="P9" i="4" s="1"/>
  <c r="R9" i="4" a="1"/>
  <c r="R9" i="4" s="1"/>
  <c r="T9" i="4" a="1"/>
  <c r="T9" i="4" s="1"/>
  <c r="F8" i="4" a="1"/>
  <c r="F8" i="4" s="1"/>
  <c r="H8" i="4" a="1"/>
  <c r="H8" i="4" s="1"/>
  <c r="J8" i="4" a="1"/>
  <c r="J8" i="4" s="1"/>
  <c r="L8" i="4" a="1"/>
  <c r="L8" i="4" s="1"/>
  <c r="N8" i="4" a="1"/>
  <c r="N8" i="4" s="1"/>
  <c r="P8" i="4" a="1"/>
  <c r="P8" i="4" s="1"/>
  <c r="R8" i="4" a="1"/>
  <c r="R8" i="4" s="1"/>
  <c r="T8" i="4" a="1"/>
  <c r="T8" i="4" s="1"/>
  <c r="F7" i="4" a="1"/>
  <c r="F7" i="4" s="1"/>
  <c r="H7" i="4" a="1"/>
  <c r="H7" i="4" s="1"/>
  <c r="J7" i="4" a="1"/>
  <c r="J7" i="4" s="1"/>
  <c r="L7" i="4" a="1"/>
  <c r="L7" i="4" s="1"/>
  <c r="N7" i="4" a="1"/>
  <c r="N7" i="4" s="1"/>
  <c r="P7" i="4" a="1"/>
  <c r="P7" i="4" s="1"/>
  <c r="R7" i="4" a="1"/>
  <c r="R7" i="4" s="1"/>
  <c r="T7" i="4" a="1"/>
  <c r="T7" i="4" s="1"/>
  <c r="F6" i="4" a="1"/>
  <c r="F6" i="4" s="1"/>
  <c r="H6" i="4" a="1"/>
  <c r="H6" i="4" s="1"/>
  <c r="J6" i="4" a="1"/>
  <c r="J6" i="4" s="1"/>
  <c r="L6" i="4" a="1"/>
  <c r="L6" i="4" s="1"/>
  <c r="N6" i="4" a="1"/>
  <c r="N6" i="4" s="1"/>
  <c r="P6" i="4" a="1"/>
  <c r="P6" i="4" s="1"/>
  <c r="R6" i="4" a="1"/>
  <c r="R6" i="4" s="1"/>
  <c r="T6" i="4" a="1"/>
  <c r="T6" i="4" s="1"/>
  <c r="F5" i="4" a="1"/>
  <c r="F5" i="4" s="1"/>
  <c r="H5" i="4" a="1"/>
  <c r="H5" i="4" s="1"/>
  <c r="J5" i="4" a="1"/>
  <c r="J5" i="4" s="1"/>
  <c r="L5" i="4" a="1"/>
  <c r="L5" i="4" s="1"/>
  <c r="N5" i="4" a="1"/>
  <c r="N5" i="4" s="1"/>
  <c r="P5" i="4" a="1"/>
  <c r="P5" i="4" s="1"/>
  <c r="R5" i="4" a="1"/>
  <c r="R5" i="4" s="1"/>
  <c r="T5" i="4" a="1"/>
  <c r="T5" i="4" s="1"/>
  <c r="F4" i="4" a="1"/>
  <c r="F4" i="4" s="1"/>
  <c r="H4" i="4" a="1"/>
  <c r="H4" i="4" s="1"/>
  <c r="J4" i="4" a="1"/>
  <c r="J4" i="4" s="1"/>
  <c r="L4" i="4" a="1"/>
  <c r="L4" i="4" s="1"/>
  <c r="N4" i="4" a="1"/>
  <c r="N4" i="4" s="1"/>
  <c r="P4" i="4" a="1"/>
  <c r="P4" i="4" s="1"/>
  <c r="R4" i="4" a="1"/>
  <c r="R4" i="4" s="1"/>
  <c r="T4" i="4" a="1"/>
  <c r="T4" i="4" s="1"/>
  <c r="F3" i="4" a="1"/>
  <c r="F3" i="4" s="1"/>
  <c r="H3" i="4" a="1"/>
  <c r="H3" i="4" s="1"/>
  <c r="J3" i="4" a="1"/>
  <c r="J3" i="4" s="1"/>
  <c r="L3" i="4" a="1"/>
  <c r="L3" i="4" s="1"/>
  <c r="N3" i="4" a="1"/>
  <c r="N3" i="4" s="1"/>
  <c r="P3" i="4" a="1"/>
  <c r="P3" i="4" s="1"/>
  <c r="R3" i="4" a="1"/>
  <c r="R3" i="4" s="1"/>
  <c r="T3" i="4" a="1"/>
  <c r="T3" i="4" s="1"/>
  <c r="J2" i="4" a="1"/>
  <c r="J2" i="4" s="1"/>
  <c r="T2" i="4" a="1"/>
  <c r="T2" i="4" s="1"/>
  <c r="R2" i="4" a="1"/>
  <c r="R2" i="4" s="1"/>
  <c r="P2" i="4" a="1"/>
  <c r="P2" i="4" s="1"/>
  <c r="N2" i="4" a="1"/>
  <c r="N2" i="4" s="1"/>
  <c r="L2" i="4" a="1"/>
  <c r="L2" i="4" s="1"/>
  <c r="H2" i="4" a="1"/>
  <c r="H2" i="4" s="1"/>
  <c r="F2" i="4" a="1"/>
  <c r="F2" i="4" s="1"/>
  <c r="F125" i="18" l="1"/>
  <c r="E36" i="16"/>
  <c r="E37" i="16" s="1"/>
  <c r="E40" i="16" s="1"/>
  <c r="E42" i="16" s="1"/>
  <c r="E44" i="16" s="1"/>
  <c r="E46" i="16" s="1"/>
  <c r="E48" i="16" s="1"/>
  <c r="E50" i="16" s="1"/>
  <c r="E52" i="16" s="1"/>
  <c r="E84" i="16"/>
  <c r="E105" i="16" s="1"/>
  <c r="E117" i="16" s="1"/>
  <c r="C151" i="13"/>
  <c r="C152" i="13" s="1"/>
  <c r="C15" i="18"/>
  <c r="C133" i="18" s="1"/>
  <c r="Z134" i="18" s="1"/>
  <c r="Z135" i="18" s="1"/>
  <c r="Z136" i="18" s="1"/>
  <c r="C91" i="13"/>
  <c r="C105" i="13" s="1"/>
  <c r="C116" i="13" s="1"/>
  <c r="C15" i="13"/>
  <c r="C133" i="13" s="1"/>
  <c r="J134" i="13" s="1"/>
  <c r="J135" i="13" s="1"/>
  <c r="J136" i="13" s="1"/>
  <c r="D111" i="7"/>
  <c r="D122" i="7" s="1"/>
  <c r="D112" i="7"/>
  <c r="D123" i="7" s="1"/>
  <c r="C151" i="18"/>
  <c r="C152" i="18" s="1"/>
  <c r="D37" i="18"/>
  <c r="D40" i="18" s="1"/>
  <c r="D42" i="18" s="1"/>
  <c r="D44" i="18" s="1"/>
  <c r="D46" i="18" s="1"/>
  <c r="D48" i="18" s="1"/>
  <c r="D50" i="18" s="1"/>
  <c r="D52" i="18" s="1"/>
  <c r="D109" i="18"/>
  <c r="D120" i="18" s="1"/>
  <c r="D110" i="18"/>
  <c r="D121" i="18" s="1"/>
  <c r="D106" i="18"/>
  <c r="D117" i="18" s="1"/>
  <c r="D112" i="18"/>
  <c r="D123" i="18" s="1"/>
  <c r="D107" i="18"/>
  <c r="D118" i="18" s="1"/>
  <c r="D108" i="18"/>
  <c r="D119" i="18" s="1"/>
  <c r="D113" i="18"/>
  <c r="D124" i="18" s="1"/>
  <c r="D111" i="18"/>
  <c r="D122" i="18" s="1"/>
  <c r="D115" i="7"/>
  <c r="D126" i="7" s="1"/>
  <c r="D107" i="7"/>
  <c r="D118" i="7" s="1"/>
  <c r="E134" i="18"/>
  <c r="E135" i="18" s="1"/>
  <c r="E136" i="18" s="1"/>
  <c r="X134" i="18"/>
  <c r="X135" i="18" s="1"/>
  <c r="X136" i="18" s="1"/>
  <c r="H134" i="18"/>
  <c r="H135" i="18" s="1"/>
  <c r="H136" i="18" s="1"/>
  <c r="D37" i="13"/>
  <c r="D40" i="13" s="1"/>
  <c r="D42" i="13" s="1"/>
  <c r="D44" i="13" s="1"/>
  <c r="D46" i="13" s="1"/>
  <c r="D48" i="13" s="1"/>
  <c r="D50" i="13" s="1"/>
  <c r="D52" i="13" s="1"/>
  <c r="D113" i="7"/>
  <c r="D124" i="7" s="1"/>
  <c r="C91" i="18"/>
  <c r="C118" i="17"/>
  <c r="D110" i="7"/>
  <c r="D121" i="7" s="1"/>
  <c r="D114" i="7"/>
  <c r="D125" i="7" s="1"/>
  <c r="D109" i="7"/>
  <c r="D120" i="7" s="1"/>
  <c r="E106" i="16"/>
  <c r="E118" i="16" s="1"/>
  <c r="E102" i="16"/>
  <c r="E114" i="16" s="1"/>
  <c r="E100" i="16"/>
  <c r="E112" i="16" s="1"/>
  <c r="D84" i="16"/>
  <c r="D99" i="16" s="1"/>
  <c r="D111" i="16" s="1"/>
  <c r="D129" i="16"/>
  <c r="D36" i="16"/>
  <c r="D37" i="16" s="1"/>
  <c r="D40" i="16" s="1"/>
  <c r="D42" i="16" s="1"/>
  <c r="D44" i="16" s="1"/>
  <c r="D46" i="16" s="1"/>
  <c r="D48" i="16" s="1"/>
  <c r="D50" i="16" s="1"/>
  <c r="D52" i="16" s="1"/>
  <c r="E127" i="15"/>
  <c r="D111" i="15"/>
  <c r="D122" i="15" s="1"/>
  <c r="D114" i="15"/>
  <c r="D125" i="15" s="1"/>
  <c r="D109" i="15"/>
  <c r="D120" i="15" s="1"/>
  <c r="D110" i="15"/>
  <c r="D121" i="15" s="1"/>
  <c r="D108" i="15"/>
  <c r="D119" i="15" s="1"/>
  <c r="D112" i="15"/>
  <c r="D123" i="15" s="1"/>
  <c r="D115" i="15"/>
  <c r="D126" i="15" s="1"/>
  <c r="D113" i="15"/>
  <c r="D124" i="15" s="1"/>
  <c r="C118" i="11"/>
  <c r="D129" i="9"/>
  <c r="D36" i="9"/>
  <c r="D37" i="9" s="1"/>
  <c r="D40" i="9" s="1"/>
  <c r="D42" i="9" s="1"/>
  <c r="D44" i="9" s="1"/>
  <c r="D46" i="9" s="1"/>
  <c r="D48" i="9" s="1"/>
  <c r="D50" i="9" s="1"/>
  <c r="D52" i="9" s="1"/>
  <c r="U4" i="4"/>
  <c r="Z4" i="4" s="1"/>
  <c r="U7" i="4"/>
  <c r="Z7" i="4" s="1"/>
  <c r="U2" i="4"/>
  <c r="Z2" i="4" s="1"/>
  <c r="U5" i="4"/>
  <c r="Z5" i="4" s="1"/>
  <c r="U8" i="4"/>
  <c r="Z8" i="4" s="1"/>
  <c r="U10" i="4"/>
  <c r="Z10" i="4" s="1"/>
  <c r="U3" i="4"/>
  <c r="Z3" i="4" s="1"/>
  <c r="U6" i="4"/>
  <c r="Z6" i="4" s="1"/>
  <c r="U9" i="4"/>
  <c r="Z9" i="4" s="1"/>
  <c r="E127" i="7"/>
  <c r="D125" i="13"/>
  <c r="E103" i="9"/>
  <c r="E115" i="9" s="1"/>
  <c r="E100" i="9"/>
  <c r="E112" i="9" s="1"/>
  <c r="E104" i="9"/>
  <c r="E116" i="9" s="1"/>
  <c r="E107" i="9"/>
  <c r="E119" i="9" s="1"/>
  <c r="E105" i="9"/>
  <c r="E117" i="9" s="1"/>
  <c r="E101" i="9"/>
  <c r="E113" i="9" s="1"/>
  <c r="E102" i="9"/>
  <c r="E114" i="9" s="1"/>
  <c r="E106" i="9"/>
  <c r="E118" i="9" s="1"/>
  <c r="D100" i="9"/>
  <c r="D112" i="9" s="1"/>
  <c r="D102" i="9"/>
  <c r="D114" i="9" s="1"/>
  <c r="D101" i="9"/>
  <c r="D113" i="9" s="1"/>
  <c r="D103" i="9"/>
  <c r="D115" i="9" s="1"/>
  <c r="D105" i="9"/>
  <c r="D117" i="9" s="1"/>
  <c r="D106" i="9"/>
  <c r="D118" i="9" s="1"/>
  <c r="D104" i="9"/>
  <c r="D116" i="9" s="1"/>
  <c r="D107" i="9"/>
  <c r="D119" i="9" s="1"/>
  <c r="E99" i="9"/>
  <c r="E111" i="9" s="1"/>
  <c r="D17" i="1"/>
  <c r="L11" i="1"/>
  <c r="L9" i="1"/>
  <c r="L7" i="1"/>
  <c r="L9" i="2"/>
  <c r="D33" i="2"/>
  <c r="D14" i="2"/>
  <c r="G14" i="2" s="1"/>
  <c r="C33" i="2"/>
  <c r="E33" i="2"/>
  <c r="E32" i="1"/>
  <c r="D20" i="2"/>
  <c r="J9" i="2"/>
  <c r="M9" i="2" s="1"/>
  <c r="J8" i="2"/>
  <c r="J7" i="2"/>
  <c r="J6" i="2"/>
  <c r="J5" i="2"/>
  <c r="D14" i="1"/>
  <c r="C32" i="1"/>
  <c r="D32" i="1"/>
  <c r="P13" i="1"/>
  <c r="D20" i="1"/>
  <c r="R14" i="1"/>
  <c r="R13" i="1"/>
  <c r="P8" i="1"/>
  <c r="P9" i="1"/>
  <c r="P10" i="1"/>
  <c r="P11" i="1"/>
  <c r="P12" i="1"/>
  <c r="P14" i="1"/>
  <c r="P7" i="1"/>
  <c r="C108" i="13" l="1"/>
  <c r="C119" i="13" s="1"/>
  <c r="E107" i="16"/>
  <c r="E119" i="16" s="1"/>
  <c r="E101" i="16"/>
  <c r="E113" i="16" s="1"/>
  <c r="E104" i="16"/>
  <c r="E116" i="16" s="1"/>
  <c r="E99" i="16"/>
  <c r="E111" i="16" s="1"/>
  <c r="E103" i="16"/>
  <c r="E115" i="16" s="1"/>
  <c r="AI134" i="18"/>
  <c r="AI135" i="18" s="1"/>
  <c r="AI136" i="18" s="1"/>
  <c r="Y134" i="13"/>
  <c r="Y135" i="13" s="1"/>
  <c r="Y136" i="13" s="1"/>
  <c r="Q134" i="18"/>
  <c r="Q135" i="18" s="1"/>
  <c r="Q136" i="18" s="1"/>
  <c r="F134" i="18"/>
  <c r="F135" i="18" s="1"/>
  <c r="F136" i="18" s="1"/>
  <c r="C110" i="13"/>
  <c r="C121" i="13" s="1"/>
  <c r="C111" i="13"/>
  <c r="C122" i="13" s="1"/>
  <c r="C109" i="13"/>
  <c r="C120" i="13" s="1"/>
  <c r="AA134" i="18"/>
  <c r="AA135" i="18" s="1"/>
  <c r="AA136" i="18" s="1"/>
  <c r="AH134" i="18"/>
  <c r="AH135" i="18" s="1"/>
  <c r="AH136" i="18" s="1"/>
  <c r="Y134" i="18"/>
  <c r="Y135" i="18" s="1"/>
  <c r="Y136" i="18" s="1"/>
  <c r="T134" i="18"/>
  <c r="T135" i="18" s="1"/>
  <c r="T136" i="18" s="1"/>
  <c r="U134" i="18"/>
  <c r="U135" i="18" s="1"/>
  <c r="U136" i="18" s="1"/>
  <c r="P134" i="18"/>
  <c r="P135" i="18" s="1"/>
  <c r="P136" i="18" s="1"/>
  <c r="C112" i="13"/>
  <c r="C123" i="13" s="1"/>
  <c r="C113" i="13"/>
  <c r="C124" i="13" s="1"/>
  <c r="AG134" i="18"/>
  <c r="AG135" i="18" s="1"/>
  <c r="AG136" i="18" s="1"/>
  <c r="J134" i="18"/>
  <c r="J135" i="18" s="1"/>
  <c r="J136" i="18" s="1"/>
  <c r="AJ134" i="18"/>
  <c r="AJ135" i="18" s="1"/>
  <c r="AJ136" i="18" s="1"/>
  <c r="C106" i="13"/>
  <c r="C117" i="13" s="1"/>
  <c r="C107" i="13"/>
  <c r="C118" i="13" s="1"/>
  <c r="S134" i="18"/>
  <c r="S135" i="18" s="1"/>
  <c r="S136" i="18" s="1"/>
  <c r="I134" i="18"/>
  <c r="I135" i="18" s="1"/>
  <c r="I136" i="18" s="1"/>
  <c r="D134" i="18"/>
  <c r="D135" i="18" s="1"/>
  <c r="D136" i="18" s="1"/>
  <c r="E134" i="13"/>
  <c r="E135" i="13" s="1"/>
  <c r="E136" i="13" s="1"/>
  <c r="AH134" i="13"/>
  <c r="AH135" i="13" s="1"/>
  <c r="AH136" i="13" s="1"/>
  <c r="Q134" i="13"/>
  <c r="Q135" i="13" s="1"/>
  <c r="Q136" i="13" s="1"/>
  <c r="AA134" i="13"/>
  <c r="AA135" i="13" s="1"/>
  <c r="AA136" i="13" s="1"/>
  <c r="T134" i="13"/>
  <c r="T135" i="13" s="1"/>
  <c r="T136" i="13" s="1"/>
  <c r="U134" i="13"/>
  <c r="U135" i="13" s="1"/>
  <c r="U136" i="13" s="1"/>
  <c r="F134" i="13"/>
  <c r="F135" i="13" s="1"/>
  <c r="F136" i="13" s="1"/>
  <c r="Z134" i="13"/>
  <c r="Z135" i="13" s="1"/>
  <c r="Z136" i="13" s="1"/>
  <c r="I134" i="13"/>
  <c r="I135" i="13" s="1"/>
  <c r="I136" i="13" s="1"/>
  <c r="AG134" i="13"/>
  <c r="AG135" i="13" s="1"/>
  <c r="AG136" i="13" s="1"/>
  <c r="AJ134" i="13"/>
  <c r="AJ135" i="13" s="1"/>
  <c r="AJ136" i="13" s="1"/>
  <c r="H134" i="13"/>
  <c r="H135" i="13" s="1"/>
  <c r="H136" i="13" s="1"/>
  <c r="D134" i="13"/>
  <c r="D135" i="13" s="1"/>
  <c r="D136" i="13" s="1"/>
  <c r="S134" i="13"/>
  <c r="S135" i="13" s="1"/>
  <c r="S136" i="13" s="1"/>
  <c r="P134" i="13"/>
  <c r="P135" i="13" s="1"/>
  <c r="P136" i="13" s="1"/>
  <c r="X134" i="13"/>
  <c r="X135" i="13" s="1"/>
  <c r="X136" i="13" s="1"/>
  <c r="AI134" i="13"/>
  <c r="AI135" i="13" s="1"/>
  <c r="AI136" i="13" s="1"/>
  <c r="E14" i="6"/>
  <c r="D125" i="18"/>
  <c r="C107" i="18"/>
  <c r="C118" i="18" s="1"/>
  <c r="C110" i="18"/>
  <c r="C121" i="18" s="1"/>
  <c r="C108" i="18"/>
  <c r="C119" i="18" s="1"/>
  <c r="C106" i="18"/>
  <c r="C117" i="18" s="1"/>
  <c r="C112" i="18"/>
  <c r="C123" i="18" s="1"/>
  <c r="C111" i="18"/>
  <c r="C122" i="18" s="1"/>
  <c r="C113" i="18"/>
  <c r="C124" i="18" s="1"/>
  <c r="C109" i="18"/>
  <c r="C120" i="18" s="1"/>
  <c r="C105" i="18"/>
  <c r="C116" i="18" s="1"/>
  <c r="D127" i="7"/>
  <c r="D127" i="15"/>
  <c r="D106" i="16"/>
  <c r="D118" i="16" s="1"/>
  <c r="D101" i="16"/>
  <c r="D113" i="16" s="1"/>
  <c r="D100" i="16"/>
  <c r="D112" i="16" s="1"/>
  <c r="D103" i="16"/>
  <c r="D115" i="16" s="1"/>
  <c r="D102" i="16"/>
  <c r="D114" i="16" s="1"/>
  <c r="D104" i="16"/>
  <c r="D116" i="16" s="1"/>
  <c r="D107" i="16"/>
  <c r="D119" i="16" s="1"/>
  <c r="D105" i="16"/>
  <c r="D117" i="16" s="1"/>
  <c r="W3" i="4"/>
  <c r="W10" i="4"/>
  <c r="W8" i="4"/>
  <c r="W5" i="4"/>
  <c r="W4" i="4"/>
  <c r="W9" i="4"/>
  <c r="W2" i="4"/>
  <c r="E11" i="6" a="1"/>
  <c r="E11" i="6" s="1"/>
  <c r="W6" i="4"/>
  <c r="W7" i="4"/>
  <c r="D121" i="9"/>
  <c r="E121" i="9"/>
  <c r="L14" i="1"/>
  <c r="C16" i="2"/>
  <c r="F16" i="2" s="1"/>
  <c r="S13" i="1"/>
  <c r="S14" i="1"/>
  <c r="M14" i="1"/>
  <c r="C16" i="1" s="1"/>
  <c r="E121" i="16" l="1"/>
  <c r="C125" i="13"/>
  <c r="P126" i="13" s="1"/>
  <c r="P129" i="13" s="1"/>
  <c r="P53" i="13" s="1"/>
  <c r="P54" i="13" s="1"/>
  <c r="P56" i="13" s="1"/>
  <c r="P58" i="13" s="1"/>
  <c r="P60" i="13" s="1"/>
  <c r="P62" i="13" s="1"/>
  <c r="P64" i="13" s="1"/>
  <c r="P139" i="13" s="1"/>
  <c r="P140" i="13" s="1"/>
  <c r="P65" i="13" s="1"/>
  <c r="P66" i="13" s="1"/>
  <c r="P68" i="13" s="1"/>
  <c r="P70" i="13" s="1"/>
  <c r="P72" i="13" s="1"/>
  <c r="P74" i="13" s="1"/>
  <c r="P76" i="13" s="1"/>
  <c r="P77" i="13" s="1"/>
  <c r="J68" i="4" a="1"/>
  <c r="J68" i="4" s="1"/>
  <c r="D14" i="6"/>
  <c r="E8" i="6" a="1"/>
  <c r="E8" i="6" s="1"/>
  <c r="B19" i="11" s="1"/>
  <c r="B92" i="11" s="1"/>
  <c r="I69" i="4" a="1"/>
  <c r="I69" i="4" s="1"/>
  <c r="H69" i="4" a="1"/>
  <c r="H69" i="4" s="1"/>
  <c r="D5" i="6" a="1"/>
  <c r="D5" i="6" s="1"/>
  <c r="B17" i="9" s="1"/>
  <c r="B87" i="9" s="1"/>
  <c r="D8" i="6" a="1"/>
  <c r="D8" i="6" s="1"/>
  <c r="B20" i="9" s="1"/>
  <c r="B90" i="9" s="1"/>
  <c r="F69" i="4" a="1"/>
  <c r="F69" i="4" s="1"/>
  <c r="C69" i="4" a="1"/>
  <c r="C69" i="4" s="1"/>
  <c r="E4" i="6" a="1"/>
  <c r="E4" i="6" s="1"/>
  <c r="B15" i="11" s="1"/>
  <c r="B88" i="11" s="1"/>
  <c r="D11" i="6" a="1"/>
  <c r="D11" i="6" s="1"/>
  <c r="B23" i="9" s="1"/>
  <c r="B93" i="9" s="1"/>
  <c r="B68" i="4" a="1"/>
  <c r="B68" i="4" s="1"/>
  <c r="G69" i="4" a="1"/>
  <c r="G69" i="4" s="1"/>
  <c r="C14" i="6"/>
  <c r="B69" i="4" a="1"/>
  <c r="B69" i="4" s="1"/>
  <c r="J69" i="4" a="1"/>
  <c r="J69" i="4" s="1"/>
  <c r="E3" i="6" a="1"/>
  <c r="E3" i="6" s="1"/>
  <c r="B14" i="11" s="1"/>
  <c r="B87" i="11" s="1"/>
  <c r="E7" i="6" a="1"/>
  <c r="E7" i="6" s="1"/>
  <c r="B18" i="11" s="1"/>
  <c r="B91" i="11" s="1"/>
  <c r="I68" i="4" a="1"/>
  <c r="I68" i="4" s="1"/>
  <c r="E69" i="4" a="1"/>
  <c r="E69" i="4" s="1"/>
  <c r="C68" i="4" a="1"/>
  <c r="C68" i="4" s="1"/>
  <c r="E5" i="6" a="1"/>
  <c r="E5" i="6" s="1"/>
  <c r="B16" i="17" s="1"/>
  <c r="B89" i="17" s="1"/>
  <c r="D68" i="4" a="1"/>
  <c r="D68" i="4" s="1"/>
  <c r="G68" i="4" a="1"/>
  <c r="G68" i="4" s="1"/>
  <c r="E6" i="6" a="1"/>
  <c r="E6" i="6" s="1"/>
  <c r="B17" i="11" s="1"/>
  <c r="B90" i="11" s="1"/>
  <c r="D6" i="6" a="1"/>
  <c r="D6" i="6" s="1"/>
  <c r="B18" i="9" s="1"/>
  <c r="B88" i="9" s="1"/>
  <c r="D69" i="4" a="1"/>
  <c r="D69" i="4" s="1"/>
  <c r="H68" i="4" a="1"/>
  <c r="H68" i="4" s="1"/>
  <c r="F68" i="4" a="1"/>
  <c r="F68" i="4" s="1"/>
  <c r="E9" i="6" a="1"/>
  <c r="E9" i="6" s="1"/>
  <c r="B20" i="11" s="1"/>
  <c r="B93" i="11" s="1"/>
  <c r="D9" i="6" a="1"/>
  <c r="D9" i="6" s="1"/>
  <c r="B21" i="9" s="1"/>
  <c r="B91" i="9" s="1"/>
  <c r="E68" i="4" a="1"/>
  <c r="E68" i="4" s="1"/>
  <c r="E10" i="6" a="1"/>
  <c r="E10" i="6" s="1"/>
  <c r="B21" i="17" s="1"/>
  <c r="B94" i="17" s="1"/>
  <c r="D10" i="6" a="1"/>
  <c r="D10" i="6" s="1"/>
  <c r="B22" i="9" s="1"/>
  <c r="B92" i="9" s="1"/>
  <c r="D3" i="6" a="1"/>
  <c r="D3" i="6" s="1"/>
  <c r="B15" i="16" s="1"/>
  <c r="C125" i="18"/>
  <c r="D121" i="16"/>
  <c r="B19" i="17"/>
  <c r="B92" i="17" s="1"/>
  <c r="B22" i="11"/>
  <c r="B95" i="11" s="1"/>
  <c r="B22" i="17"/>
  <c r="B95" i="17" s="1"/>
  <c r="D7" i="6" a="1"/>
  <c r="D7" i="6" s="1"/>
  <c r="D4" i="6" a="1"/>
  <c r="D4" i="6" s="1"/>
  <c r="AJ126" i="13"/>
  <c r="AJ129" i="13" s="1"/>
  <c r="AJ53" i="13" s="1"/>
  <c r="AJ54" i="13" s="1"/>
  <c r="AJ56" i="13" s="1"/>
  <c r="AJ58" i="13" s="1"/>
  <c r="AJ60" i="13" s="1"/>
  <c r="AJ62" i="13" s="1"/>
  <c r="AJ64" i="13" s="1"/>
  <c r="AJ137" i="13" s="1"/>
  <c r="Z126" i="13"/>
  <c r="Z129" i="13" s="1"/>
  <c r="Z53" i="13" s="1"/>
  <c r="Z54" i="13" s="1"/>
  <c r="Z56" i="13" s="1"/>
  <c r="Z58" i="13" s="1"/>
  <c r="Z60" i="13" s="1"/>
  <c r="Z62" i="13" s="1"/>
  <c r="Z64" i="13" s="1"/>
  <c r="Z139" i="13" s="1"/>
  <c r="Z140" i="13" s="1"/>
  <c r="Z65" i="13" s="1"/>
  <c r="Z66" i="13" s="1"/>
  <c r="Z68" i="13" s="1"/>
  <c r="Z70" i="13" s="1"/>
  <c r="Z72" i="13" s="1"/>
  <c r="Z74" i="13" s="1"/>
  <c r="Z76" i="13" s="1"/>
  <c r="Z77" i="13" s="1"/>
  <c r="AG126" i="13"/>
  <c r="AG129" i="13" s="1"/>
  <c r="AG53" i="13" s="1"/>
  <c r="AG54" i="13" s="1"/>
  <c r="AG56" i="13" s="1"/>
  <c r="AG58" i="13" s="1"/>
  <c r="AG60" i="13" s="1"/>
  <c r="AG62" i="13" s="1"/>
  <c r="AG64" i="13" s="1"/>
  <c r="AG137" i="13" s="1"/>
  <c r="C8" i="6" a="1"/>
  <c r="C8" i="6" s="1"/>
  <c r="I67" i="4" a="1"/>
  <c r="I67" i="4" s="1"/>
  <c r="G67" i="4" a="1"/>
  <c r="G67" i="4" s="1"/>
  <c r="C11" i="6" a="1"/>
  <c r="C11" i="6" s="1"/>
  <c r="C67" i="4" a="1"/>
  <c r="C67" i="4" s="1"/>
  <c r="C3" i="6" a="1"/>
  <c r="C3" i="6" s="1"/>
  <c r="C4" i="6" a="1"/>
  <c r="C4" i="6" s="1"/>
  <c r="B67" i="4" a="1"/>
  <c r="B67" i="4" s="1"/>
  <c r="C6" i="6" a="1"/>
  <c r="C6" i="6" s="1"/>
  <c r="C7" i="6" a="1"/>
  <c r="C7" i="6" s="1"/>
  <c r="H67" i="4" a="1"/>
  <c r="H67" i="4" s="1"/>
  <c r="C9" i="6" a="1"/>
  <c r="C9" i="6" s="1"/>
  <c r="C10" i="6" a="1"/>
  <c r="C10" i="6" s="1"/>
  <c r="J67" i="4" a="1"/>
  <c r="J67" i="4" s="1"/>
  <c r="F67" i="4" a="1"/>
  <c r="F67" i="4" s="1"/>
  <c r="C5" i="6" a="1"/>
  <c r="C5" i="6" s="1"/>
  <c r="D67" i="4" a="1"/>
  <c r="D67" i="4" s="1"/>
  <c r="E67" i="4" a="1"/>
  <c r="E67" i="4" s="1"/>
  <c r="D16" i="2"/>
  <c r="E16" i="2" s="1"/>
  <c r="E22" i="2" s="1"/>
  <c r="D22" i="2" s="1"/>
  <c r="E23" i="2"/>
  <c r="D23" i="2" s="1"/>
  <c r="E23" i="1"/>
  <c r="D23" i="1" s="1"/>
  <c r="E16" i="1"/>
  <c r="E22" i="1" s="1"/>
  <c r="D22" i="1" s="1"/>
  <c r="F16" i="1"/>
  <c r="P137" i="13" l="1"/>
  <c r="B16" i="11"/>
  <c r="B89" i="11" s="1"/>
  <c r="B15" i="17"/>
  <c r="B88" i="17" s="1"/>
  <c r="AA126" i="13"/>
  <c r="AA129" i="13" s="1"/>
  <c r="AA53" i="13" s="1"/>
  <c r="AA54" i="13" s="1"/>
  <c r="AA56" i="13" s="1"/>
  <c r="AA58" i="13" s="1"/>
  <c r="AA60" i="13" s="1"/>
  <c r="AA62" i="13" s="1"/>
  <c r="AA64" i="13" s="1"/>
  <c r="AA137" i="13" s="1"/>
  <c r="D126" i="13"/>
  <c r="D129" i="13" s="1"/>
  <c r="D53" i="13" s="1"/>
  <c r="D54" i="13" s="1"/>
  <c r="D56" i="13" s="1"/>
  <c r="D58" i="13" s="1"/>
  <c r="D60" i="13" s="1"/>
  <c r="D62" i="13" s="1"/>
  <c r="D64" i="13" s="1"/>
  <c r="D137" i="13" s="1"/>
  <c r="F126" i="13"/>
  <c r="F129" i="13" s="1"/>
  <c r="F53" i="13" s="1"/>
  <c r="F54" i="13" s="1"/>
  <c r="F56" i="13" s="1"/>
  <c r="F58" i="13" s="1"/>
  <c r="F60" i="13" s="1"/>
  <c r="F62" i="13" s="1"/>
  <c r="F64" i="13" s="1"/>
  <c r="F139" i="13" s="1"/>
  <c r="F140" i="13" s="1"/>
  <c r="F65" i="13" s="1"/>
  <c r="F66" i="13" s="1"/>
  <c r="F68" i="13" s="1"/>
  <c r="F70" i="13" s="1"/>
  <c r="F72" i="13" s="1"/>
  <c r="F74" i="13" s="1"/>
  <c r="F76" i="13" s="1"/>
  <c r="F77" i="13" s="1"/>
  <c r="T126" i="13"/>
  <c r="T129" i="13" s="1"/>
  <c r="T53" i="13" s="1"/>
  <c r="T54" i="13" s="1"/>
  <c r="T56" i="13" s="1"/>
  <c r="T58" i="13" s="1"/>
  <c r="T60" i="13" s="1"/>
  <c r="T62" i="13" s="1"/>
  <c r="T64" i="13" s="1"/>
  <c r="T139" i="13" s="1"/>
  <c r="T140" i="13" s="1"/>
  <c r="T65" i="13" s="1"/>
  <c r="T66" i="13" s="1"/>
  <c r="T68" i="13" s="1"/>
  <c r="T70" i="13" s="1"/>
  <c r="T72" i="13" s="1"/>
  <c r="T74" i="13" s="1"/>
  <c r="T76" i="13" s="1"/>
  <c r="T77" i="13" s="1"/>
  <c r="AI126" i="13"/>
  <c r="AI129" i="13" s="1"/>
  <c r="AI53" i="13" s="1"/>
  <c r="AI54" i="13" s="1"/>
  <c r="AI56" i="13" s="1"/>
  <c r="AI58" i="13" s="1"/>
  <c r="AI60" i="13" s="1"/>
  <c r="AI62" i="13" s="1"/>
  <c r="AI64" i="13" s="1"/>
  <c r="AI139" i="13" s="1"/>
  <c r="AI140" i="13" s="1"/>
  <c r="AI65" i="13" s="1"/>
  <c r="AI66" i="13" s="1"/>
  <c r="AI68" i="13" s="1"/>
  <c r="AI70" i="13" s="1"/>
  <c r="AI72" i="13" s="1"/>
  <c r="AI74" i="13" s="1"/>
  <c r="AI76" i="13" s="1"/>
  <c r="AI77" i="13" s="1"/>
  <c r="X126" i="13"/>
  <c r="X129" i="13" s="1"/>
  <c r="X53" i="13" s="1"/>
  <c r="X54" i="13" s="1"/>
  <c r="X56" i="13" s="1"/>
  <c r="X58" i="13" s="1"/>
  <c r="X60" i="13" s="1"/>
  <c r="X62" i="13" s="1"/>
  <c r="X64" i="13" s="1"/>
  <c r="X139" i="13" s="1"/>
  <c r="X140" i="13" s="1"/>
  <c r="X65" i="13" s="1"/>
  <c r="X66" i="13" s="1"/>
  <c r="X68" i="13" s="1"/>
  <c r="X70" i="13" s="1"/>
  <c r="X72" i="13" s="1"/>
  <c r="X74" i="13" s="1"/>
  <c r="X76" i="13" s="1"/>
  <c r="X77" i="13" s="1"/>
  <c r="AH126" i="13"/>
  <c r="AH129" i="13" s="1"/>
  <c r="AH53" i="13" s="1"/>
  <c r="AH54" i="13" s="1"/>
  <c r="AH56" i="13" s="1"/>
  <c r="AH58" i="13" s="1"/>
  <c r="AH60" i="13" s="1"/>
  <c r="AH62" i="13" s="1"/>
  <c r="AH64" i="13" s="1"/>
  <c r="AH137" i="13" s="1"/>
  <c r="J126" i="13"/>
  <c r="J129" i="13" s="1"/>
  <c r="J53" i="13" s="1"/>
  <c r="J54" i="13" s="1"/>
  <c r="J56" i="13" s="1"/>
  <c r="J58" i="13" s="1"/>
  <c r="J60" i="13" s="1"/>
  <c r="J62" i="13" s="1"/>
  <c r="J64" i="13" s="1"/>
  <c r="J139" i="13" s="1"/>
  <c r="J140" i="13" s="1"/>
  <c r="J65" i="13" s="1"/>
  <c r="J66" i="13" s="1"/>
  <c r="J68" i="13" s="1"/>
  <c r="J70" i="13" s="1"/>
  <c r="J72" i="13" s="1"/>
  <c r="J74" i="13" s="1"/>
  <c r="J76" i="13" s="1"/>
  <c r="J77" i="13" s="1"/>
  <c r="H126" i="13"/>
  <c r="H129" i="13" s="1"/>
  <c r="H53" i="13" s="1"/>
  <c r="H54" i="13" s="1"/>
  <c r="H56" i="13" s="1"/>
  <c r="H58" i="13" s="1"/>
  <c r="H60" i="13" s="1"/>
  <c r="H62" i="13" s="1"/>
  <c r="H64" i="13" s="1"/>
  <c r="H139" i="13" s="1"/>
  <c r="H140" i="13" s="1"/>
  <c r="H65" i="13" s="1"/>
  <c r="H66" i="13" s="1"/>
  <c r="H68" i="13" s="1"/>
  <c r="H70" i="13" s="1"/>
  <c r="H72" i="13" s="1"/>
  <c r="H74" i="13" s="1"/>
  <c r="H76" i="13" s="1"/>
  <c r="H77" i="13" s="1"/>
  <c r="Q126" i="13"/>
  <c r="Q129" i="13" s="1"/>
  <c r="Q53" i="13" s="1"/>
  <c r="Q54" i="13" s="1"/>
  <c r="Q56" i="13" s="1"/>
  <c r="Q58" i="13" s="1"/>
  <c r="Q60" i="13" s="1"/>
  <c r="Q62" i="13" s="1"/>
  <c r="Q64" i="13" s="1"/>
  <c r="Q139" i="13" s="1"/>
  <c r="Q140" i="13" s="1"/>
  <c r="Q65" i="13" s="1"/>
  <c r="Q66" i="13" s="1"/>
  <c r="Q68" i="13" s="1"/>
  <c r="Q70" i="13" s="1"/>
  <c r="Q72" i="13" s="1"/>
  <c r="Q74" i="13" s="1"/>
  <c r="Q76" i="13" s="1"/>
  <c r="Q77" i="13" s="1"/>
  <c r="Y126" i="13"/>
  <c r="Y129" i="13" s="1"/>
  <c r="Y53" i="13" s="1"/>
  <c r="Y54" i="13" s="1"/>
  <c r="Y56" i="13" s="1"/>
  <c r="Y58" i="13" s="1"/>
  <c r="Y60" i="13" s="1"/>
  <c r="Y62" i="13" s="1"/>
  <c r="Y64" i="13" s="1"/>
  <c r="Y137" i="13" s="1"/>
  <c r="I126" i="13"/>
  <c r="I129" i="13" s="1"/>
  <c r="I53" i="13" s="1"/>
  <c r="I54" i="13" s="1"/>
  <c r="I56" i="13" s="1"/>
  <c r="I58" i="13" s="1"/>
  <c r="I60" i="13" s="1"/>
  <c r="I62" i="13" s="1"/>
  <c r="I64" i="13" s="1"/>
  <c r="I137" i="13" s="1"/>
  <c r="U126" i="13"/>
  <c r="U129" i="13" s="1"/>
  <c r="U53" i="13" s="1"/>
  <c r="U54" i="13" s="1"/>
  <c r="U56" i="13" s="1"/>
  <c r="U58" i="13" s="1"/>
  <c r="U60" i="13" s="1"/>
  <c r="U62" i="13" s="1"/>
  <c r="U64" i="13" s="1"/>
  <c r="U139" i="13" s="1"/>
  <c r="U140" i="13" s="1"/>
  <c r="U65" i="13" s="1"/>
  <c r="U66" i="13" s="1"/>
  <c r="U68" i="13" s="1"/>
  <c r="U70" i="13" s="1"/>
  <c r="U72" i="13" s="1"/>
  <c r="U74" i="13" s="1"/>
  <c r="U76" i="13" s="1"/>
  <c r="U77" i="13" s="1"/>
  <c r="S126" i="13"/>
  <c r="S129" i="13" s="1"/>
  <c r="S53" i="13" s="1"/>
  <c r="S54" i="13" s="1"/>
  <c r="S56" i="13" s="1"/>
  <c r="S58" i="13" s="1"/>
  <c r="S60" i="13" s="1"/>
  <c r="S62" i="13" s="1"/>
  <c r="S64" i="13" s="1"/>
  <c r="S137" i="13" s="1"/>
  <c r="E126" i="13"/>
  <c r="E129" i="13" s="1"/>
  <c r="E53" i="13" s="1"/>
  <c r="E54" i="13" s="1"/>
  <c r="E56" i="13" s="1"/>
  <c r="E58" i="13" s="1"/>
  <c r="E60" i="13" s="1"/>
  <c r="E62" i="13" s="1"/>
  <c r="E64" i="13" s="1"/>
  <c r="E139" i="13" s="1"/>
  <c r="E140" i="13" s="1"/>
  <c r="E65" i="13" s="1"/>
  <c r="E66" i="13" s="1"/>
  <c r="E68" i="13" s="1"/>
  <c r="E70" i="13" s="1"/>
  <c r="E72" i="13" s="1"/>
  <c r="E74" i="13" s="1"/>
  <c r="E76" i="13" s="1"/>
  <c r="E77" i="13" s="1"/>
  <c r="B21" i="11"/>
  <c r="B94" i="11" s="1"/>
  <c r="B86" i="11" s="1"/>
  <c r="B98" i="11" s="1"/>
  <c r="B109" i="11" s="1"/>
  <c r="B17" i="16"/>
  <c r="B87" i="16" s="1"/>
  <c r="B20" i="16"/>
  <c r="B90" i="16" s="1"/>
  <c r="B17" i="17"/>
  <c r="B90" i="17" s="1"/>
  <c r="B21" i="16"/>
  <c r="B91" i="16" s="1"/>
  <c r="B23" i="16"/>
  <c r="B93" i="16" s="1"/>
  <c r="B18" i="16"/>
  <c r="B88" i="16" s="1"/>
  <c r="B18" i="17"/>
  <c r="B91" i="17" s="1"/>
  <c r="B20" i="17"/>
  <c r="B93" i="17" s="1"/>
  <c r="E12" i="6"/>
  <c r="B14" i="17"/>
  <c r="B87" i="17" s="1"/>
  <c r="B15" i="9"/>
  <c r="B85" i="9" s="1"/>
  <c r="B22" i="16"/>
  <c r="B92" i="16" s="1"/>
  <c r="AA126" i="18"/>
  <c r="AA129" i="18" s="1"/>
  <c r="AA53" i="18" s="1"/>
  <c r="AA54" i="18" s="1"/>
  <c r="AA56" i="18" s="1"/>
  <c r="AA58" i="18" s="1"/>
  <c r="AA60" i="18" s="1"/>
  <c r="AA62" i="18" s="1"/>
  <c r="AA64" i="18" s="1"/>
  <c r="S126" i="18"/>
  <c r="S129" i="18" s="1"/>
  <c r="S53" i="18" s="1"/>
  <c r="S54" i="18" s="1"/>
  <c r="S56" i="18" s="1"/>
  <c r="S58" i="18" s="1"/>
  <c r="S60" i="18" s="1"/>
  <c r="S62" i="18" s="1"/>
  <c r="S64" i="18" s="1"/>
  <c r="F126" i="18"/>
  <c r="F129" i="18" s="1"/>
  <c r="F53" i="18" s="1"/>
  <c r="F54" i="18" s="1"/>
  <c r="F56" i="18" s="1"/>
  <c r="F58" i="18" s="1"/>
  <c r="F60" i="18" s="1"/>
  <c r="F62" i="18" s="1"/>
  <c r="F64" i="18" s="1"/>
  <c r="Z126" i="18"/>
  <c r="Z129" i="18" s="1"/>
  <c r="Z53" i="18" s="1"/>
  <c r="Z54" i="18" s="1"/>
  <c r="Z56" i="18" s="1"/>
  <c r="Z58" i="18" s="1"/>
  <c r="Z60" i="18" s="1"/>
  <c r="Z62" i="18" s="1"/>
  <c r="Z64" i="18" s="1"/>
  <c r="Q126" i="18"/>
  <c r="Q129" i="18" s="1"/>
  <c r="Q53" i="18" s="1"/>
  <c r="Q54" i="18" s="1"/>
  <c r="Q56" i="18" s="1"/>
  <c r="Q58" i="18" s="1"/>
  <c r="Q60" i="18" s="1"/>
  <c r="Q62" i="18" s="1"/>
  <c r="Q64" i="18" s="1"/>
  <c r="E126" i="18"/>
  <c r="E129" i="18" s="1"/>
  <c r="E53" i="18" s="1"/>
  <c r="E54" i="18" s="1"/>
  <c r="E56" i="18" s="1"/>
  <c r="E58" i="18" s="1"/>
  <c r="E60" i="18" s="1"/>
  <c r="E62" i="18" s="1"/>
  <c r="E64" i="18" s="1"/>
  <c r="AJ126" i="18"/>
  <c r="AJ129" i="18" s="1"/>
  <c r="AJ53" i="18" s="1"/>
  <c r="AJ54" i="18" s="1"/>
  <c r="AJ56" i="18" s="1"/>
  <c r="AJ58" i="18" s="1"/>
  <c r="AJ60" i="18" s="1"/>
  <c r="AJ62" i="18" s="1"/>
  <c r="AJ64" i="18" s="1"/>
  <c r="Y126" i="18"/>
  <c r="Y129" i="18" s="1"/>
  <c r="Y53" i="18" s="1"/>
  <c r="Y54" i="18" s="1"/>
  <c r="Y56" i="18" s="1"/>
  <c r="Y58" i="18" s="1"/>
  <c r="Y60" i="18" s="1"/>
  <c r="Y62" i="18" s="1"/>
  <c r="Y64" i="18" s="1"/>
  <c r="P126" i="18"/>
  <c r="P129" i="18" s="1"/>
  <c r="P53" i="18" s="1"/>
  <c r="P54" i="18" s="1"/>
  <c r="P56" i="18" s="1"/>
  <c r="P58" i="18" s="1"/>
  <c r="P60" i="18" s="1"/>
  <c r="P62" i="18" s="1"/>
  <c r="P64" i="18" s="1"/>
  <c r="D126" i="18"/>
  <c r="D129" i="18" s="1"/>
  <c r="D53" i="18" s="1"/>
  <c r="D54" i="18" s="1"/>
  <c r="D56" i="18" s="1"/>
  <c r="D58" i="18" s="1"/>
  <c r="D60" i="18" s="1"/>
  <c r="D62" i="18" s="1"/>
  <c r="D64" i="18" s="1"/>
  <c r="AI126" i="18"/>
  <c r="AI129" i="18" s="1"/>
  <c r="AI53" i="18" s="1"/>
  <c r="AI54" i="18" s="1"/>
  <c r="AI56" i="18" s="1"/>
  <c r="AI58" i="18" s="1"/>
  <c r="AI60" i="18" s="1"/>
  <c r="AI62" i="18" s="1"/>
  <c r="AI64" i="18" s="1"/>
  <c r="X126" i="18"/>
  <c r="X129" i="18" s="1"/>
  <c r="X53" i="18" s="1"/>
  <c r="X54" i="18" s="1"/>
  <c r="X56" i="18" s="1"/>
  <c r="X58" i="18" s="1"/>
  <c r="X60" i="18" s="1"/>
  <c r="X62" i="18" s="1"/>
  <c r="X64" i="18" s="1"/>
  <c r="J126" i="18"/>
  <c r="J129" i="18" s="1"/>
  <c r="J53" i="18" s="1"/>
  <c r="J54" i="18" s="1"/>
  <c r="J56" i="18" s="1"/>
  <c r="J58" i="18" s="1"/>
  <c r="J60" i="18" s="1"/>
  <c r="J62" i="18" s="1"/>
  <c r="J64" i="18" s="1"/>
  <c r="AH126" i="18"/>
  <c r="AH129" i="18" s="1"/>
  <c r="AH53" i="18" s="1"/>
  <c r="AH54" i="18" s="1"/>
  <c r="AH56" i="18" s="1"/>
  <c r="AH58" i="18" s="1"/>
  <c r="AH60" i="18" s="1"/>
  <c r="AH62" i="18" s="1"/>
  <c r="AH64" i="18" s="1"/>
  <c r="AG126" i="18"/>
  <c r="AG129" i="18" s="1"/>
  <c r="AG53" i="18" s="1"/>
  <c r="AG54" i="18" s="1"/>
  <c r="AG56" i="18" s="1"/>
  <c r="AG58" i="18" s="1"/>
  <c r="AG60" i="18" s="1"/>
  <c r="AG62" i="18" s="1"/>
  <c r="AG64" i="18" s="1"/>
  <c r="U126" i="18"/>
  <c r="U129" i="18" s="1"/>
  <c r="U53" i="18" s="1"/>
  <c r="U54" i="18" s="1"/>
  <c r="U56" i="18" s="1"/>
  <c r="U58" i="18" s="1"/>
  <c r="U60" i="18" s="1"/>
  <c r="U62" i="18" s="1"/>
  <c r="U64" i="18" s="1"/>
  <c r="T126" i="18"/>
  <c r="T129" i="18" s="1"/>
  <c r="T53" i="18" s="1"/>
  <c r="T54" i="18" s="1"/>
  <c r="T56" i="18" s="1"/>
  <c r="T58" i="18" s="1"/>
  <c r="T60" i="18" s="1"/>
  <c r="T62" i="18" s="1"/>
  <c r="T64" i="18" s="1"/>
  <c r="H126" i="18"/>
  <c r="H129" i="18" s="1"/>
  <c r="H53" i="18" s="1"/>
  <c r="H54" i="18" s="1"/>
  <c r="H56" i="18" s="1"/>
  <c r="H58" i="18" s="1"/>
  <c r="H60" i="18" s="1"/>
  <c r="H62" i="18" s="1"/>
  <c r="H64" i="18" s="1"/>
  <c r="I126" i="18"/>
  <c r="I129" i="18" s="1"/>
  <c r="I53" i="18" s="1"/>
  <c r="I54" i="18" s="1"/>
  <c r="I56" i="18" s="1"/>
  <c r="I58" i="18" s="1"/>
  <c r="I60" i="18" s="1"/>
  <c r="I62" i="18" s="1"/>
  <c r="I64" i="18" s="1"/>
  <c r="B16" i="9"/>
  <c r="B86" i="9" s="1"/>
  <c r="B16" i="16"/>
  <c r="B86" i="16" s="1"/>
  <c r="B19" i="9"/>
  <c r="B89" i="9" s="1"/>
  <c r="B19" i="16"/>
  <c r="B89" i="16" s="1"/>
  <c r="B85" i="16"/>
  <c r="B19" i="7"/>
  <c r="B99" i="7" s="1"/>
  <c r="B19" i="15"/>
  <c r="B99" i="15" s="1"/>
  <c r="B23" i="7"/>
  <c r="B103" i="7" s="1"/>
  <c r="B23" i="15"/>
  <c r="B103" i="15" s="1"/>
  <c r="B18" i="7"/>
  <c r="B98" i="7" s="1"/>
  <c r="B18" i="15"/>
  <c r="B98" i="15" s="1"/>
  <c r="B20" i="7"/>
  <c r="B100" i="7" s="1"/>
  <c r="B20" i="15"/>
  <c r="B100" i="15" s="1"/>
  <c r="B17" i="7"/>
  <c r="B97" i="7" s="1"/>
  <c r="B17" i="15"/>
  <c r="B97" i="15" s="1"/>
  <c r="B22" i="7"/>
  <c r="B102" i="7" s="1"/>
  <c r="B22" i="15"/>
  <c r="B102" i="15" s="1"/>
  <c r="B16" i="7"/>
  <c r="B96" i="7" s="1"/>
  <c r="B16" i="15"/>
  <c r="B96" i="15" s="1"/>
  <c r="B21" i="7"/>
  <c r="B101" i="7" s="1"/>
  <c r="B21" i="15"/>
  <c r="B101" i="15" s="1"/>
  <c r="B15" i="7"/>
  <c r="B95" i="7" s="1"/>
  <c r="B15" i="15"/>
  <c r="D12" i="6"/>
  <c r="AG139" i="13"/>
  <c r="AG140" i="13" s="1"/>
  <c r="AG65" i="13" s="1"/>
  <c r="AG66" i="13" s="1"/>
  <c r="AG68" i="13" s="1"/>
  <c r="AG70" i="13" s="1"/>
  <c r="AG72" i="13" s="1"/>
  <c r="AG74" i="13" s="1"/>
  <c r="AG76" i="13" s="1"/>
  <c r="AG77" i="13" s="1"/>
  <c r="E13" i="6"/>
  <c r="Z137" i="13"/>
  <c r="D13" i="6"/>
  <c r="AJ139" i="13"/>
  <c r="AJ140" i="13" s="1"/>
  <c r="AJ65" i="13" s="1"/>
  <c r="AJ66" i="13" s="1"/>
  <c r="AJ68" i="13" s="1"/>
  <c r="AJ70" i="13" s="1"/>
  <c r="AJ72" i="13" s="1"/>
  <c r="AJ74" i="13" s="1"/>
  <c r="AJ76" i="13" s="1"/>
  <c r="AJ77" i="13" s="1"/>
  <c r="Y139" i="13"/>
  <c r="Y140" i="13" s="1"/>
  <c r="Y65" i="13" s="1"/>
  <c r="Y66" i="13" s="1"/>
  <c r="Y68" i="13" s="1"/>
  <c r="Y70" i="13" s="1"/>
  <c r="Y72" i="13" s="1"/>
  <c r="Y74" i="13" s="1"/>
  <c r="Y76" i="13" s="1"/>
  <c r="Y77" i="13" s="1"/>
  <c r="AH139" i="13"/>
  <c r="AH140" i="13" s="1"/>
  <c r="AH65" i="13" s="1"/>
  <c r="AH66" i="13" s="1"/>
  <c r="AH68" i="13" s="1"/>
  <c r="AH70" i="13" s="1"/>
  <c r="AH72" i="13" s="1"/>
  <c r="AH74" i="13" s="1"/>
  <c r="AH76" i="13" s="1"/>
  <c r="AH77" i="13" s="1"/>
  <c r="J137" i="13"/>
  <c r="S139" i="13"/>
  <c r="S140" i="13" s="1"/>
  <c r="S65" i="13" s="1"/>
  <c r="S66" i="13" s="1"/>
  <c r="S68" i="13" s="1"/>
  <c r="S70" i="13" s="1"/>
  <c r="S72" i="13" s="1"/>
  <c r="S74" i="13" s="1"/>
  <c r="S76" i="13" s="1"/>
  <c r="S77" i="13" s="1"/>
  <c r="U137" i="13"/>
  <c r="AI137" i="13"/>
  <c r="I139" i="13"/>
  <c r="I140" i="13" s="1"/>
  <c r="I65" i="13" s="1"/>
  <c r="I66" i="13" s="1"/>
  <c r="I68" i="13" s="1"/>
  <c r="I70" i="13" s="1"/>
  <c r="I72" i="13" s="1"/>
  <c r="I74" i="13" s="1"/>
  <c r="I76" i="13" s="1"/>
  <c r="I77" i="13" s="1"/>
  <c r="AA139" i="13"/>
  <c r="AA140" i="13" s="1"/>
  <c r="AA65" i="13" s="1"/>
  <c r="AA66" i="13" s="1"/>
  <c r="AA68" i="13" s="1"/>
  <c r="AA70" i="13" s="1"/>
  <c r="AA72" i="13" s="1"/>
  <c r="AA74" i="13" s="1"/>
  <c r="AA76" i="13" s="1"/>
  <c r="AA77" i="13" s="1"/>
  <c r="C12" i="6"/>
  <c r="Q137" i="13" l="1"/>
  <c r="H137" i="13"/>
  <c r="T137" i="13"/>
  <c r="B13" i="11"/>
  <c r="B124" i="11" s="1"/>
  <c r="E125" i="11" s="1"/>
  <c r="E126" i="11" s="1"/>
  <c r="E127" i="11" s="1"/>
  <c r="F137" i="13"/>
  <c r="E137" i="13"/>
  <c r="X137" i="13"/>
  <c r="D139" i="13"/>
  <c r="D140" i="13" s="1"/>
  <c r="D65" i="13" s="1"/>
  <c r="D66" i="13" s="1"/>
  <c r="D68" i="13" s="1"/>
  <c r="D70" i="13" s="1"/>
  <c r="D72" i="13" s="1"/>
  <c r="D74" i="13" s="1"/>
  <c r="D76" i="13" s="1"/>
  <c r="D77" i="13" s="1"/>
  <c r="B13" i="17"/>
  <c r="B124" i="17" s="1"/>
  <c r="AA125" i="17" s="1"/>
  <c r="AA126" i="17" s="1"/>
  <c r="AA127" i="17" s="1"/>
  <c r="N125" i="11"/>
  <c r="N126" i="11" s="1"/>
  <c r="N127" i="11" s="1"/>
  <c r="H139" i="18"/>
  <c r="H140" i="18" s="1"/>
  <c r="H65" i="18" s="1"/>
  <c r="H66" i="18" s="1"/>
  <c r="H68" i="18" s="1"/>
  <c r="H70" i="18" s="1"/>
  <c r="H72" i="18" s="1"/>
  <c r="H74" i="18" s="1"/>
  <c r="H76" i="18" s="1"/>
  <c r="H77" i="18" s="1"/>
  <c r="H137" i="18"/>
  <c r="X139" i="18"/>
  <c r="X140" i="18" s="1"/>
  <c r="X65" i="18" s="1"/>
  <c r="X66" i="18" s="1"/>
  <c r="X68" i="18" s="1"/>
  <c r="X70" i="18" s="1"/>
  <c r="X72" i="18" s="1"/>
  <c r="X74" i="18" s="1"/>
  <c r="X76" i="18" s="1"/>
  <c r="X77" i="18" s="1"/>
  <c r="X137" i="18"/>
  <c r="E139" i="18"/>
  <c r="E140" i="18" s="1"/>
  <c r="E65" i="18" s="1"/>
  <c r="E66" i="18" s="1"/>
  <c r="E68" i="18" s="1"/>
  <c r="E70" i="18" s="1"/>
  <c r="E72" i="18" s="1"/>
  <c r="E74" i="18" s="1"/>
  <c r="E76" i="18" s="1"/>
  <c r="E77" i="18" s="1"/>
  <c r="E137" i="18"/>
  <c r="B14" i="16"/>
  <c r="B84" i="16" s="1"/>
  <c r="B99" i="16" s="1"/>
  <c r="B111" i="16" s="1"/>
  <c r="T139" i="18"/>
  <c r="T140" i="18" s="1"/>
  <c r="T65" i="18" s="1"/>
  <c r="T66" i="18" s="1"/>
  <c r="T68" i="18" s="1"/>
  <c r="T70" i="18" s="1"/>
  <c r="T72" i="18" s="1"/>
  <c r="T74" i="18" s="1"/>
  <c r="T76" i="18" s="1"/>
  <c r="T77" i="18" s="1"/>
  <c r="T137" i="18"/>
  <c r="AI139" i="18"/>
  <c r="AI140" i="18" s="1"/>
  <c r="AI65" i="18" s="1"/>
  <c r="AI66" i="18" s="1"/>
  <c r="AI68" i="18" s="1"/>
  <c r="AI70" i="18" s="1"/>
  <c r="AI72" i="18" s="1"/>
  <c r="AI74" i="18" s="1"/>
  <c r="AI76" i="18" s="1"/>
  <c r="AI77" i="18" s="1"/>
  <c r="AI137" i="18"/>
  <c r="Q137" i="18"/>
  <c r="Q139" i="18"/>
  <c r="Q140" i="18" s="1"/>
  <c r="Q65" i="18" s="1"/>
  <c r="Q66" i="18" s="1"/>
  <c r="Q68" i="18" s="1"/>
  <c r="Q70" i="18" s="1"/>
  <c r="Q72" i="18" s="1"/>
  <c r="Q74" i="18" s="1"/>
  <c r="Q76" i="18" s="1"/>
  <c r="Q77" i="18" s="1"/>
  <c r="U139" i="18"/>
  <c r="U140" i="18" s="1"/>
  <c r="U65" i="18" s="1"/>
  <c r="U66" i="18" s="1"/>
  <c r="U68" i="18" s="1"/>
  <c r="U70" i="18" s="1"/>
  <c r="U72" i="18" s="1"/>
  <c r="U74" i="18" s="1"/>
  <c r="U76" i="18" s="1"/>
  <c r="U77" i="18" s="1"/>
  <c r="U137" i="18"/>
  <c r="D139" i="18"/>
  <c r="D140" i="18" s="1"/>
  <c r="D65" i="18" s="1"/>
  <c r="D66" i="18" s="1"/>
  <c r="D68" i="18" s="1"/>
  <c r="D70" i="18" s="1"/>
  <c r="D72" i="18" s="1"/>
  <c r="D74" i="18" s="1"/>
  <c r="D76" i="18" s="1"/>
  <c r="D137" i="18"/>
  <c r="Z139" i="18"/>
  <c r="Z140" i="18" s="1"/>
  <c r="Z65" i="18" s="1"/>
  <c r="Z66" i="18" s="1"/>
  <c r="Z68" i="18" s="1"/>
  <c r="Z70" i="18" s="1"/>
  <c r="Z72" i="18" s="1"/>
  <c r="Z74" i="18" s="1"/>
  <c r="Z76" i="18" s="1"/>
  <c r="Z77" i="18" s="1"/>
  <c r="Z137" i="18"/>
  <c r="AG139" i="18"/>
  <c r="AG140" i="18" s="1"/>
  <c r="AG65" i="18" s="1"/>
  <c r="AG66" i="18" s="1"/>
  <c r="AG68" i="18" s="1"/>
  <c r="AG70" i="18" s="1"/>
  <c r="AG72" i="18" s="1"/>
  <c r="AG74" i="18" s="1"/>
  <c r="AG76" i="18" s="1"/>
  <c r="AG77" i="18" s="1"/>
  <c r="AG137" i="18"/>
  <c r="P139" i="18"/>
  <c r="P140" i="18" s="1"/>
  <c r="P65" i="18" s="1"/>
  <c r="P66" i="18" s="1"/>
  <c r="P68" i="18" s="1"/>
  <c r="P70" i="18" s="1"/>
  <c r="P72" i="18" s="1"/>
  <c r="P74" i="18" s="1"/>
  <c r="P76" i="18" s="1"/>
  <c r="P77" i="18" s="1"/>
  <c r="P137" i="18"/>
  <c r="F139" i="18"/>
  <c r="F140" i="18" s="1"/>
  <c r="F65" i="18" s="1"/>
  <c r="F66" i="18" s="1"/>
  <c r="F68" i="18" s="1"/>
  <c r="F70" i="18" s="1"/>
  <c r="F72" i="18" s="1"/>
  <c r="F74" i="18" s="1"/>
  <c r="F76" i="18" s="1"/>
  <c r="F77" i="18" s="1"/>
  <c r="F137" i="18"/>
  <c r="AH137" i="18"/>
  <c r="AH139" i="18"/>
  <c r="AH140" i="18" s="1"/>
  <c r="AH65" i="18" s="1"/>
  <c r="AH66" i="18" s="1"/>
  <c r="AH68" i="18" s="1"/>
  <c r="AH70" i="18" s="1"/>
  <c r="AH72" i="18" s="1"/>
  <c r="AH74" i="18" s="1"/>
  <c r="AH76" i="18" s="1"/>
  <c r="AH77" i="18" s="1"/>
  <c r="Y139" i="18"/>
  <c r="Y140" i="18" s="1"/>
  <c r="Y65" i="18" s="1"/>
  <c r="Y66" i="18" s="1"/>
  <c r="Y68" i="18" s="1"/>
  <c r="Y70" i="18" s="1"/>
  <c r="Y72" i="18" s="1"/>
  <c r="Y74" i="18" s="1"/>
  <c r="Y76" i="18" s="1"/>
  <c r="Y77" i="18" s="1"/>
  <c r="Y137" i="18"/>
  <c r="S139" i="18"/>
  <c r="S140" i="18" s="1"/>
  <c r="S65" i="18" s="1"/>
  <c r="S66" i="18" s="1"/>
  <c r="S68" i="18" s="1"/>
  <c r="S70" i="18" s="1"/>
  <c r="S72" i="18" s="1"/>
  <c r="S74" i="18" s="1"/>
  <c r="S76" i="18" s="1"/>
  <c r="S77" i="18" s="1"/>
  <c r="S137" i="18"/>
  <c r="I139" i="18"/>
  <c r="I140" i="18" s="1"/>
  <c r="I65" i="18" s="1"/>
  <c r="I66" i="18" s="1"/>
  <c r="I68" i="18" s="1"/>
  <c r="I70" i="18" s="1"/>
  <c r="I72" i="18" s="1"/>
  <c r="I74" i="18" s="1"/>
  <c r="I76" i="18" s="1"/>
  <c r="I77" i="18" s="1"/>
  <c r="I137" i="18"/>
  <c r="J139" i="18"/>
  <c r="J140" i="18" s="1"/>
  <c r="J65" i="18" s="1"/>
  <c r="J66" i="18" s="1"/>
  <c r="J68" i="18" s="1"/>
  <c r="J70" i="18" s="1"/>
  <c r="J72" i="18" s="1"/>
  <c r="J74" i="18" s="1"/>
  <c r="J76" i="18" s="1"/>
  <c r="J77" i="18" s="1"/>
  <c r="J137" i="18"/>
  <c r="AJ139" i="18"/>
  <c r="AJ140" i="18" s="1"/>
  <c r="AJ65" i="18" s="1"/>
  <c r="AJ66" i="18" s="1"/>
  <c r="AJ68" i="18" s="1"/>
  <c r="AJ70" i="18" s="1"/>
  <c r="AJ72" i="18" s="1"/>
  <c r="AJ74" i="18" s="1"/>
  <c r="AJ76" i="18" s="1"/>
  <c r="AJ77" i="18" s="1"/>
  <c r="AJ137" i="18"/>
  <c r="AA139" i="18"/>
  <c r="AA140" i="18" s="1"/>
  <c r="AA65" i="18" s="1"/>
  <c r="AA66" i="18" s="1"/>
  <c r="AA68" i="18" s="1"/>
  <c r="AA70" i="18" s="1"/>
  <c r="AA72" i="18" s="1"/>
  <c r="AA74" i="18" s="1"/>
  <c r="AA76" i="18" s="1"/>
  <c r="AA77" i="18" s="1"/>
  <c r="AA137" i="18"/>
  <c r="P125" i="11"/>
  <c r="P126" i="11" s="1"/>
  <c r="P127" i="11" s="1"/>
  <c r="H125" i="11"/>
  <c r="H126" i="11" s="1"/>
  <c r="H127" i="11" s="1"/>
  <c r="B14" i="7"/>
  <c r="B135" i="7" s="1"/>
  <c r="E136" i="7" s="1"/>
  <c r="E137" i="7" s="1"/>
  <c r="E138" i="7" s="1"/>
  <c r="K125" i="11"/>
  <c r="K126" i="11" s="1"/>
  <c r="K127" i="11" s="1"/>
  <c r="U125" i="17"/>
  <c r="U126" i="17" s="1"/>
  <c r="U127" i="17" s="1"/>
  <c r="T125" i="17"/>
  <c r="T126" i="17" s="1"/>
  <c r="T127" i="17" s="1"/>
  <c r="K125" i="17"/>
  <c r="K126" i="17" s="1"/>
  <c r="K127" i="17" s="1"/>
  <c r="G125" i="11"/>
  <c r="G126" i="11" s="1"/>
  <c r="G127" i="11" s="1"/>
  <c r="T125" i="11"/>
  <c r="T126" i="11" s="1"/>
  <c r="T127" i="11" s="1"/>
  <c r="Q125" i="11"/>
  <c r="Q126" i="11" s="1"/>
  <c r="Q127" i="11" s="1"/>
  <c r="Q130" i="11" s="1"/>
  <c r="Q131" i="11" s="1"/>
  <c r="I125" i="11"/>
  <c r="I126" i="11" s="1"/>
  <c r="I127" i="11" s="1"/>
  <c r="B14" i="9"/>
  <c r="B86" i="17"/>
  <c r="B95" i="15"/>
  <c r="B14" i="15"/>
  <c r="B135" i="15" s="1"/>
  <c r="C13" i="6"/>
  <c r="B105" i="11"/>
  <c r="B116" i="11" s="1"/>
  <c r="B106" i="11"/>
  <c r="B117" i="11" s="1"/>
  <c r="B100" i="11"/>
  <c r="B111" i="11" s="1"/>
  <c r="B104" i="11"/>
  <c r="B115" i="11" s="1"/>
  <c r="B102" i="11"/>
  <c r="B113" i="11" s="1"/>
  <c r="B99" i="11"/>
  <c r="B110" i="11" s="1"/>
  <c r="B101" i="11"/>
  <c r="B112" i="11" s="1"/>
  <c r="B103" i="11"/>
  <c r="B114" i="11" s="1"/>
  <c r="B94" i="7"/>
  <c r="R125" i="17" l="1"/>
  <c r="R126" i="17" s="1"/>
  <c r="R127" i="17" s="1"/>
  <c r="L125" i="17"/>
  <c r="L126" i="17" s="1"/>
  <c r="L127" i="17" s="1"/>
  <c r="AA125" i="11"/>
  <c r="AA126" i="11" s="1"/>
  <c r="AA127" i="11" s="1"/>
  <c r="O125" i="11"/>
  <c r="O126" i="11" s="1"/>
  <c r="O127" i="11" s="1"/>
  <c r="C125" i="11"/>
  <c r="C126" i="11" s="1"/>
  <c r="C127" i="11" s="1"/>
  <c r="L125" i="11"/>
  <c r="L126" i="11" s="1"/>
  <c r="L127" i="11" s="1"/>
  <c r="W125" i="11"/>
  <c r="W126" i="11" s="1"/>
  <c r="W127" i="11" s="1"/>
  <c r="U125" i="11"/>
  <c r="U126" i="11" s="1"/>
  <c r="U127" i="11" s="1"/>
  <c r="S125" i="11"/>
  <c r="S126" i="11" s="1"/>
  <c r="S127" i="11" s="1"/>
  <c r="S130" i="11" s="1"/>
  <c r="S131" i="11" s="1"/>
  <c r="M125" i="11"/>
  <c r="M126" i="11" s="1"/>
  <c r="M127" i="11" s="1"/>
  <c r="W125" i="17"/>
  <c r="W126" i="17" s="1"/>
  <c r="W127" i="17" s="1"/>
  <c r="X125" i="11"/>
  <c r="X126" i="11" s="1"/>
  <c r="X127" i="11" s="1"/>
  <c r="J125" i="11"/>
  <c r="J126" i="11" s="1"/>
  <c r="J127" i="11" s="1"/>
  <c r="Z125" i="11"/>
  <c r="Z126" i="11" s="1"/>
  <c r="Z127" i="11" s="1"/>
  <c r="Y125" i="11"/>
  <c r="Y126" i="11" s="1"/>
  <c r="Y127" i="11" s="1"/>
  <c r="P125" i="17"/>
  <c r="P126" i="17" s="1"/>
  <c r="P127" i="17" s="1"/>
  <c r="D125" i="11"/>
  <c r="D126" i="11" s="1"/>
  <c r="D127" i="11" s="1"/>
  <c r="R125" i="11"/>
  <c r="R126" i="11" s="1"/>
  <c r="R127" i="11" s="1"/>
  <c r="R130" i="11" s="1"/>
  <c r="R131" i="11" s="1"/>
  <c r="G125" i="17"/>
  <c r="G126" i="17" s="1"/>
  <c r="G127" i="17" s="1"/>
  <c r="X125" i="17"/>
  <c r="X126" i="17" s="1"/>
  <c r="X127" i="17" s="1"/>
  <c r="J125" i="17"/>
  <c r="J126" i="17" s="1"/>
  <c r="J127" i="17" s="1"/>
  <c r="H125" i="17"/>
  <c r="H126" i="17" s="1"/>
  <c r="H127" i="17" s="1"/>
  <c r="Q125" i="17"/>
  <c r="Q126" i="17" s="1"/>
  <c r="Q127" i="17" s="1"/>
  <c r="Q130" i="17" s="1"/>
  <c r="Q131" i="17" s="1"/>
  <c r="O125" i="17"/>
  <c r="O126" i="17" s="1"/>
  <c r="O127" i="17" s="1"/>
  <c r="V125" i="11"/>
  <c r="V126" i="11" s="1"/>
  <c r="V127" i="11" s="1"/>
  <c r="C79" i="13"/>
  <c r="C80" i="13" s="1"/>
  <c r="C125" i="17"/>
  <c r="C126" i="17" s="1"/>
  <c r="C127" i="17" s="1"/>
  <c r="D125" i="17"/>
  <c r="D126" i="17" s="1"/>
  <c r="D127" i="17" s="1"/>
  <c r="I125" i="17"/>
  <c r="I126" i="17" s="1"/>
  <c r="I127" i="17" s="1"/>
  <c r="S125" i="17"/>
  <c r="S126" i="17" s="1"/>
  <c r="S127" i="17" s="1"/>
  <c r="S130" i="17" s="1"/>
  <c r="S131" i="17" s="1"/>
  <c r="M125" i="17"/>
  <c r="M126" i="17" s="1"/>
  <c r="M127" i="17" s="1"/>
  <c r="N125" i="17"/>
  <c r="N126" i="17" s="1"/>
  <c r="N127" i="17" s="1"/>
  <c r="Y125" i="17"/>
  <c r="Y126" i="17" s="1"/>
  <c r="Y127" i="17" s="1"/>
  <c r="V125" i="17"/>
  <c r="V126" i="17" s="1"/>
  <c r="V127" i="17" s="1"/>
  <c r="E125" i="17"/>
  <c r="E126" i="17" s="1"/>
  <c r="E127" i="17" s="1"/>
  <c r="Z125" i="17"/>
  <c r="Z126" i="17" s="1"/>
  <c r="Z127" i="17" s="1"/>
  <c r="B129" i="16"/>
  <c r="O130" i="16" s="1"/>
  <c r="O131" i="16" s="1"/>
  <c r="O132" i="16" s="1"/>
  <c r="G136" i="7"/>
  <c r="G137" i="7" s="1"/>
  <c r="G138" i="7" s="1"/>
  <c r="C136" i="7"/>
  <c r="C137" i="7" s="1"/>
  <c r="C138" i="7" s="1"/>
  <c r="H136" i="7"/>
  <c r="H137" i="7" s="1"/>
  <c r="H138" i="7" s="1"/>
  <c r="Q128" i="11"/>
  <c r="J136" i="7"/>
  <c r="J137" i="7" s="1"/>
  <c r="J138" i="7" s="1"/>
  <c r="C79" i="18"/>
  <c r="D77" i="18"/>
  <c r="D136" i="7"/>
  <c r="D137" i="7" s="1"/>
  <c r="D138" i="7" s="1"/>
  <c r="I136" i="7"/>
  <c r="I137" i="7" s="1"/>
  <c r="I138" i="7" s="1"/>
  <c r="B100" i="16"/>
  <c r="B112" i="16" s="1"/>
  <c r="B105" i="17"/>
  <c r="B116" i="17" s="1"/>
  <c r="B106" i="17"/>
  <c r="B117" i="17" s="1"/>
  <c r="B100" i="17"/>
  <c r="B111" i="17" s="1"/>
  <c r="B101" i="17"/>
  <c r="B112" i="17" s="1"/>
  <c r="B102" i="17"/>
  <c r="B113" i="17" s="1"/>
  <c r="B103" i="17"/>
  <c r="B114" i="17" s="1"/>
  <c r="B104" i="17"/>
  <c r="B115" i="17" s="1"/>
  <c r="B99" i="17"/>
  <c r="B110" i="17" s="1"/>
  <c r="S128" i="11"/>
  <c r="B98" i="17"/>
  <c r="B109" i="17" s="1"/>
  <c r="R130" i="17"/>
  <c r="R131" i="17" s="1"/>
  <c r="R128" i="17"/>
  <c r="B103" i="16"/>
  <c r="B115" i="16" s="1"/>
  <c r="B129" i="9"/>
  <c r="B84" i="9"/>
  <c r="B105" i="16"/>
  <c r="B117" i="16" s="1"/>
  <c r="B107" i="16"/>
  <c r="B119" i="16" s="1"/>
  <c r="B106" i="16"/>
  <c r="B118" i="16" s="1"/>
  <c r="B102" i="16"/>
  <c r="B114" i="16" s="1"/>
  <c r="B104" i="16"/>
  <c r="B116" i="16" s="1"/>
  <c r="B101" i="16"/>
  <c r="B113" i="16" s="1"/>
  <c r="E130" i="16"/>
  <c r="E131" i="16" s="1"/>
  <c r="E132" i="16" s="1"/>
  <c r="B94" i="15"/>
  <c r="I136" i="15"/>
  <c r="I137" i="15" s="1"/>
  <c r="I138" i="15" s="1"/>
  <c r="H136" i="15"/>
  <c r="H137" i="15" s="1"/>
  <c r="H138" i="15" s="1"/>
  <c r="G136" i="15"/>
  <c r="G137" i="15" s="1"/>
  <c r="G138" i="15" s="1"/>
  <c r="E136" i="15"/>
  <c r="E137" i="15" s="1"/>
  <c r="E138" i="15" s="1"/>
  <c r="D136" i="15"/>
  <c r="D137" i="15" s="1"/>
  <c r="D138" i="15" s="1"/>
  <c r="J136" i="15"/>
  <c r="J137" i="15" s="1"/>
  <c r="J138" i="15" s="1"/>
  <c r="C136" i="15"/>
  <c r="C137" i="15" s="1"/>
  <c r="C138" i="15" s="1"/>
  <c r="B118" i="11"/>
  <c r="N119" i="11" s="1"/>
  <c r="N122" i="11" s="1"/>
  <c r="N54" i="11" s="1"/>
  <c r="N55" i="11" s="1"/>
  <c r="N57" i="11" s="1"/>
  <c r="N59" i="11" s="1"/>
  <c r="N61" i="11" s="1"/>
  <c r="N63" i="11" s="1"/>
  <c r="N65" i="11" s="1"/>
  <c r="N67" i="11" s="1"/>
  <c r="N69" i="11" s="1"/>
  <c r="B108" i="7"/>
  <c r="B119" i="7" s="1"/>
  <c r="B110" i="7"/>
  <c r="B121" i="7" s="1"/>
  <c r="B109" i="7"/>
  <c r="B120" i="7" s="1"/>
  <c r="B107" i="7"/>
  <c r="B118" i="7" s="1"/>
  <c r="B115" i="7"/>
  <c r="B126" i="7" s="1"/>
  <c r="B113" i="7"/>
  <c r="B124" i="7" s="1"/>
  <c r="B112" i="7"/>
  <c r="B123" i="7" s="1"/>
  <c r="B111" i="7"/>
  <c r="B122" i="7" s="1"/>
  <c r="B114" i="7"/>
  <c r="B125" i="7" s="1"/>
  <c r="R128" i="11" l="1"/>
  <c r="Q128" i="17"/>
  <c r="S128" i="17"/>
  <c r="C81" i="13"/>
  <c r="C82" i="13" s="1"/>
  <c r="F21" i="6" s="1"/>
  <c r="Q130" i="16"/>
  <c r="Q131" i="16" s="1"/>
  <c r="Q132" i="16" s="1"/>
  <c r="N130" i="16"/>
  <c r="N131" i="16" s="1"/>
  <c r="N132" i="16" s="1"/>
  <c r="P130" i="16"/>
  <c r="P131" i="16" s="1"/>
  <c r="P132" i="16" s="1"/>
  <c r="I130" i="16"/>
  <c r="I131" i="16" s="1"/>
  <c r="I132" i="16" s="1"/>
  <c r="C130" i="16"/>
  <c r="C131" i="16" s="1"/>
  <c r="C132" i="16" s="1"/>
  <c r="H130" i="16"/>
  <c r="H131" i="16" s="1"/>
  <c r="H132" i="16" s="1"/>
  <c r="D130" i="16"/>
  <c r="D131" i="16" s="1"/>
  <c r="D132" i="16" s="1"/>
  <c r="L130" i="16"/>
  <c r="L131" i="16" s="1"/>
  <c r="L132" i="16" s="1"/>
  <c r="C81" i="18"/>
  <c r="C80" i="18"/>
  <c r="O130" i="9"/>
  <c r="O131" i="9" s="1"/>
  <c r="O132" i="9" s="1"/>
  <c r="C130" i="9"/>
  <c r="C131" i="9" s="1"/>
  <c r="C132" i="9" s="1"/>
  <c r="I130" i="9"/>
  <c r="I131" i="9" s="1"/>
  <c r="I132" i="9" s="1"/>
  <c r="Q130" i="9"/>
  <c r="Q131" i="9" s="1"/>
  <c r="Q132" i="9" s="1"/>
  <c r="H130" i="9"/>
  <c r="H131" i="9" s="1"/>
  <c r="H132" i="9" s="1"/>
  <c r="P130" i="9"/>
  <c r="P131" i="9" s="1"/>
  <c r="P132" i="9" s="1"/>
  <c r="L130" i="9"/>
  <c r="L131" i="9" s="1"/>
  <c r="L132" i="9" s="1"/>
  <c r="D130" i="9"/>
  <c r="D131" i="9" s="1"/>
  <c r="D132" i="9" s="1"/>
  <c r="E130" i="9"/>
  <c r="E131" i="9" s="1"/>
  <c r="E132" i="9" s="1"/>
  <c r="N130" i="9"/>
  <c r="N131" i="9" s="1"/>
  <c r="N132" i="9" s="1"/>
  <c r="B118" i="17"/>
  <c r="B102" i="9"/>
  <c r="B114" i="9" s="1"/>
  <c r="B100" i="9"/>
  <c r="B112" i="9" s="1"/>
  <c r="B106" i="9"/>
  <c r="B118" i="9" s="1"/>
  <c r="B103" i="9"/>
  <c r="B115" i="9" s="1"/>
  <c r="B99" i="9"/>
  <c r="B111" i="9" s="1"/>
  <c r="B104" i="9"/>
  <c r="B116" i="9" s="1"/>
  <c r="B105" i="9"/>
  <c r="B117" i="9" s="1"/>
  <c r="B101" i="9"/>
  <c r="B113" i="9" s="1"/>
  <c r="B107" i="9"/>
  <c r="B119" i="9" s="1"/>
  <c r="B121" i="16"/>
  <c r="Q122" i="16" s="1"/>
  <c r="Q125" i="16" s="1"/>
  <c r="Q53" i="16" s="1"/>
  <c r="Q54" i="16" s="1"/>
  <c r="Q56" i="16" s="1"/>
  <c r="Q58" i="16" s="1"/>
  <c r="Q60" i="16" s="1"/>
  <c r="Q62" i="16" s="1"/>
  <c r="Q64" i="16" s="1"/>
  <c r="Q133" i="16" s="1"/>
  <c r="B108" i="15"/>
  <c r="B119" i="15" s="1"/>
  <c r="B114" i="15"/>
  <c r="B125" i="15" s="1"/>
  <c r="B112" i="15"/>
  <c r="B123" i="15" s="1"/>
  <c r="B109" i="15"/>
  <c r="B120" i="15" s="1"/>
  <c r="B115" i="15"/>
  <c r="B126" i="15" s="1"/>
  <c r="B110" i="15"/>
  <c r="B121" i="15" s="1"/>
  <c r="B111" i="15"/>
  <c r="B122" i="15" s="1"/>
  <c r="B113" i="15"/>
  <c r="B124" i="15" s="1"/>
  <c r="B107" i="15"/>
  <c r="B118" i="15" s="1"/>
  <c r="R119" i="11"/>
  <c r="R122" i="11" s="1"/>
  <c r="J119" i="11"/>
  <c r="J122" i="11" s="1"/>
  <c r="J54" i="11" s="1"/>
  <c r="J55" i="11" s="1"/>
  <c r="J57" i="11" s="1"/>
  <c r="J59" i="11" s="1"/>
  <c r="J61" i="11" s="1"/>
  <c r="J63" i="11" s="1"/>
  <c r="J65" i="11" s="1"/>
  <c r="J67" i="11" s="1"/>
  <c r="J69" i="11" s="1"/>
  <c r="J71" i="11" s="1"/>
  <c r="J73" i="11" s="1"/>
  <c r="J75" i="11" s="1"/>
  <c r="J76" i="11" s="1"/>
  <c r="X119" i="11"/>
  <c r="X122" i="11" s="1"/>
  <c r="X54" i="11" s="1"/>
  <c r="X55" i="11" s="1"/>
  <c r="X57" i="11" s="1"/>
  <c r="X59" i="11" s="1"/>
  <c r="X61" i="11" s="1"/>
  <c r="X63" i="11" s="1"/>
  <c r="X65" i="11" s="1"/>
  <c r="X67" i="11" s="1"/>
  <c r="X69" i="11" s="1"/>
  <c r="X130" i="11" s="1"/>
  <c r="X131" i="11" s="1"/>
  <c r="X70" i="11" s="1"/>
  <c r="X71" i="11" s="1"/>
  <c r="X73" i="11" s="1"/>
  <c r="X75" i="11" s="1"/>
  <c r="X76" i="11" s="1"/>
  <c r="U119" i="11"/>
  <c r="U122" i="11" s="1"/>
  <c r="U54" i="11" s="1"/>
  <c r="U55" i="11" s="1"/>
  <c r="U57" i="11" s="1"/>
  <c r="U59" i="11" s="1"/>
  <c r="U61" i="11" s="1"/>
  <c r="U63" i="11" s="1"/>
  <c r="U65" i="11" s="1"/>
  <c r="U67" i="11" s="1"/>
  <c r="U69" i="11" s="1"/>
  <c r="U130" i="11" s="1"/>
  <c r="U131" i="11" s="1"/>
  <c r="U70" i="11" s="1"/>
  <c r="U71" i="11" s="1"/>
  <c r="U73" i="11" s="1"/>
  <c r="U75" i="11" s="1"/>
  <c r="U76" i="11" s="1"/>
  <c r="AA119" i="11"/>
  <c r="AA122" i="11" s="1"/>
  <c r="AA54" i="11" s="1"/>
  <c r="AA55" i="11" s="1"/>
  <c r="AA57" i="11" s="1"/>
  <c r="AA59" i="11" s="1"/>
  <c r="AA61" i="11" s="1"/>
  <c r="AA63" i="11" s="1"/>
  <c r="AA65" i="11" s="1"/>
  <c r="AA67" i="11" s="1"/>
  <c r="AA69" i="11" s="1"/>
  <c r="AA130" i="11" s="1"/>
  <c r="AA131" i="11" s="1"/>
  <c r="AA70" i="11" s="1"/>
  <c r="AA71" i="11" s="1"/>
  <c r="AA73" i="11" s="1"/>
  <c r="AA75" i="11" s="1"/>
  <c r="AA76" i="11" s="1"/>
  <c r="S119" i="11"/>
  <c r="S122" i="11" s="1"/>
  <c r="I119" i="11"/>
  <c r="I122" i="11" s="1"/>
  <c r="I54" i="11" s="1"/>
  <c r="I55" i="11" s="1"/>
  <c r="I57" i="11" s="1"/>
  <c r="I59" i="11" s="1"/>
  <c r="I61" i="11" s="1"/>
  <c r="I63" i="11" s="1"/>
  <c r="I65" i="11" s="1"/>
  <c r="I67" i="11" s="1"/>
  <c r="I69" i="11" s="1"/>
  <c r="I130" i="11" s="1"/>
  <c r="I131" i="11" s="1"/>
  <c r="I70" i="11" s="1"/>
  <c r="I71" i="11" s="1"/>
  <c r="I73" i="11" s="1"/>
  <c r="I75" i="11" s="1"/>
  <c r="I76" i="11" s="1"/>
  <c r="C119" i="11"/>
  <c r="C122" i="11" s="1"/>
  <c r="C54" i="11" s="1"/>
  <c r="C55" i="11" s="1"/>
  <c r="C57" i="11" s="1"/>
  <c r="C59" i="11" s="1"/>
  <c r="C61" i="11" s="1"/>
  <c r="C63" i="11" s="1"/>
  <c r="C65" i="11" s="1"/>
  <c r="C67" i="11" s="1"/>
  <c r="C69" i="11" s="1"/>
  <c r="C130" i="11" s="1"/>
  <c r="C131" i="11" s="1"/>
  <c r="C70" i="11" s="1"/>
  <c r="C71" i="11" s="1"/>
  <c r="C73" i="11" s="1"/>
  <c r="C75" i="11" s="1"/>
  <c r="H119" i="11"/>
  <c r="H122" i="11" s="1"/>
  <c r="H54" i="11" s="1"/>
  <c r="H55" i="11" s="1"/>
  <c r="H57" i="11" s="1"/>
  <c r="H59" i="11" s="1"/>
  <c r="H61" i="11" s="1"/>
  <c r="H63" i="11" s="1"/>
  <c r="H65" i="11" s="1"/>
  <c r="H67" i="11" s="1"/>
  <c r="H69" i="11" s="1"/>
  <c r="H130" i="11" s="1"/>
  <c r="H131" i="11" s="1"/>
  <c r="H70" i="11" s="1"/>
  <c r="H71" i="11" s="1"/>
  <c r="H73" i="11" s="1"/>
  <c r="H75" i="11" s="1"/>
  <c r="H76" i="11" s="1"/>
  <c r="Z119" i="11"/>
  <c r="Z122" i="11" s="1"/>
  <c r="Z54" i="11" s="1"/>
  <c r="Z55" i="11" s="1"/>
  <c r="Z57" i="11" s="1"/>
  <c r="Z59" i="11" s="1"/>
  <c r="Z61" i="11" s="1"/>
  <c r="Z63" i="11" s="1"/>
  <c r="Z65" i="11" s="1"/>
  <c r="Z67" i="11" s="1"/>
  <c r="Z69" i="11" s="1"/>
  <c r="Z130" i="11" s="1"/>
  <c r="Z131" i="11" s="1"/>
  <c r="Z70" i="11" s="1"/>
  <c r="Z71" i="11" s="1"/>
  <c r="Z73" i="11" s="1"/>
  <c r="Z75" i="11" s="1"/>
  <c r="Z76" i="11" s="1"/>
  <c r="V119" i="11"/>
  <c r="V122" i="11" s="1"/>
  <c r="V54" i="11" s="1"/>
  <c r="V55" i="11" s="1"/>
  <c r="V57" i="11" s="1"/>
  <c r="V59" i="11" s="1"/>
  <c r="V61" i="11" s="1"/>
  <c r="V63" i="11" s="1"/>
  <c r="V65" i="11" s="1"/>
  <c r="V67" i="11" s="1"/>
  <c r="V69" i="11" s="1"/>
  <c r="V128" i="11" s="1"/>
  <c r="O119" i="11"/>
  <c r="O122" i="11" s="1"/>
  <c r="O54" i="11" s="1"/>
  <c r="O55" i="11" s="1"/>
  <c r="O57" i="11" s="1"/>
  <c r="O59" i="11" s="1"/>
  <c r="O61" i="11" s="1"/>
  <c r="O63" i="11" s="1"/>
  <c r="O65" i="11" s="1"/>
  <c r="O67" i="11" s="1"/>
  <c r="O69" i="11" s="1"/>
  <c r="O130" i="11" s="1"/>
  <c r="O131" i="11" s="1"/>
  <c r="O70" i="11" s="1"/>
  <c r="O71" i="11" s="1"/>
  <c r="O73" i="11" s="1"/>
  <c r="O75" i="11" s="1"/>
  <c r="O76" i="11" s="1"/>
  <c r="G119" i="11"/>
  <c r="G122" i="11" s="1"/>
  <c r="G54" i="11" s="1"/>
  <c r="G55" i="11" s="1"/>
  <c r="G57" i="11" s="1"/>
  <c r="G59" i="11" s="1"/>
  <c r="G61" i="11" s="1"/>
  <c r="G63" i="11" s="1"/>
  <c r="G65" i="11" s="1"/>
  <c r="G67" i="11" s="1"/>
  <c r="G69" i="11" s="1"/>
  <c r="G130" i="11" s="1"/>
  <c r="G131" i="11" s="1"/>
  <c r="G70" i="11" s="1"/>
  <c r="G71" i="11" s="1"/>
  <c r="G73" i="11" s="1"/>
  <c r="G75" i="11" s="1"/>
  <c r="G76" i="11" s="1"/>
  <c r="K119" i="11"/>
  <c r="K122" i="11" s="1"/>
  <c r="K54" i="11" s="1"/>
  <c r="K55" i="11" s="1"/>
  <c r="K57" i="11" s="1"/>
  <c r="K59" i="11" s="1"/>
  <c r="K61" i="11" s="1"/>
  <c r="K63" i="11" s="1"/>
  <c r="K65" i="11" s="1"/>
  <c r="K67" i="11" s="1"/>
  <c r="K69" i="11" s="1"/>
  <c r="K128" i="11" s="1"/>
  <c r="D119" i="11"/>
  <c r="D122" i="11" s="1"/>
  <c r="D54" i="11" s="1"/>
  <c r="D55" i="11" s="1"/>
  <c r="D57" i="11" s="1"/>
  <c r="D59" i="11" s="1"/>
  <c r="D61" i="11" s="1"/>
  <c r="D63" i="11" s="1"/>
  <c r="D65" i="11" s="1"/>
  <c r="D67" i="11" s="1"/>
  <c r="D69" i="11" s="1"/>
  <c r="D130" i="11" s="1"/>
  <c r="D131" i="11" s="1"/>
  <c r="D70" i="11" s="1"/>
  <c r="D71" i="11" s="1"/>
  <c r="D73" i="11" s="1"/>
  <c r="D75" i="11" s="1"/>
  <c r="D76" i="11" s="1"/>
  <c r="E119" i="11"/>
  <c r="E122" i="11" s="1"/>
  <c r="E54" i="11" s="1"/>
  <c r="E55" i="11" s="1"/>
  <c r="E57" i="11" s="1"/>
  <c r="E59" i="11" s="1"/>
  <c r="E61" i="11" s="1"/>
  <c r="E63" i="11" s="1"/>
  <c r="E65" i="11" s="1"/>
  <c r="E67" i="11" s="1"/>
  <c r="E69" i="11" s="1"/>
  <c r="E130" i="11" s="1"/>
  <c r="E131" i="11" s="1"/>
  <c r="E70" i="11" s="1"/>
  <c r="E71" i="11" s="1"/>
  <c r="E73" i="11" s="1"/>
  <c r="E75" i="11" s="1"/>
  <c r="E76" i="11" s="1"/>
  <c r="T119" i="11"/>
  <c r="T122" i="11" s="1"/>
  <c r="T54" i="11" s="1"/>
  <c r="T55" i="11" s="1"/>
  <c r="T57" i="11" s="1"/>
  <c r="T59" i="11" s="1"/>
  <c r="T61" i="11" s="1"/>
  <c r="T63" i="11" s="1"/>
  <c r="T65" i="11" s="1"/>
  <c r="T67" i="11" s="1"/>
  <c r="T69" i="11" s="1"/>
  <c r="T130" i="11" s="1"/>
  <c r="T131" i="11" s="1"/>
  <c r="T70" i="11" s="1"/>
  <c r="T71" i="11" s="1"/>
  <c r="T73" i="11" s="1"/>
  <c r="T75" i="11" s="1"/>
  <c r="T76" i="11" s="1"/>
  <c r="W119" i="11"/>
  <c r="W122" i="11" s="1"/>
  <c r="W54" i="11" s="1"/>
  <c r="W55" i="11" s="1"/>
  <c r="W57" i="11" s="1"/>
  <c r="W59" i="11" s="1"/>
  <c r="W61" i="11" s="1"/>
  <c r="W63" i="11" s="1"/>
  <c r="W65" i="11" s="1"/>
  <c r="W67" i="11" s="1"/>
  <c r="W69" i="11" s="1"/>
  <c r="W128" i="11" s="1"/>
  <c r="P119" i="11"/>
  <c r="P122" i="11" s="1"/>
  <c r="P54" i="11" s="1"/>
  <c r="P55" i="11" s="1"/>
  <c r="P57" i="11" s="1"/>
  <c r="P59" i="11" s="1"/>
  <c r="P61" i="11" s="1"/>
  <c r="P63" i="11" s="1"/>
  <c r="P65" i="11" s="1"/>
  <c r="P67" i="11" s="1"/>
  <c r="P69" i="11" s="1"/>
  <c r="P128" i="11" s="1"/>
  <c r="Q119" i="11"/>
  <c r="Q122" i="11" s="1"/>
  <c r="Y119" i="11"/>
  <c r="Y122" i="11" s="1"/>
  <c r="Y54" i="11" s="1"/>
  <c r="Y55" i="11" s="1"/>
  <c r="Y57" i="11" s="1"/>
  <c r="Y59" i="11" s="1"/>
  <c r="Y61" i="11" s="1"/>
  <c r="Y63" i="11" s="1"/>
  <c r="Y65" i="11" s="1"/>
  <c r="Y67" i="11" s="1"/>
  <c r="Y69" i="11" s="1"/>
  <c r="Y128" i="11" s="1"/>
  <c r="M119" i="11"/>
  <c r="M122" i="11" s="1"/>
  <c r="M54" i="11" s="1"/>
  <c r="M55" i="11" s="1"/>
  <c r="M57" i="11" s="1"/>
  <c r="M59" i="11" s="1"/>
  <c r="M61" i="11" s="1"/>
  <c r="M63" i="11" s="1"/>
  <c r="M65" i="11" s="1"/>
  <c r="M67" i="11" s="1"/>
  <c r="M69" i="11" s="1"/>
  <c r="M128" i="11" s="1"/>
  <c r="L119" i="11"/>
  <c r="L122" i="11" s="1"/>
  <c r="L54" i="11" s="1"/>
  <c r="L55" i="11" s="1"/>
  <c r="L57" i="11" s="1"/>
  <c r="L59" i="11" s="1"/>
  <c r="L61" i="11" s="1"/>
  <c r="L63" i="11" s="1"/>
  <c r="L65" i="11" s="1"/>
  <c r="L67" i="11" s="1"/>
  <c r="L69" i="11" s="1"/>
  <c r="L128" i="11" s="1"/>
  <c r="N128" i="11"/>
  <c r="N130" i="11"/>
  <c r="N131" i="11" s="1"/>
  <c r="N70" i="11" s="1"/>
  <c r="N71" i="11" s="1"/>
  <c r="N73" i="11" s="1"/>
  <c r="N75" i="11" s="1"/>
  <c r="N76" i="11" s="1"/>
  <c r="B127" i="7"/>
  <c r="I128" i="7" s="1"/>
  <c r="I131" i="7" s="1"/>
  <c r="I54" i="7" s="1"/>
  <c r="I55" i="7" s="1"/>
  <c r="I57" i="7" s="1"/>
  <c r="I59" i="7" s="1"/>
  <c r="I61" i="7" s="1"/>
  <c r="I63" i="7" s="1"/>
  <c r="I65" i="7" s="1"/>
  <c r="I67" i="7" s="1"/>
  <c r="I69" i="7" s="1"/>
  <c r="L122" i="16" l="1"/>
  <c r="L125" i="16" s="1"/>
  <c r="L53" i="16" s="1"/>
  <c r="L54" i="16" s="1"/>
  <c r="L56" i="16" s="1"/>
  <c r="L58" i="16" s="1"/>
  <c r="L60" i="16" s="1"/>
  <c r="L62" i="16" s="1"/>
  <c r="L64" i="16" s="1"/>
  <c r="L133" i="16" s="1"/>
  <c r="F20" i="6"/>
  <c r="J128" i="11"/>
  <c r="C82" i="18"/>
  <c r="F24" i="6" s="1"/>
  <c r="F23" i="6"/>
  <c r="H122" i="16"/>
  <c r="H125" i="16" s="1"/>
  <c r="H53" i="16" s="1"/>
  <c r="H54" i="16" s="1"/>
  <c r="H56" i="16" s="1"/>
  <c r="H58" i="16" s="1"/>
  <c r="H60" i="16" s="1"/>
  <c r="H62" i="16" s="1"/>
  <c r="H64" i="16" s="1"/>
  <c r="H133" i="16" s="1"/>
  <c r="D122" i="16"/>
  <c r="D125" i="16" s="1"/>
  <c r="D53" i="16" s="1"/>
  <c r="D54" i="16" s="1"/>
  <c r="D56" i="16" s="1"/>
  <c r="D58" i="16" s="1"/>
  <c r="D60" i="16" s="1"/>
  <c r="D62" i="16" s="1"/>
  <c r="D64" i="16" s="1"/>
  <c r="D135" i="16" s="1"/>
  <c r="D136" i="16" s="1"/>
  <c r="D65" i="16" s="1"/>
  <c r="D66" i="16" s="1"/>
  <c r="D68" i="16" s="1"/>
  <c r="D70" i="16" s="1"/>
  <c r="D72" i="16" s="1"/>
  <c r="D73" i="16" s="1"/>
  <c r="U128" i="11"/>
  <c r="I122" i="16"/>
  <c r="I125" i="16" s="1"/>
  <c r="I53" i="16" s="1"/>
  <c r="I54" i="16" s="1"/>
  <c r="I56" i="16" s="1"/>
  <c r="I58" i="16" s="1"/>
  <c r="I60" i="16" s="1"/>
  <c r="I62" i="16" s="1"/>
  <c r="I64" i="16" s="1"/>
  <c r="I133" i="16" s="1"/>
  <c r="O122" i="16"/>
  <c r="O125" i="16" s="1"/>
  <c r="O53" i="16" s="1"/>
  <c r="O54" i="16" s="1"/>
  <c r="O56" i="16" s="1"/>
  <c r="O58" i="16" s="1"/>
  <c r="O60" i="16" s="1"/>
  <c r="O62" i="16" s="1"/>
  <c r="O64" i="16" s="1"/>
  <c r="O135" i="16" s="1"/>
  <c r="O136" i="16" s="1"/>
  <c r="O65" i="16" s="1"/>
  <c r="O66" i="16" s="1"/>
  <c r="O68" i="16" s="1"/>
  <c r="O70" i="16" s="1"/>
  <c r="O72" i="16" s="1"/>
  <c r="O73" i="16" s="1"/>
  <c r="P122" i="16"/>
  <c r="P125" i="16" s="1"/>
  <c r="P53" i="16" s="1"/>
  <c r="P54" i="16" s="1"/>
  <c r="P56" i="16" s="1"/>
  <c r="P58" i="16" s="1"/>
  <c r="P60" i="16" s="1"/>
  <c r="P62" i="16" s="1"/>
  <c r="P64" i="16" s="1"/>
  <c r="C122" i="16"/>
  <c r="C125" i="16" s="1"/>
  <c r="C53" i="16" s="1"/>
  <c r="C54" i="16" s="1"/>
  <c r="C56" i="16" s="1"/>
  <c r="C58" i="16" s="1"/>
  <c r="C60" i="16" s="1"/>
  <c r="C62" i="16" s="1"/>
  <c r="C64" i="16" s="1"/>
  <c r="W119" i="17"/>
  <c r="W122" i="17" s="1"/>
  <c r="W54" i="17" s="1"/>
  <c r="W55" i="17" s="1"/>
  <c r="W57" i="17" s="1"/>
  <c r="W59" i="17" s="1"/>
  <c r="W61" i="17" s="1"/>
  <c r="W63" i="17" s="1"/>
  <c r="W65" i="17" s="1"/>
  <c r="W67" i="17" s="1"/>
  <c r="W69" i="17" s="1"/>
  <c r="Q119" i="17"/>
  <c r="Q122" i="17" s="1"/>
  <c r="K119" i="17"/>
  <c r="K122" i="17" s="1"/>
  <c r="K54" i="17" s="1"/>
  <c r="K55" i="17" s="1"/>
  <c r="K57" i="17" s="1"/>
  <c r="K59" i="17" s="1"/>
  <c r="K61" i="17" s="1"/>
  <c r="K63" i="17" s="1"/>
  <c r="K65" i="17" s="1"/>
  <c r="K67" i="17" s="1"/>
  <c r="K69" i="17" s="1"/>
  <c r="D119" i="17"/>
  <c r="D122" i="17" s="1"/>
  <c r="D54" i="17" s="1"/>
  <c r="D55" i="17" s="1"/>
  <c r="D57" i="17" s="1"/>
  <c r="D59" i="17" s="1"/>
  <c r="D61" i="17" s="1"/>
  <c r="D63" i="17" s="1"/>
  <c r="D65" i="17" s="1"/>
  <c r="D67" i="17" s="1"/>
  <c r="D69" i="17" s="1"/>
  <c r="V119" i="17"/>
  <c r="V122" i="17" s="1"/>
  <c r="V54" i="17" s="1"/>
  <c r="V55" i="17" s="1"/>
  <c r="V57" i="17" s="1"/>
  <c r="V59" i="17" s="1"/>
  <c r="V61" i="17" s="1"/>
  <c r="V63" i="17" s="1"/>
  <c r="V65" i="17" s="1"/>
  <c r="V67" i="17" s="1"/>
  <c r="V69" i="17" s="1"/>
  <c r="P119" i="17"/>
  <c r="P122" i="17" s="1"/>
  <c r="P54" i="17" s="1"/>
  <c r="P55" i="17" s="1"/>
  <c r="P57" i="17" s="1"/>
  <c r="P59" i="17" s="1"/>
  <c r="P61" i="17" s="1"/>
  <c r="P63" i="17" s="1"/>
  <c r="P65" i="17" s="1"/>
  <c r="P67" i="17" s="1"/>
  <c r="P69" i="17" s="1"/>
  <c r="J119" i="17"/>
  <c r="J122" i="17" s="1"/>
  <c r="J54" i="17" s="1"/>
  <c r="J55" i="17" s="1"/>
  <c r="J57" i="17" s="1"/>
  <c r="J59" i="17" s="1"/>
  <c r="J61" i="17" s="1"/>
  <c r="J63" i="17" s="1"/>
  <c r="J65" i="17" s="1"/>
  <c r="J67" i="17" s="1"/>
  <c r="J69" i="17" s="1"/>
  <c r="C119" i="17"/>
  <c r="C122" i="17" s="1"/>
  <c r="C54" i="17" s="1"/>
  <c r="C55" i="17" s="1"/>
  <c r="C57" i="17" s="1"/>
  <c r="C59" i="17" s="1"/>
  <c r="C61" i="17" s="1"/>
  <c r="C63" i="17" s="1"/>
  <c r="C65" i="17" s="1"/>
  <c r="C67" i="17" s="1"/>
  <c r="C69" i="17" s="1"/>
  <c r="Y119" i="17"/>
  <c r="Y122" i="17" s="1"/>
  <c r="Y54" i="17" s="1"/>
  <c r="Y55" i="17" s="1"/>
  <c r="Y57" i="17" s="1"/>
  <c r="Y59" i="17" s="1"/>
  <c r="Y61" i="17" s="1"/>
  <c r="Y63" i="17" s="1"/>
  <c r="Y65" i="17" s="1"/>
  <c r="Y67" i="17" s="1"/>
  <c r="Y69" i="17" s="1"/>
  <c r="O119" i="17"/>
  <c r="O122" i="17" s="1"/>
  <c r="O54" i="17" s="1"/>
  <c r="O55" i="17" s="1"/>
  <c r="O57" i="17" s="1"/>
  <c r="O59" i="17" s="1"/>
  <c r="O61" i="17" s="1"/>
  <c r="O63" i="17" s="1"/>
  <c r="O65" i="17" s="1"/>
  <c r="O67" i="17" s="1"/>
  <c r="O69" i="17" s="1"/>
  <c r="G119" i="17"/>
  <c r="G122" i="17" s="1"/>
  <c r="G54" i="17" s="1"/>
  <c r="G55" i="17" s="1"/>
  <c r="G57" i="17" s="1"/>
  <c r="G59" i="17" s="1"/>
  <c r="G61" i="17" s="1"/>
  <c r="G63" i="17" s="1"/>
  <c r="G65" i="17" s="1"/>
  <c r="G67" i="17" s="1"/>
  <c r="G69" i="17" s="1"/>
  <c r="X119" i="17"/>
  <c r="X122" i="17" s="1"/>
  <c r="X54" i="17" s="1"/>
  <c r="X55" i="17" s="1"/>
  <c r="X57" i="17" s="1"/>
  <c r="X59" i="17" s="1"/>
  <c r="X61" i="17" s="1"/>
  <c r="X63" i="17" s="1"/>
  <c r="X65" i="17" s="1"/>
  <c r="X67" i="17" s="1"/>
  <c r="X69" i="17" s="1"/>
  <c r="N119" i="17"/>
  <c r="N122" i="17" s="1"/>
  <c r="N54" i="17" s="1"/>
  <c r="N55" i="17" s="1"/>
  <c r="N57" i="17" s="1"/>
  <c r="N59" i="17" s="1"/>
  <c r="N61" i="17" s="1"/>
  <c r="N63" i="17" s="1"/>
  <c r="N65" i="17" s="1"/>
  <c r="N67" i="17" s="1"/>
  <c r="N69" i="17" s="1"/>
  <c r="E119" i="17"/>
  <c r="E122" i="17" s="1"/>
  <c r="E54" i="17" s="1"/>
  <c r="E55" i="17" s="1"/>
  <c r="E57" i="17" s="1"/>
  <c r="E59" i="17" s="1"/>
  <c r="E61" i="17" s="1"/>
  <c r="E63" i="17" s="1"/>
  <c r="E65" i="17" s="1"/>
  <c r="E67" i="17" s="1"/>
  <c r="E69" i="17" s="1"/>
  <c r="T119" i="17"/>
  <c r="T122" i="17" s="1"/>
  <c r="T54" i="17" s="1"/>
  <c r="T55" i="17" s="1"/>
  <c r="T57" i="17" s="1"/>
  <c r="T59" i="17" s="1"/>
  <c r="T61" i="17" s="1"/>
  <c r="T63" i="17" s="1"/>
  <c r="T65" i="17" s="1"/>
  <c r="T67" i="17" s="1"/>
  <c r="T69" i="17" s="1"/>
  <c r="H119" i="17"/>
  <c r="H122" i="17" s="1"/>
  <c r="H54" i="17" s="1"/>
  <c r="H55" i="17" s="1"/>
  <c r="H57" i="17" s="1"/>
  <c r="H59" i="17" s="1"/>
  <c r="H61" i="17" s="1"/>
  <c r="H63" i="17" s="1"/>
  <c r="H65" i="17" s="1"/>
  <c r="H67" i="17" s="1"/>
  <c r="H69" i="17" s="1"/>
  <c r="S119" i="17"/>
  <c r="S122" i="17" s="1"/>
  <c r="AA119" i="17"/>
  <c r="AA122" i="17" s="1"/>
  <c r="AA54" i="17" s="1"/>
  <c r="AA55" i="17" s="1"/>
  <c r="AA57" i="17" s="1"/>
  <c r="AA59" i="17" s="1"/>
  <c r="AA61" i="17" s="1"/>
  <c r="AA63" i="17" s="1"/>
  <c r="AA65" i="17" s="1"/>
  <c r="AA67" i="17" s="1"/>
  <c r="AA69" i="17" s="1"/>
  <c r="M119" i="17"/>
  <c r="M122" i="17" s="1"/>
  <c r="M54" i="17" s="1"/>
  <c r="M55" i="17" s="1"/>
  <c r="M57" i="17" s="1"/>
  <c r="M59" i="17" s="1"/>
  <c r="M61" i="17" s="1"/>
  <c r="M63" i="17" s="1"/>
  <c r="M65" i="17" s="1"/>
  <c r="M67" i="17" s="1"/>
  <c r="M69" i="17" s="1"/>
  <c r="Z119" i="17"/>
  <c r="Z122" i="17" s="1"/>
  <c r="Z54" i="17" s="1"/>
  <c r="Z55" i="17" s="1"/>
  <c r="Z57" i="17" s="1"/>
  <c r="Z59" i="17" s="1"/>
  <c r="Z61" i="17" s="1"/>
  <c r="Z63" i="17" s="1"/>
  <c r="Z65" i="17" s="1"/>
  <c r="Z67" i="17" s="1"/>
  <c r="Z69" i="17" s="1"/>
  <c r="L119" i="17"/>
  <c r="L122" i="17" s="1"/>
  <c r="L54" i="17" s="1"/>
  <c r="L55" i="17" s="1"/>
  <c r="L57" i="17" s="1"/>
  <c r="L59" i="17" s="1"/>
  <c r="L61" i="17" s="1"/>
  <c r="L63" i="17" s="1"/>
  <c r="L65" i="17" s="1"/>
  <c r="L67" i="17" s="1"/>
  <c r="L69" i="17" s="1"/>
  <c r="U119" i="17"/>
  <c r="U122" i="17" s="1"/>
  <c r="U54" i="17" s="1"/>
  <c r="U55" i="17" s="1"/>
  <c r="U57" i="17" s="1"/>
  <c r="U59" i="17" s="1"/>
  <c r="U61" i="17" s="1"/>
  <c r="U63" i="17" s="1"/>
  <c r="U65" i="17" s="1"/>
  <c r="U67" i="17" s="1"/>
  <c r="U69" i="17" s="1"/>
  <c r="I119" i="17"/>
  <c r="I122" i="17" s="1"/>
  <c r="I54" i="17" s="1"/>
  <c r="I55" i="17" s="1"/>
  <c r="I57" i="17" s="1"/>
  <c r="I59" i="17" s="1"/>
  <c r="I61" i="17" s="1"/>
  <c r="I63" i="17" s="1"/>
  <c r="I65" i="17" s="1"/>
  <c r="I67" i="17" s="1"/>
  <c r="I69" i="17" s="1"/>
  <c r="R119" i="17"/>
  <c r="R122" i="17" s="1"/>
  <c r="E122" i="16"/>
  <c r="E125" i="16" s="1"/>
  <c r="E53" i="16" s="1"/>
  <c r="E54" i="16" s="1"/>
  <c r="E56" i="16" s="1"/>
  <c r="E58" i="16" s="1"/>
  <c r="E60" i="16" s="1"/>
  <c r="E62" i="16" s="1"/>
  <c r="E64" i="16" s="1"/>
  <c r="N122" i="16"/>
  <c r="N125" i="16" s="1"/>
  <c r="N53" i="16" s="1"/>
  <c r="N54" i="16" s="1"/>
  <c r="N56" i="16" s="1"/>
  <c r="N58" i="16" s="1"/>
  <c r="N60" i="16" s="1"/>
  <c r="N62" i="16" s="1"/>
  <c r="N64" i="16" s="1"/>
  <c r="B121" i="9"/>
  <c r="C128" i="11"/>
  <c r="J130" i="11"/>
  <c r="J131" i="11" s="1"/>
  <c r="X128" i="11"/>
  <c r="I135" i="16"/>
  <c r="I136" i="16" s="1"/>
  <c r="I65" i="16" s="1"/>
  <c r="I66" i="16" s="1"/>
  <c r="I68" i="16" s="1"/>
  <c r="I70" i="16" s="1"/>
  <c r="I72" i="16" s="1"/>
  <c r="I73" i="16" s="1"/>
  <c r="Q135" i="16"/>
  <c r="Q136" i="16" s="1"/>
  <c r="Q65" i="16" s="1"/>
  <c r="Q66" i="16" s="1"/>
  <c r="Q68" i="16" s="1"/>
  <c r="Q70" i="16" s="1"/>
  <c r="Q72" i="16" s="1"/>
  <c r="Q73" i="16" s="1"/>
  <c r="B127" i="15"/>
  <c r="H128" i="11"/>
  <c r="AA128" i="11"/>
  <c r="O128" i="11"/>
  <c r="I128" i="11"/>
  <c r="G128" i="11"/>
  <c r="P130" i="11"/>
  <c r="P131" i="11" s="1"/>
  <c r="P70" i="11" s="1"/>
  <c r="P71" i="11" s="1"/>
  <c r="P73" i="11" s="1"/>
  <c r="P75" i="11" s="1"/>
  <c r="P76" i="11" s="1"/>
  <c r="T128" i="11"/>
  <c r="V130" i="11"/>
  <c r="V131" i="11" s="1"/>
  <c r="V70" i="11" s="1"/>
  <c r="V71" i="11" s="1"/>
  <c r="V73" i="11" s="1"/>
  <c r="V75" i="11" s="1"/>
  <c r="V76" i="11" s="1"/>
  <c r="M130" i="11"/>
  <c r="M131" i="11" s="1"/>
  <c r="M70" i="11" s="1"/>
  <c r="M71" i="11" s="1"/>
  <c r="M73" i="11" s="1"/>
  <c r="M75" i="11" s="1"/>
  <c r="M76" i="11" s="1"/>
  <c r="E128" i="11"/>
  <c r="K130" i="11"/>
  <c r="K131" i="11" s="1"/>
  <c r="K70" i="11" s="1"/>
  <c r="K71" i="11" s="1"/>
  <c r="K73" i="11" s="1"/>
  <c r="K75" i="11" s="1"/>
  <c r="K76" i="11" s="1"/>
  <c r="Z128" i="11"/>
  <c r="Y130" i="11"/>
  <c r="Y131" i="11" s="1"/>
  <c r="Y70" i="11" s="1"/>
  <c r="Y71" i="11" s="1"/>
  <c r="Y73" i="11" s="1"/>
  <c r="Y75" i="11" s="1"/>
  <c r="Y76" i="11" s="1"/>
  <c r="L130" i="11"/>
  <c r="L131" i="11" s="1"/>
  <c r="L70" i="11" s="1"/>
  <c r="L71" i="11" s="1"/>
  <c r="L73" i="11" s="1"/>
  <c r="L75" i="11" s="1"/>
  <c r="L76" i="11" s="1"/>
  <c r="D128" i="11"/>
  <c r="W130" i="11"/>
  <c r="W131" i="11" s="1"/>
  <c r="W70" i="11" s="1"/>
  <c r="W71" i="11" s="1"/>
  <c r="W73" i="11" s="1"/>
  <c r="W75" i="11" s="1"/>
  <c r="W76" i="11" s="1"/>
  <c r="C76" i="11"/>
  <c r="B78" i="11"/>
  <c r="H128" i="7"/>
  <c r="H131" i="7" s="1"/>
  <c r="H54" i="7" s="1"/>
  <c r="H55" i="7" s="1"/>
  <c r="H57" i="7" s="1"/>
  <c r="H59" i="7" s="1"/>
  <c r="H61" i="7" s="1"/>
  <c r="H63" i="7" s="1"/>
  <c r="H65" i="7" s="1"/>
  <c r="H67" i="7" s="1"/>
  <c r="H69" i="7" s="1"/>
  <c r="H141" i="7" s="1"/>
  <c r="H142" i="7" s="1"/>
  <c r="H70" i="7" s="1"/>
  <c r="H71" i="7" s="1"/>
  <c r="H73" i="7" s="1"/>
  <c r="H75" i="7" s="1"/>
  <c r="H77" i="7" s="1"/>
  <c r="H78" i="7" s="1"/>
  <c r="C128" i="7"/>
  <c r="C131" i="7" s="1"/>
  <c r="C54" i="7" s="1"/>
  <c r="C55" i="7" s="1"/>
  <c r="C57" i="7" s="1"/>
  <c r="C59" i="7" s="1"/>
  <c r="C61" i="7" s="1"/>
  <c r="C63" i="7" s="1"/>
  <c r="C65" i="7" s="1"/>
  <c r="C67" i="7" s="1"/>
  <c r="C69" i="7" s="1"/>
  <c r="C139" i="7" s="1"/>
  <c r="D128" i="7"/>
  <c r="D131" i="7" s="1"/>
  <c r="D54" i="7" s="1"/>
  <c r="D55" i="7" s="1"/>
  <c r="D57" i="7" s="1"/>
  <c r="D59" i="7" s="1"/>
  <c r="D61" i="7" s="1"/>
  <c r="D63" i="7" s="1"/>
  <c r="D65" i="7" s="1"/>
  <c r="D67" i="7" s="1"/>
  <c r="D69" i="7" s="1"/>
  <c r="D141" i="7" s="1"/>
  <c r="D142" i="7" s="1"/>
  <c r="D70" i="7" s="1"/>
  <c r="D71" i="7" s="1"/>
  <c r="D73" i="7" s="1"/>
  <c r="D75" i="7" s="1"/>
  <c r="D77" i="7" s="1"/>
  <c r="D78" i="7" s="1"/>
  <c r="G128" i="7"/>
  <c r="G131" i="7" s="1"/>
  <c r="G54" i="7" s="1"/>
  <c r="G55" i="7" s="1"/>
  <c r="G57" i="7" s="1"/>
  <c r="G59" i="7" s="1"/>
  <c r="G61" i="7" s="1"/>
  <c r="G63" i="7" s="1"/>
  <c r="G65" i="7" s="1"/>
  <c r="G67" i="7" s="1"/>
  <c r="G69" i="7" s="1"/>
  <c r="G139" i="7" s="1"/>
  <c r="E128" i="7"/>
  <c r="E131" i="7" s="1"/>
  <c r="E54" i="7" s="1"/>
  <c r="E55" i="7" s="1"/>
  <c r="E57" i="7" s="1"/>
  <c r="E59" i="7" s="1"/>
  <c r="E61" i="7" s="1"/>
  <c r="E63" i="7" s="1"/>
  <c r="E65" i="7" s="1"/>
  <c r="E67" i="7" s="1"/>
  <c r="E69" i="7" s="1"/>
  <c r="E139" i="7" s="1"/>
  <c r="J128" i="7"/>
  <c r="J131" i="7" s="1"/>
  <c r="J54" i="7" s="1"/>
  <c r="J55" i="7" s="1"/>
  <c r="J57" i="7" s="1"/>
  <c r="J59" i="7" s="1"/>
  <c r="J61" i="7" s="1"/>
  <c r="J63" i="7" s="1"/>
  <c r="J65" i="7" s="1"/>
  <c r="J67" i="7" s="1"/>
  <c r="J69" i="7" s="1"/>
  <c r="J141" i="7" s="1"/>
  <c r="J142" i="7" s="1"/>
  <c r="J70" i="7" s="1"/>
  <c r="J71" i="7" s="1"/>
  <c r="J73" i="7" s="1"/>
  <c r="J75" i="7" s="1"/>
  <c r="J77" i="7" s="1"/>
  <c r="J78" i="7" s="1"/>
  <c r="I139" i="7"/>
  <c r="I141" i="7"/>
  <c r="I142" i="7" s="1"/>
  <c r="I70" i="7" s="1"/>
  <c r="I71" i="7" s="1"/>
  <c r="I73" i="7" s="1"/>
  <c r="I75" i="7" s="1"/>
  <c r="I77" i="7" s="1"/>
  <c r="I78" i="7" s="1"/>
  <c r="L135" i="16" l="1"/>
  <c r="L136" i="16" s="1"/>
  <c r="L65" i="16" s="1"/>
  <c r="L66" i="16" s="1"/>
  <c r="L68" i="16" s="1"/>
  <c r="L70" i="16" s="1"/>
  <c r="L72" i="16" s="1"/>
  <c r="L73" i="16" s="1"/>
  <c r="D133" i="16"/>
  <c r="H135" i="16"/>
  <c r="H136" i="16" s="1"/>
  <c r="H65" i="16" s="1"/>
  <c r="H66" i="16" s="1"/>
  <c r="H68" i="16" s="1"/>
  <c r="H70" i="16" s="1"/>
  <c r="H72" i="16" s="1"/>
  <c r="H73" i="16" s="1"/>
  <c r="O133" i="16"/>
  <c r="T128" i="17"/>
  <c r="T130" i="17"/>
  <c r="T131" i="17" s="1"/>
  <c r="T70" i="17" s="1"/>
  <c r="T71" i="17" s="1"/>
  <c r="T73" i="17" s="1"/>
  <c r="T75" i="17" s="1"/>
  <c r="T76" i="17" s="1"/>
  <c r="N135" i="16"/>
  <c r="N136" i="16" s="1"/>
  <c r="N65" i="16" s="1"/>
  <c r="N66" i="16" s="1"/>
  <c r="N68" i="16" s="1"/>
  <c r="N70" i="16" s="1"/>
  <c r="N72" i="16" s="1"/>
  <c r="N73" i="16" s="1"/>
  <c r="N133" i="16"/>
  <c r="C130" i="17"/>
  <c r="C131" i="17" s="1"/>
  <c r="C70" i="17" s="1"/>
  <c r="C71" i="17" s="1"/>
  <c r="C73" i="17" s="1"/>
  <c r="C75" i="17" s="1"/>
  <c r="C128" i="17"/>
  <c r="E135" i="16"/>
  <c r="E136" i="16" s="1"/>
  <c r="E65" i="16" s="1"/>
  <c r="E66" i="16" s="1"/>
  <c r="E68" i="16" s="1"/>
  <c r="E70" i="16" s="1"/>
  <c r="E72" i="16" s="1"/>
  <c r="E73" i="16" s="1"/>
  <c r="E133" i="16"/>
  <c r="M130" i="17"/>
  <c r="M131" i="17" s="1"/>
  <c r="M70" i="17" s="1"/>
  <c r="M71" i="17" s="1"/>
  <c r="M73" i="17" s="1"/>
  <c r="M75" i="17" s="1"/>
  <c r="M76" i="17" s="1"/>
  <c r="M128" i="17"/>
  <c r="N128" i="17"/>
  <c r="N130" i="17"/>
  <c r="N131" i="17" s="1"/>
  <c r="N70" i="17" s="1"/>
  <c r="N71" i="17" s="1"/>
  <c r="N73" i="17" s="1"/>
  <c r="N75" i="17" s="1"/>
  <c r="N76" i="17" s="1"/>
  <c r="J71" i="17"/>
  <c r="J73" i="17" s="1"/>
  <c r="J75" i="17" s="1"/>
  <c r="J76" i="17" s="1"/>
  <c r="J128" i="17"/>
  <c r="J130" i="17"/>
  <c r="J131" i="17" s="1"/>
  <c r="W128" i="17"/>
  <c r="W130" i="17"/>
  <c r="W131" i="17" s="1"/>
  <c r="W70" i="17" s="1"/>
  <c r="W71" i="17" s="1"/>
  <c r="W73" i="17" s="1"/>
  <c r="W75" i="17" s="1"/>
  <c r="W76" i="17" s="1"/>
  <c r="K128" i="17"/>
  <c r="K130" i="17"/>
  <c r="K131" i="17" s="1"/>
  <c r="K70" i="17" s="1"/>
  <c r="K71" i="17" s="1"/>
  <c r="K73" i="17" s="1"/>
  <c r="K75" i="17" s="1"/>
  <c r="K76" i="17" s="1"/>
  <c r="AA130" i="17"/>
  <c r="AA131" i="17" s="1"/>
  <c r="AA70" i="17" s="1"/>
  <c r="AA71" i="17" s="1"/>
  <c r="AA73" i="17" s="1"/>
  <c r="AA75" i="17" s="1"/>
  <c r="AA76" i="17" s="1"/>
  <c r="AA128" i="17"/>
  <c r="X128" i="17"/>
  <c r="X130" i="17"/>
  <c r="X131" i="17" s="1"/>
  <c r="X70" i="17" s="1"/>
  <c r="X71" i="17" s="1"/>
  <c r="X73" i="17" s="1"/>
  <c r="X75" i="17" s="1"/>
  <c r="X76" i="17" s="1"/>
  <c r="P128" i="17"/>
  <c r="P130" i="17"/>
  <c r="P131" i="17" s="1"/>
  <c r="P70" i="17" s="1"/>
  <c r="P71" i="17" s="1"/>
  <c r="P73" i="17" s="1"/>
  <c r="P75" i="17" s="1"/>
  <c r="P76" i="17" s="1"/>
  <c r="C135" i="16"/>
  <c r="C136" i="16" s="1"/>
  <c r="C65" i="16" s="1"/>
  <c r="C66" i="16" s="1"/>
  <c r="C68" i="16" s="1"/>
  <c r="C70" i="16" s="1"/>
  <c r="C72" i="16" s="1"/>
  <c r="C133" i="16"/>
  <c r="L128" i="17"/>
  <c r="L130" i="17"/>
  <c r="L131" i="17" s="1"/>
  <c r="L70" i="17" s="1"/>
  <c r="L71" i="17" s="1"/>
  <c r="L73" i="17" s="1"/>
  <c r="L75" i="17" s="1"/>
  <c r="L76" i="17" s="1"/>
  <c r="E128" i="17"/>
  <c r="E130" i="17"/>
  <c r="E131" i="17" s="1"/>
  <c r="E70" i="17" s="1"/>
  <c r="E71" i="17" s="1"/>
  <c r="E73" i="17" s="1"/>
  <c r="E75" i="17" s="1"/>
  <c r="E76" i="17" s="1"/>
  <c r="I130" i="17"/>
  <c r="I131" i="17" s="1"/>
  <c r="I70" i="17" s="1"/>
  <c r="I71" i="17" s="1"/>
  <c r="I73" i="17" s="1"/>
  <c r="I75" i="17" s="1"/>
  <c r="I76" i="17" s="1"/>
  <c r="I128" i="17"/>
  <c r="G128" i="17"/>
  <c r="G130" i="17"/>
  <c r="G131" i="17" s="1"/>
  <c r="G70" i="17" s="1"/>
  <c r="G71" i="17" s="1"/>
  <c r="G73" i="17" s="1"/>
  <c r="G75" i="17" s="1"/>
  <c r="G76" i="17" s="1"/>
  <c r="V130" i="17"/>
  <c r="V131" i="17" s="1"/>
  <c r="V70" i="17" s="1"/>
  <c r="V71" i="17" s="1"/>
  <c r="V73" i="17" s="1"/>
  <c r="V75" i="17" s="1"/>
  <c r="V76" i="17" s="1"/>
  <c r="V128" i="17"/>
  <c r="P133" i="16"/>
  <c r="P135" i="16"/>
  <c r="P136" i="16" s="1"/>
  <c r="P65" i="16" s="1"/>
  <c r="P66" i="16" s="1"/>
  <c r="P68" i="16" s="1"/>
  <c r="P70" i="16" s="1"/>
  <c r="P72" i="16" s="1"/>
  <c r="P73" i="16" s="1"/>
  <c r="C122" i="9"/>
  <c r="C125" i="9" s="1"/>
  <c r="C53" i="9" s="1"/>
  <c r="C54" i="9" s="1"/>
  <c r="C56" i="9" s="1"/>
  <c r="C58" i="9" s="1"/>
  <c r="C60" i="9" s="1"/>
  <c r="C62" i="9" s="1"/>
  <c r="C64" i="9" s="1"/>
  <c r="L122" i="9"/>
  <c r="L125" i="9" s="1"/>
  <c r="L53" i="9" s="1"/>
  <c r="L54" i="9" s="1"/>
  <c r="L56" i="9" s="1"/>
  <c r="L58" i="9" s="1"/>
  <c r="L60" i="9" s="1"/>
  <c r="L62" i="9" s="1"/>
  <c r="L64" i="9" s="1"/>
  <c r="P122" i="9"/>
  <c r="P125" i="9" s="1"/>
  <c r="P53" i="9" s="1"/>
  <c r="P54" i="9" s="1"/>
  <c r="P56" i="9" s="1"/>
  <c r="P58" i="9" s="1"/>
  <c r="P60" i="9" s="1"/>
  <c r="P62" i="9" s="1"/>
  <c r="P64" i="9" s="1"/>
  <c r="O122" i="9"/>
  <c r="O125" i="9" s="1"/>
  <c r="O53" i="9" s="1"/>
  <c r="O54" i="9" s="1"/>
  <c r="O56" i="9" s="1"/>
  <c r="O58" i="9" s="1"/>
  <c r="O60" i="9" s="1"/>
  <c r="O62" i="9" s="1"/>
  <c r="O64" i="9" s="1"/>
  <c r="N122" i="9"/>
  <c r="N125" i="9" s="1"/>
  <c r="N53" i="9" s="1"/>
  <c r="N54" i="9" s="1"/>
  <c r="N56" i="9" s="1"/>
  <c r="N58" i="9" s="1"/>
  <c r="N60" i="9" s="1"/>
  <c r="N62" i="9" s="1"/>
  <c r="N64" i="9" s="1"/>
  <c r="Q122" i="9"/>
  <c r="Q125" i="9" s="1"/>
  <c r="Q53" i="9" s="1"/>
  <c r="Q54" i="9" s="1"/>
  <c r="Q56" i="9" s="1"/>
  <c r="Q58" i="9" s="1"/>
  <c r="Q60" i="9" s="1"/>
  <c r="Q62" i="9" s="1"/>
  <c r="Q64" i="9" s="1"/>
  <c r="D122" i="9"/>
  <c r="D125" i="9" s="1"/>
  <c r="D53" i="9" s="1"/>
  <c r="D54" i="9" s="1"/>
  <c r="D56" i="9" s="1"/>
  <c r="D58" i="9" s="1"/>
  <c r="D60" i="9" s="1"/>
  <c r="D62" i="9" s="1"/>
  <c r="D64" i="9" s="1"/>
  <c r="E122" i="9"/>
  <c r="E125" i="9" s="1"/>
  <c r="E53" i="9" s="1"/>
  <c r="E54" i="9" s="1"/>
  <c r="E56" i="9" s="1"/>
  <c r="E58" i="9" s="1"/>
  <c r="E60" i="9" s="1"/>
  <c r="E62" i="9" s="1"/>
  <c r="E64" i="9" s="1"/>
  <c r="I122" i="9"/>
  <c r="I125" i="9" s="1"/>
  <c r="I53" i="9" s="1"/>
  <c r="I54" i="9" s="1"/>
  <c r="I56" i="9" s="1"/>
  <c r="I58" i="9" s="1"/>
  <c r="I60" i="9" s="1"/>
  <c r="I62" i="9" s="1"/>
  <c r="I64" i="9" s="1"/>
  <c r="H122" i="9"/>
  <c r="H125" i="9" s="1"/>
  <c r="H53" i="9" s="1"/>
  <c r="H54" i="9" s="1"/>
  <c r="H56" i="9" s="1"/>
  <c r="H58" i="9" s="1"/>
  <c r="H60" i="9" s="1"/>
  <c r="H62" i="9" s="1"/>
  <c r="H64" i="9" s="1"/>
  <c r="Y128" i="17"/>
  <c r="Y130" i="17"/>
  <c r="Y131" i="17" s="1"/>
  <c r="Y70" i="17" s="1"/>
  <c r="Y71" i="17" s="1"/>
  <c r="Y73" i="17" s="1"/>
  <c r="Y75" i="17" s="1"/>
  <c r="Y76" i="17" s="1"/>
  <c r="Z128" i="17"/>
  <c r="Z130" i="17"/>
  <c r="Z131" i="17" s="1"/>
  <c r="Z70" i="17" s="1"/>
  <c r="Z71" i="17" s="1"/>
  <c r="Z73" i="17" s="1"/>
  <c r="Z75" i="17" s="1"/>
  <c r="Z76" i="17" s="1"/>
  <c r="U128" i="17"/>
  <c r="U130" i="17"/>
  <c r="U131" i="17" s="1"/>
  <c r="U70" i="17" s="1"/>
  <c r="U71" i="17" s="1"/>
  <c r="U73" i="17" s="1"/>
  <c r="U75" i="17" s="1"/>
  <c r="U76" i="17" s="1"/>
  <c r="H130" i="17"/>
  <c r="H131" i="17" s="1"/>
  <c r="H70" i="17" s="1"/>
  <c r="H71" i="17" s="1"/>
  <c r="H73" i="17" s="1"/>
  <c r="H75" i="17" s="1"/>
  <c r="H76" i="17" s="1"/>
  <c r="H128" i="17"/>
  <c r="O130" i="17"/>
  <c r="O131" i="17" s="1"/>
  <c r="O70" i="17" s="1"/>
  <c r="O71" i="17" s="1"/>
  <c r="O73" i="17" s="1"/>
  <c r="O75" i="17" s="1"/>
  <c r="O76" i="17" s="1"/>
  <c r="O128" i="17"/>
  <c r="D130" i="17"/>
  <c r="D131" i="17" s="1"/>
  <c r="D70" i="17" s="1"/>
  <c r="D71" i="17" s="1"/>
  <c r="D73" i="17" s="1"/>
  <c r="D75" i="17" s="1"/>
  <c r="D76" i="17" s="1"/>
  <c r="D128" i="17"/>
  <c r="J128" i="15"/>
  <c r="J131" i="15" s="1"/>
  <c r="J54" i="15" s="1"/>
  <c r="J55" i="15" s="1"/>
  <c r="J57" i="15" s="1"/>
  <c r="J59" i="15" s="1"/>
  <c r="J61" i="15" s="1"/>
  <c r="J63" i="15" s="1"/>
  <c r="J65" i="15" s="1"/>
  <c r="J67" i="15" s="1"/>
  <c r="J69" i="15" s="1"/>
  <c r="C128" i="15"/>
  <c r="C131" i="15" s="1"/>
  <c r="C54" i="15" s="1"/>
  <c r="C55" i="15" s="1"/>
  <c r="C57" i="15" s="1"/>
  <c r="C59" i="15" s="1"/>
  <c r="C61" i="15" s="1"/>
  <c r="C63" i="15" s="1"/>
  <c r="C65" i="15" s="1"/>
  <c r="C67" i="15" s="1"/>
  <c r="C69" i="15" s="1"/>
  <c r="I128" i="15"/>
  <c r="I131" i="15" s="1"/>
  <c r="I54" i="15" s="1"/>
  <c r="I55" i="15" s="1"/>
  <c r="I57" i="15" s="1"/>
  <c r="I59" i="15" s="1"/>
  <c r="I61" i="15" s="1"/>
  <c r="I63" i="15" s="1"/>
  <c r="I65" i="15" s="1"/>
  <c r="I67" i="15" s="1"/>
  <c r="I69" i="15" s="1"/>
  <c r="H128" i="15"/>
  <c r="H131" i="15" s="1"/>
  <c r="H54" i="15" s="1"/>
  <c r="H55" i="15" s="1"/>
  <c r="H57" i="15" s="1"/>
  <c r="H59" i="15" s="1"/>
  <c r="H61" i="15" s="1"/>
  <c r="H63" i="15" s="1"/>
  <c r="H65" i="15" s="1"/>
  <c r="H67" i="15" s="1"/>
  <c r="H69" i="15" s="1"/>
  <c r="G128" i="15"/>
  <c r="G131" i="15" s="1"/>
  <c r="G54" i="15" s="1"/>
  <c r="G55" i="15" s="1"/>
  <c r="G57" i="15" s="1"/>
  <c r="G59" i="15" s="1"/>
  <c r="G61" i="15" s="1"/>
  <c r="G63" i="15" s="1"/>
  <c r="G65" i="15" s="1"/>
  <c r="G67" i="15" s="1"/>
  <c r="G69" i="15" s="1"/>
  <c r="E128" i="15"/>
  <c r="E131" i="15" s="1"/>
  <c r="E54" i="15" s="1"/>
  <c r="E55" i="15" s="1"/>
  <c r="E57" i="15" s="1"/>
  <c r="E59" i="15" s="1"/>
  <c r="E61" i="15" s="1"/>
  <c r="E63" i="15" s="1"/>
  <c r="E65" i="15" s="1"/>
  <c r="E67" i="15" s="1"/>
  <c r="E69" i="15" s="1"/>
  <c r="D128" i="15"/>
  <c r="D131" i="15" s="1"/>
  <c r="D54" i="15" s="1"/>
  <c r="D55" i="15" s="1"/>
  <c r="D57" i="15" s="1"/>
  <c r="D59" i="15" s="1"/>
  <c r="D61" i="15" s="1"/>
  <c r="D63" i="15" s="1"/>
  <c r="D65" i="15" s="1"/>
  <c r="D67" i="15" s="1"/>
  <c r="D69" i="15" s="1"/>
  <c r="B79" i="11"/>
  <c r="B80" i="11"/>
  <c r="H139" i="7"/>
  <c r="D139" i="7"/>
  <c r="E141" i="7"/>
  <c r="E142" i="7" s="1"/>
  <c r="E70" i="7" s="1"/>
  <c r="E71" i="7" s="1"/>
  <c r="E73" i="7" s="1"/>
  <c r="E75" i="7" s="1"/>
  <c r="E77" i="7" s="1"/>
  <c r="E78" i="7" s="1"/>
  <c r="C141" i="7"/>
  <c r="C142" i="7" s="1"/>
  <c r="C70" i="7" s="1"/>
  <c r="C71" i="7" s="1"/>
  <c r="C73" i="7" s="1"/>
  <c r="C75" i="7" s="1"/>
  <c r="C77" i="7" s="1"/>
  <c r="C78" i="7" s="1"/>
  <c r="J139" i="7"/>
  <c r="G141" i="7"/>
  <c r="G142" i="7" s="1"/>
  <c r="G70" i="7" s="1"/>
  <c r="G71" i="7" s="1"/>
  <c r="G73" i="7" s="1"/>
  <c r="G75" i="7" s="1"/>
  <c r="G77" i="7" s="1"/>
  <c r="G78" i="7" s="1"/>
  <c r="P133" i="9" l="1"/>
  <c r="P135" i="9"/>
  <c r="P136" i="9" s="1"/>
  <c r="P65" i="9" s="1"/>
  <c r="P66" i="9" s="1"/>
  <c r="P68" i="9" s="1"/>
  <c r="P70" i="9" s="1"/>
  <c r="P72" i="9" s="1"/>
  <c r="P73" i="9" s="1"/>
  <c r="E133" i="9"/>
  <c r="E135" i="9"/>
  <c r="E136" i="9" s="1"/>
  <c r="E65" i="9" s="1"/>
  <c r="E66" i="9" s="1"/>
  <c r="E68" i="9" s="1"/>
  <c r="E70" i="9" s="1"/>
  <c r="E72" i="9" s="1"/>
  <c r="E73" i="9" s="1"/>
  <c r="L133" i="9"/>
  <c r="L135" i="9"/>
  <c r="L136" i="9" s="1"/>
  <c r="L65" i="9" s="1"/>
  <c r="L66" i="9" s="1"/>
  <c r="L68" i="9" s="1"/>
  <c r="L70" i="9" s="1"/>
  <c r="L72" i="9" s="1"/>
  <c r="L73" i="9" s="1"/>
  <c r="C76" i="17"/>
  <c r="B78" i="17"/>
  <c r="D133" i="9"/>
  <c r="D135" i="9"/>
  <c r="D136" i="9" s="1"/>
  <c r="D65" i="9" s="1"/>
  <c r="D66" i="9" s="1"/>
  <c r="D68" i="9" s="1"/>
  <c r="D70" i="9" s="1"/>
  <c r="D72" i="9" s="1"/>
  <c r="D73" i="9" s="1"/>
  <c r="C135" i="9"/>
  <c r="C136" i="9" s="1"/>
  <c r="C65" i="9" s="1"/>
  <c r="C66" i="9" s="1"/>
  <c r="C68" i="9" s="1"/>
  <c r="C70" i="9" s="1"/>
  <c r="C72" i="9" s="1"/>
  <c r="C133" i="9"/>
  <c r="Q133" i="9"/>
  <c r="Q135" i="9"/>
  <c r="Q136" i="9" s="1"/>
  <c r="Q65" i="9" s="1"/>
  <c r="Q66" i="9" s="1"/>
  <c r="Q68" i="9" s="1"/>
  <c r="Q70" i="9" s="1"/>
  <c r="Q72" i="9" s="1"/>
  <c r="Q73" i="9" s="1"/>
  <c r="I133" i="9"/>
  <c r="I135" i="9"/>
  <c r="I136" i="9" s="1"/>
  <c r="I65" i="9" s="1"/>
  <c r="I66" i="9" s="1"/>
  <c r="I68" i="9" s="1"/>
  <c r="I70" i="9" s="1"/>
  <c r="I72" i="9" s="1"/>
  <c r="I73" i="9" s="1"/>
  <c r="N135" i="9"/>
  <c r="N136" i="9" s="1"/>
  <c r="N65" i="9" s="1"/>
  <c r="N66" i="9" s="1"/>
  <c r="N68" i="9" s="1"/>
  <c r="N70" i="9" s="1"/>
  <c r="N72" i="9" s="1"/>
  <c r="N73" i="9" s="1"/>
  <c r="N133" i="9"/>
  <c r="B75" i="16"/>
  <c r="C73" i="16"/>
  <c r="H135" i="9"/>
  <c r="H136" i="9" s="1"/>
  <c r="H65" i="9" s="1"/>
  <c r="H66" i="9" s="1"/>
  <c r="H68" i="9" s="1"/>
  <c r="H70" i="9" s="1"/>
  <c r="H72" i="9" s="1"/>
  <c r="H73" i="9" s="1"/>
  <c r="H133" i="9"/>
  <c r="O133" i="9"/>
  <c r="O135" i="9"/>
  <c r="O136" i="9" s="1"/>
  <c r="O65" i="9" s="1"/>
  <c r="O66" i="9" s="1"/>
  <c r="O68" i="9" s="1"/>
  <c r="O70" i="9" s="1"/>
  <c r="O72" i="9" s="1"/>
  <c r="O73" i="9" s="1"/>
  <c r="E139" i="15"/>
  <c r="E141" i="15"/>
  <c r="E142" i="15" s="1"/>
  <c r="E70" i="15" s="1"/>
  <c r="E71" i="15" s="1"/>
  <c r="E73" i="15" s="1"/>
  <c r="E75" i="15" s="1"/>
  <c r="E77" i="15" s="1"/>
  <c r="E78" i="15" s="1"/>
  <c r="G141" i="15"/>
  <c r="G142" i="15" s="1"/>
  <c r="G70" i="15" s="1"/>
  <c r="G71" i="15" s="1"/>
  <c r="G73" i="15" s="1"/>
  <c r="G75" i="15" s="1"/>
  <c r="G77" i="15" s="1"/>
  <c r="G78" i="15" s="1"/>
  <c r="G139" i="15"/>
  <c r="H141" i="15"/>
  <c r="H142" i="15" s="1"/>
  <c r="H70" i="15" s="1"/>
  <c r="H71" i="15" s="1"/>
  <c r="H73" i="15" s="1"/>
  <c r="H75" i="15" s="1"/>
  <c r="H77" i="15" s="1"/>
  <c r="H78" i="15" s="1"/>
  <c r="H139" i="15"/>
  <c r="I139" i="15"/>
  <c r="I141" i="15"/>
  <c r="I142" i="15" s="1"/>
  <c r="I70" i="15" s="1"/>
  <c r="I71" i="15" s="1"/>
  <c r="I73" i="15" s="1"/>
  <c r="I75" i="15" s="1"/>
  <c r="I77" i="15" s="1"/>
  <c r="I78" i="15" s="1"/>
  <c r="C141" i="15"/>
  <c r="C142" i="15" s="1"/>
  <c r="C70" i="15" s="1"/>
  <c r="C71" i="15" s="1"/>
  <c r="C73" i="15" s="1"/>
  <c r="C75" i="15" s="1"/>
  <c r="C77" i="15" s="1"/>
  <c r="C139" i="15"/>
  <c r="D141" i="15"/>
  <c r="D142" i="15" s="1"/>
  <c r="D70" i="15" s="1"/>
  <c r="D71" i="15" s="1"/>
  <c r="D73" i="15" s="1"/>
  <c r="D75" i="15" s="1"/>
  <c r="D77" i="15" s="1"/>
  <c r="D78" i="15" s="1"/>
  <c r="D139" i="15"/>
  <c r="J141" i="15"/>
  <c r="J142" i="15" s="1"/>
  <c r="J70" i="15" s="1"/>
  <c r="J71" i="15" s="1"/>
  <c r="J73" i="15" s="1"/>
  <c r="J75" i="15" s="1"/>
  <c r="J77" i="15" s="1"/>
  <c r="J78" i="15" s="1"/>
  <c r="J139" i="15"/>
  <c r="B81" i="11"/>
  <c r="E21" i="6" s="1"/>
  <c r="E20" i="6"/>
  <c r="B80" i="7"/>
  <c r="B82" i="7" s="1"/>
  <c r="C73" i="9" l="1"/>
  <c r="B75" i="9"/>
  <c r="B80" i="17"/>
  <c r="B79" i="17"/>
  <c r="B77" i="16"/>
  <c r="B76" i="16"/>
  <c r="B80" i="15"/>
  <c r="C78" i="15"/>
  <c r="B83" i="7"/>
  <c r="C21" i="6" s="1"/>
  <c r="C20" i="6"/>
  <c r="B81" i="7"/>
  <c r="B78" i="16" l="1"/>
  <c r="D24" i="6" s="1"/>
  <c r="D23" i="6"/>
  <c r="B81" i="17"/>
  <c r="E24" i="6" s="1"/>
  <c r="E23" i="6"/>
  <c r="B76" i="9"/>
  <c r="B77" i="9"/>
  <c r="B82" i="15"/>
  <c r="B81" i="15"/>
  <c r="B83" i="15" l="1"/>
  <c r="C24" i="6" s="1"/>
  <c r="C23" i="6"/>
  <c r="B78" i="9"/>
  <c r="D21" i="6" s="1"/>
  <c r="D2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Шулин Никита</author>
    <author>Ниренберг Илья</author>
  </authors>
  <commentList>
    <comment ref="E1" authorId="0" shapeId="0" xr:uid="{F1A1BEE6-14C0-4555-94CE-17571DFCF8BF}">
      <text>
        <r>
          <rPr>
            <b/>
            <sz val="9"/>
            <color indexed="81"/>
            <rFont val="Tahoma"/>
            <charset val="1"/>
          </rPr>
          <t>Шулин Никита:</t>
        </r>
        <r>
          <rPr>
            <sz val="9"/>
            <color indexed="81"/>
            <rFont val="Tahoma"/>
            <charset val="1"/>
          </rPr>
          <t xml:space="preserve">
высота этажа</t>
        </r>
      </text>
    </comment>
    <comment ref="X1" authorId="1" shapeId="0" xr:uid="{D00A5367-16C6-4709-8FD9-CD636AA6964C}">
      <text>
        <r>
          <rPr>
            <b/>
            <sz val="9"/>
            <color indexed="81"/>
            <rFont val="Tahoma"/>
            <family val="2"/>
            <charset val="204"/>
          </rPr>
          <t>Ниренберг Илья:</t>
        </r>
        <r>
          <rPr>
            <sz val="9"/>
            <color indexed="81"/>
            <rFont val="Tahoma"/>
            <family val="2"/>
            <charset val="204"/>
          </rPr>
          <t xml:space="preserve">
1- плохое
5- отличное</t>
        </r>
      </text>
    </comment>
    <comment ref="A2" authorId="0" shapeId="0" xr:uid="{42AB06CF-5AA1-4C48-A2CA-50C4BC949F41}">
      <text>
        <r>
          <rPr>
            <b/>
            <sz val="9"/>
            <color indexed="81"/>
            <rFont val="Tahoma"/>
            <family val="2"/>
            <charset val="204"/>
          </rPr>
          <t>Шулин Никита:</t>
        </r>
        <r>
          <rPr>
            <sz val="9"/>
            <color indexed="81"/>
            <rFont val="Tahoma"/>
            <family val="2"/>
            <charset val="204"/>
          </rPr>
          <t xml:space="preserve">
ПМБ Алыкулова</t>
        </r>
      </text>
    </comment>
    <comment ref="A7" authorId="0" shapeId="0" xr:uid="{B58E7856-2708-44BC-AC70-3E75CF6DB9E7}">
      <text>
        <r>
          <rPr>
            <b/>
            <sz val="9"/>
            <color indexed="81"/>
            <rFont val="Tahoma"/>
            <family val="2"/>
            <charset val="204"/>
          </rPr>
          <t>Шулин Никита:</t>
        </r>
        <r>
          <rPr>
            <sz val="9"/>
            <color indexed="81"/>
            <rFont val="Tahoma"/>
            <family val="2"/>
            <charset val="204"/>
          </rPr>
          <t xml:space="preserve">
ПМБ Лесхозная (мурманская)</t>
        </r>
      </text>
    </comment>
    <comment ref="A12" authorId="0" shapeId="0" xr:uid="{77D1CE11-3010-4D35-9078-1F37CB696996}">
      <text>
        <r>
          <rPr>
            <b/>
            <sz val="9"/>
            <color indexed="81"/>
            <rFont val="Tahoma"/>
            <family val="2"/>
            <charset val="204"/>
          </rPr>
          <t>Шулин Никита:</t>
        </r>
        <r>
          <rPr>
            <sz val="9"/>
            <color indexed="81"/>
            <rFont val="Tahoma"/>
            <family val="2"/>
            <charset val="204"/>
          </rPr>
          <t xml:space="preserve">
Триод</t>
        </r>
      </text>
    </comment>
    <comment ref="A31" authorId="0" shapeId="0" xr:uid="{FBCF5468-F2A9-4C38-A41A-892F1F0006DC}">
      <text>
        <r>
          <rPr>
            <b/>
            <sz val="9"/>
            <color indexed="81"/>
            <rFont val="Tahoma"/>
            <charset val="1"/>
          </rPr>
          <t>Шулин Никита:</t>
        </r>
        <r>
          <rPr>
            <sz val="9"/>
            <color indexed="81"/>
            <rFont val="Tahoma"/>
            <charset val="1"/>
          </rPr>
          <t xml:space="preserve">
Оранжевый слон</t>
        </r>
      </text>
    </comment>
    <comment ref="I33" authorId="0" shapeId="0" xr:uid="{607E0CCE-CD22-4569-9736-1DF310B8E86F}">
      <text>
        <r>
          <rPr>
            <b/>
            <sz val="9"/>
            <color indexed="81"/>
            <rFont val="Tahoma"/>
            <charset val="1"/>
          </rPr>
          <t>Шулин Никита:</t>
        </r>
        <r>
          <rPr>
            <sz val="9"/>
            <color indexed="81"/>
            <rFont val="Tahoma"/>
            <charset val="1"/>
          </rPr>
          <t xml:space="preserve">
Пескоблочные, частично утепоенные внутри, покрытия комбинированные</t>
        </r>
      </text>
    </comment>
    <comment ref="J33" authorId="0" shapeId="0" xr:uid="{13832B06-FFF0-4E65-9BA6-BBF11869210D}">
      <text>
        <r>
          <rPr>
            <b/>
            <sz val="9"/>
            <color indexed="81"/>
            <rFont val="Tahoma"/>
            <charset val="1"/>
          </rPr>
          <t>Шулин Никита:</t>
        </r>
        <r>
          <rPr>
            <sz val="9"/>
            <color indexed="81"/>
            <rFont val="Tahoma"/>
            <charset val="1"/>
          </rPr>
          <t xml:space="preserve">
Вручную</t>
        </r>
      </text>
    </comment>
    <comment ref="I35" authorId="0" shapeId="0" xr:uid="{2ADDBECB-865C-427B-B31E-EC34F6663E89}">
      <text>
        <r>
          <rPr>
            <b/>
            <sz val="9"/>
            <color indexed="81"/>
            <rFont val="Tahoma"/>
            <charset val="1"/>
          </rPr>
          <t>Шулин Никита:</t>
        </r>
        <r>
          <rPr>
            <sz val="9"/>
            <color indexed="81"/>
            <rFont val="Tahoma"/>
            <charset val="1"/>
          </rPr>
          <t xml:space="preserve">
Пескоблочные, частично утепоенные внутри, покрытия комбинированные</t>
        </r>
      </text>
    </comment>
    <comment ref="J35" authorId="0" shapeId="0" xr:uid="{CE27976A-2CFC-4B15-8677-94DAF884962D}">
      <text>
        <r>
          <rPr>
            <b/>
            <sz val="9"/>
            <color indexed="81"/>
            <rFont val="Tahoma"/>
            <charset val="1"/>
          </rPr>
          <t>Шулин Никита:</t>
        </r>
        <r>
          <rPr>
            <sz val="9"/>
            <color indexed="81"/>
            <rFont val="Tahoma"/>
            <charset val="1"/>
          </rPr>
          <t xml:space="preserve">
Вручную</t>
        </r>
      </text>
    </comment>
    <comment ref="A39" authorId="0" shapeId="0" xr:uid="{5E23C86E-31AC-4AD2-9054-81724EFFA39F}">
      <text>
        <r>
          <rPr>
            <b/>
            <sz val="9"/>
            <color indexed="81"/>
            <rFont val="Tahoma"/>
            <charset val="1"/>
          </rPr>
          <t>Шулин Никита:</t>
        </r>
        <r>
          <rPr>
            <sz val="9"/>
            <color indexed="81"/>
            <rFont val="Tahoma"/>
            <charset val="1"/>
          </rPr>
          <t xml:space="preserve">
Садыгалиева 4а/1</t>
        </r>
      </text>
    </comment>
    <comment ref="A40" authorId="0" shapeId="0" xr:uid="{D51826ED-0F5E-4B05-9704-210F25635D88}">
      <text>
        <r>
          <rPr>
            <b/>
            <sz val="9"/>
            <color indexed="81"/>
            <rFont val="Tahoma"/>
            <family val="2"/>
            <charset val="204"/>
          </rPr>
          <t>Шулин Никита:</t>
        </r>
        <r>
          <rPr>
            <sz val="9"/>
            <color indexed="81"/>
            <rFont val="Tahoma"/>
            <family val="2"/>
            <charset val="204"/>
          </rPr>
          <t xml:space="preserve">
г. Бишкек, ул. Матросова, 1а/ ул. Карадарьинская</t>
        </r>
      </text>
    </comment>
    <comment ref="A43" authorId="0" shapeId="0" xr:uid="{74E995F9-21DC-4372-9027-D100BC108836}">
      <text>
        <r>
          <rPr>
            <b/>
            <sz val="9"/>
            <color indexed="81"/>
            <rFont val="Tahoma"/>
            <charset val="1"/>
          </rPr>
          <t>Шулин Никита:</t>
        </r>
        <r>
          <rPr>
            <sz val="9"/>
            <color indexed="81"/>
            <rFont val="Tahoma"/>
            <charset val="1"/>
          </rPr>
          <t xml:space="preserve">
г. Бишкек, ул. Республиканская, д. 146/1</t>
        </r>
      </text>
    </comment>
    <comment ref="A45" authorId="0" shapeId="0" xr:uid="{C6C1A8D9-30F1-4D7E-A20A-E1E4A0B8320B}">
      <text>
        <r>
          <rPr>
            <b/>
            <sz val="9"/>
            <color indexed="81"/>
            <rFont val="Tahoma"/>
            <family val="2"/>
            <charset val="204"/>
          </rPr>
          <t>Шулин Никита:</t>
        </r>
        <r>
          <rPr>
            <sz val="9"/>
            <color indexed="81"/>
            <rFont val="Tahoma"/>
            <family val="2"/>
            <charset val="204"/>
          </rPr>
          <t xml:space="preserve">
г. Бишкек, ул. Месароша, д. 101/1 и ул. Кронштадтская, д. 21/1</t>
        </r>
      </text>
    </comment>
    <comment ref="A47" authorId="0" shapeId="0" xr:uid="{ABC6B6A1-3176-4EB6-96C1-99B6C7F76EB7}">
      <text>
        <r>
          <rPr>
            <b/>
            <sz val="9"/>
            <color indexed="81"/>
            <rFont val="Tahoma"/>
            <charset val="1"/>
          </rPr>
          <t>Шулин Никита:</t>
        </r>
        <r>
          <rPr>
            <sz val="9"/>
            <color indexed="81"/>
            <rFont val="Tahoma"/>
            <charset val="1"/>
          </rPr>
          <t xml:space="preserve">
г. Бишкек, ул. Матросова 1а, конец ул. Камчатская</t>
        </r>
      </text>
    </comment>
    <comment ref="A50" authorId="0" shapeId="0" xr:uid="{AC8C3AC3-9286-4978-83B3-BA1E3CEC693F}">
      <text>
        <r>
          <rPr>
            <b/>
            <sz val="9"/>
            <color indexed="81"/>
            <rFont val="Tahoma"/>
            <charset val="1"/>
          </rPr>
          <t>Шулин Никита:</t>
        </r>
        <r>
          <rPr>
            <sz val="9"/>
            <color indexed="81"/>
            <rFont val="Tahoma"/>
            <charset val="1"/>
          </rPr>
          <t xml:space="preserve">
Интергельпо 1/38</t>
        </r>
      </text>
    </comment>
    <comment ref="A53" authorId="0" shapeId="0" xr:uid="{9A719353-CCE7-49FA-98FE-674275350EFC}">
      <text>
        <r>
          <rPr>
            <b/>
            <sz val="9"/>
            <color indexed="81"/>
            <rFont val="Tahoma"/>
            <charset val="1"/>
          </rPr>
          <t>Шулин Никита:</t>
        </r>
        <r>
          <rPr>
            <sz val="9"/>
            <color indexed="81"/>
            <rFont val="Tahoma"/>
            <charset val="1"/>
          </rPr>
          <t xml:space="preserve">
г. Бишкек, ул. Мурманская, 122а/1</t>
        </r>
      </text>
    </comment>
    <comment ref="A57" authorId="0" shapeId="0" xr:uid="{2C977EEA-204E-48EB-B1FD-D20A4F6C3543}">
      <text>
        <r>
          <rPr>
            <b/>
            <sz val="9"/>
            <color indexed="81"/>
            <rFont val="Tahoma"/>
            <charset val="1"/>
          </rPr>
          <t>Шулин Никита:</t>
        </r>
        <r>
          <rPr>
            <sz val="9"/>
            <color indexed="81"/>
            <rFont val="Tahoma"/>
            <charset val="1"/>
          </rPr>
          <t xml:space="preserve">
г. Бишкек, ул. Мурманская, д. 56/1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Шулин Никита</author>
  </authors>
  <commentList>
    <comment ref="F2" authorId="0" shapeId="0" xr:uid="{B6FF8E4B-988D-446A-B298-A8BC50661DC7}">
      <text>
        <r>
          <rPr>
            <b/>
            <sz val="9"/>
            <color indexed="81"/>
            <rFont val="Tahoma"/>
            <charset val="1"/>
          </rPr>
          <t>Шулин Никита:</t>
        </r>
        <r>
          <rPr>
            <sz val="9"/>
            <color indexed="81"/>
            <rFont val="Tahoma"/>
            <charset val="1"/>
          </rPr>
          <t xml:space="preserve">
Оранжевый слон</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Алтынбекова Бегимай</author>
    <author>Шулин Никита</author>
  </authors>
  <commentList>
    <comment ref="G10" authorId="0" shapeId="0" xr:uid="{63064CDF-CE24-45B5-BC49-E7D667B4467A}">
      <text>
        <r>
          <rPr>
            <b/>
            <sz val="9"/>
            <color indexed="81"/>
            <rFont val="Tahoma"/>
            <family val="2"/>
            <charset val="204"/>
          </rPr>
          <t>Алтынбекова Бегимай:</t>
        </r>
        <r>
          <rPr>
            <sz val="9"/>
            <color indexed="81"/>
            <rFont val="Tahoma"/>
            <family val="2"/>
            <charset val="204"/>
          </rPr>
          <t xml:space="preserve">
1 уч. до 2058 года, 2 уч. до 2056 года</t>
        </r>
      </text>
    </comment>
    <comment ref="G14" authorId="0" shapeId="0" xr:uid="{B52E9391-AE39-4FCD-A3B6-1E9C268E7D11}">
      <text>
        <r>
          <rPr>
            <b/>
            <sz val="9"/>
            <color indexed="81"/>
            <rFont val="Tahoma"/>
            <family val="2"/>
            <charset val="204"/>
          </rPr>
          <t>Алтынбекова Бегимай:</t>
        </r>
        <r>
          <rPr>
            <sz val="9"/>
            <color indexed="81"/>
            <rFont val="Tahoma"/>
            <family val="2"/>
            <charset val="204"/>
          </rPr>
          <t xml:space="preserve">
5700 общая площадь</t>
        </r>
      </text>
    </comment>
    <comment ref="G29" authorId="0" shapeId="0" xr:uid="{920FD4E2-5083-4066-9D70-B705FD28A885}">
      <text>
        <r>
          <rPr>
            <b/>
            <sz val="9"/>
            <color indexed="81"/>
            <rFont val="Tahoma"/>
            <family val="2"/>
            <charset val="204"/>
          </rPr>
          <t>Алтынбекова Бегимай:</t>
        </r>
        <r>
          <rPr>
            <sz val="9"/>
            <color indexed="81"/>
            <rFont val="Tahoma"/>
            <family val="2"/>
            <charset val="204"/>
          </rPr>
          <t xml:space="preserve">
1 часток:
по документам 6640
по факту 6936
2 участок:
по документам 5000 на 49 лет и 595 на 5 лет
по факту 5595</t>
        </r>
      </text>
    </comment>
    <comment ref="J29" authorId="0" shapeId="0" xr:uid="{6590FE7D-8DE8-40A8-967E-609CEE825379}">
      <text>
        <r>
          <rPr>
            <b/>
            <sz val="9"/>
            <color indexed="81"/>
            <rFont val="Tahoma"/>
            <family val="2"/>
            <charset val="204"/>
          </rPr>
          <t>Алтынбекова Бегимай:</t>
        </r>
        <r>
          <rPr>
            <sz val="9"/>
            <color indexed="81"/>
            <rFont val="Tahoma"/>
            <family val="2"/>
            <charset val="204"/>
          </rPr>
          <t xml:space="preserve">
по факту 3744</t>
        </r>
      </text>
    </comment>
    <comment ref="A107" authorId="1" shapeId="0" xr:uid="{32785709-52A5-4E71-8464-82323FDA7F5F}">
      <text>
        <r>
          <rPr>
            <b/>
            <sz val="9"/>
            <color indexed="81"/>
            <rFont val="Tahoma"/>
            <charset val="1"/>
          </rPr>
          <t>Шулин Никита:</t>
        </r>
        <r>
          <rPr>
            <sz val="9"/>
            <color indexed="81"/>
            <rFont val="Tahoma"/>
            <charset val="1"/>
          </rPr>
          <t xml:space="preserve">
выставил верхние пороговые значения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Алтынбекова Бегимай</author>
    <author>Шулин Никита</author>
  </authors>
  <commentList>
    <comment ref="G10" authorId="0" shapeId="0" xr:uid="{ABD8BF86-26EA-4B0B-8DC0-27CD7ADBA8CE}">
      <text>
        <r>
          <rPr>
            <b/>
            <sz val="9"/>
            <color indexed="81"/>
            <rFont val="Tahoma"/>
            <family val="2"/>
            <charset val="204"/>
          </rPr>
          <t>Алтынбекова Бегимай:</t>
        </r>
        <r>
          <rPr>
            <sz val="9"/>
            <color indexed="81"/>
            <rFont val="Tahoma"/>
            <family val="2"/>
            <charset val="204"/>
          </rPr>
          <t xml:space="preserve">
1 уч. до 2058 года, 2 уч. до 2056 года</t>
        </r>
      </text>
    </comment>
    <comment ref="G14" authorId="0" shapeId="0" xr:uid="{0574660E-B08B-44D7-ABFC-D6D85ED44824}">
      <text>
        <r>
          <rPr>
            <b/>
            <sz val="9"/>
            <color indexed="81"/>
            <rFont val="Tahoma"/>
            <family val="2"/>
            <charset val="204"/>
          </rPr>
          <t>Алтынбекова Бегимай:</t>
        </r>
        <r>
          <rPr>
            <sz val="9"/>
            <color indexed="81"/>
            <rFont val="Tahoma"/>
            <family val="2"/>
            <charset val="204"/>
          </rPr>
          <t xml:space="preserve">
5700 общая площадь</t>
        </r>
      </text>
    </comment>
    <comment ref="B25" authorId="1" shapeId="0" xr:uid="{4159ACEC-0136-41FF-A911-7CDC796C8C25}">
      <text>
        <r>
          <rPr>
            <b/>
            <sz val="9"/>
            <color indexed="81"/>
            <rFont val="Tahoma"/>
            <charset val="1"/>
          </rPr>
          <t>Шулин Никита:</t>
        </r>
        <r>
          <rPr>
            <sz val="9"/>
            <color indexed="81"/>
            <rFont val="Tahoma"/>
            <charset val="1"/>
          </rPr>
          <t xml:space="preserve">
здесь в процессе мы решили что база тянет на хорошее</t>
        </r>
      </text>
    </comment>
    <comment ref="G29" authorId="0" shapeId="0" xr:uid="{53F996BB-554A-42DB-ADDA-8010C900F682}">
      <text>
        <r>
          <rPr>
            <b/>
            <sz val="9"/>
            <color indexed="81"/>
            <rFont val="Tahoma"/>
            <family val="2"/>
            <charset val="204"/>
          </rPr>
          <t>Алтынбекова Бегимай:</t>
        </r>
        <r>
          <rPr>
            <sz val="9"/>
            <color indexed="81"/>
            <rFont val="Tahoma"/>
            <family val="2"/>
            <charset val="204"/>
          </rPr>
          <t xml:space="preserve">
1 часток:
по документам 6640
по факту 6936
2 участок:
по документам 5000 на 49 лет и 595 на 5 лет
по факту 5595</t>
        </r>
      </text>
    </comment>
    <comment ref="J29" authorId="0" shapeId="0" xr:uid="{873CBD75-6798-472D-8C9A-0B02877F3A79}">
      <text>
        <r>
          <rPr>
            <b/>
            <sz val="9"/>
            <color indexed="81"/>
            <rFont val="Tahoma"/>
            <family val="2"/>
            <charset val="204"/>
          </rPr>
          <t>Алтынбекова Бегимай:</t>
        </r>
        <r>
          <rPr>
            <sz val="9"/>
            <color indexed="81"/>
            <rFont val="Tahoma"/>
            <family val="2"/>
            <charset val="204"/>
          </rPr>
          <t xml:space="preserve">
по факту 3744</t>
        </r>
      </text>
    </comment>
    <comment ref="A107" authorId="1" shapeId="0" xr:uid="{E9320928-DDB8-41B7-B8D9-09211B96A36F}">
      <text>
        <r>
          <rPr>
            <b/>
            <sz val="9"/>
            <color indexed="81"/>
            <rFont val="Tahoma"/>
            <charset val="1"/>
          </rPr>
          <t>Шулин Никита:</t>
        </r>
        <r>
          <rPr>
            <sz val="9"/>
            <color indexed="81"/>
            <rFont val="Tahoma"/>
            <charset val="1"/>
          </rPr>
          <t xml:space="preserve">
выставил верхние пороговые значения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Алтынбекова Бегимай</author>
  </authors>
  <commentList>
    <comment ref="G10" authorId="0" shapeId="0" xr:uid="{1A0FB0F3-0F70-4EF4-A97A-2929CB4E0E85}">
      <text>
        <r>
          <rPr>
            <b/>
            <sz val="9"/>
            <color indexed="81"/>
            <rFont val="Tahoma"/>
            <family val="2"/>
            <charset val="204"/>
          </rPr>
          <t>Алтынбекова Бегимай:</t>
        </r>
        <r>
          <rPr>
            <sz val="9"/>
            <color indexed="81"/>
            <rFont val="Tahoma"/>
            <family val="2"/>
            <charset val="204"/>
          </rPr>
          <t xml:space="preserve">
1 уч. до 2058 года, 2 уч. до 2056 года</t>
        </r>
      </text>
    </comment>
    <comment ref="G14" authorId="0" shapeId="0" xr:uid="{57E93023-ABAD-46E0-98B4-9FF773F4056A}">
      <text>
        <r>
          <rPr>
            <b/>
            <sz val="9"/>
            <color indexed="81"/>
            <rFont val="Tahoma"/>
            <family val="2"/>
            <charset val="204"/>
          </rPr>
          <t>Алтынбекова Бегимай:</t>
        </r>
        <r>
          <rPr>
            <sz val="9"/>
            <color indexed="81"/>
            <rFont val="Tahoma"/>
            <family val="2"/>
            <charset val="204"/>
          </rPr>
          <t xml:space="preserve">
5700 общая площадь</t>
        </r>
      </text>
    </comment>
    <comment ref="G25" authorId="0" shapeId="0" xr:uid="{FA028499-832D-4002-99AD-4D5D1C28B60E}">
      <text>
        <r>
          <rPr>
            <b/>
            <sz val="9"/>
            <color indexed="81"/>
            <rFont val="Tahoma"/>
            <family val="2"/>
            <charset val="204"/>
          </rPr>
          <t>Алтынбекова Бегимай:</t>
        </r>
        <r>
          <rPr>
            <sz val="9"/>
            <color indexed="81"/>
            <rFont val="Tahoma"/>
            <family val="2"/>
            <charset val="204"/>
          </rPr>
          <t xml:space="preserve">
1 часток:
по документам 6640
по факту 6936
2 участок:
по документам 5000 на 49 лет и 595 на 5 лет
по факту 5595</t>
        </r>
      </text>
    </comment>
    <comment ref="J25" authorId="0" shapeId="0" xr:uid="{82F79EC3-B649-42B2-8B30-FDFBCEA8B1C2}">
      <text>
        <r>
          <rPr>
            <b/>
            <sz val="9"/>
            <color indexed="81"/>
            <rFont val="Tahoma"/>
            <family val="2"/>
            <charset val="204"/>
          </rPr>
          <t>Алтынбекова Бегимай:</t>
        </r>
        <r>
          <rPr>
            <sz val="9"/>
            <color indexed="81"/>
            <rFont val="Tahoma"/>
            <family val="2"/>
            <charset val="204"/>
          </rPr>
          <t xml:space="preserve">
по факту 3744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Алтынбекова Бегимай</author>
    <author>Шулин Никита</author>
    <author>Токтогонова Ниет</author>
    <author>Эдилбай уулу Хансултан</author>
  </authors>
  <commentList>
    <comment ref="N9" authorId="0" shapeId="0" xr:uid="{7424C0E6-3764-4E05-BD44-4E66D9F88FDC}">
      <text>
        <r>
          <rPr>
            <b/>
            <sz val="9"/>
            <color indexed="81"/>
            <rFont val="Tahoma"/>
            <family val="2"/>
            <charset val="204"/>
          </rPr>
          <t>Алтынбекова Бегимай:</t>
        </r>
        <r>
          <rPr>
            <sz val="9"/>
            <color indexed="81"/>
            <rFont val="Tahoma"/>
            <family val="2"/>
            <charset val="204"/>
          </rPr>
          <t xml:space="preserve">
1 уч. до 2058 года, 2 уч. до 2056 года</t>
        </r>
      </text>
    </comment>
    <comment ref="N14" authorId="0" shapeId="0" xr:uid="{1489327A-6CC7-426E-AA1E-42DEB88E9550}">
      <text>
        <r>
          <rPr>
            <b/>
            <sz val="9"/>
            <color indexed="81"/>
            <rFont val="Tahoma"/>
            <family val="2"/>
            <charset val="204"/>
          </rPr>
          <t>Алтынбекова Бегимай:</t>
        </r>
        <r>
          <rPr>
            <sz val="9"/>
            <color indexed="81"/>
            <rFont val="Tahoma"/>
            <family val="2"/>
            <charset val="204"/>
          </rPr>
          <t xml:space="preserve">
5700 общая площадь</t>
        </r>
      </text>
    </comment>
    <comment ref="B25" authorId="1" shapeId="0" xr:uid="{39262240-2734-46BB-B2A1-7E26A16D8FAE}">
      <text>
        <r>
          <rPr>
            <b/>
            <sz val="9"/>
            <color indexed="81"/>
            <rFont val="Tahoma"/>
            <family val="2"/>
            <charset val="204"/>
          </rPr>
          <t>Шулин Никита:</t>
        </r>
        <r>
          <rPr>
            <sz val="9"/>
            <color indexed="81"/>
            <rFont val="Tahoma"/>
            <family val="2"/>
            <charset val="204"/>
          </rPr>
          <t xml:space="preserve">
принято как отл/хор</t>
        </r>
      </text>
    </comment>
    <comment ref="N28" authorId="0" shapeId="0" xr:uid="{8B6D8384-32B9-42E3-B8BE-76AE22424D74}">
      <text>
        <r>
          <rPr>
            <b/>
            <sz val="9"/>
            <color indexed="81"/>
            <rFont val="Tahoma"/>
            <family val="2"/>
            <charset val="204"/>
          </rPr>
          <t>Алтынбекова Бегимай:</t>
        </r>
        <r>
          <rPr>
            <sz val="9"/>
            <color indexed="81"/>
            <rFont val="Tahoma"/>
            <family val="2"/>
            <charset val="204"/>
          </rPr>
          <t xml:space="preserve">
1 часток:
по документам 6640
по факту 6936
2 участок:
по документам 5000 на 49 лет и 595 на 5 лет
по факту 5595</t>
        </r>
      </text>
    </comment>
    <comment ref="I34" authorId="2" shapeId="0" xr:uid="{0D64DE0D-EE88-47AA-A895-9A0513B8EBBA}">
      <text>
        <r>
          <rPr>
            <b/>
            <sz val="9"/>
            <color indexed="81"/>
            <rFont val="Tahoma"/>
            <family val="2"/>
            <charset val="204"/>
          </rPr>
          <t>Токтогонова Ниет:</t>
        </r>
        <r>
          <rPr>
            <sz val="9"/>
            <color indexed="81"/>
            <rFont val="Tahoma"/>
            <family val="2"/>
            <charset val="204"/>
          </rPr>
          <t xml:space="preserve">
в объявлении написано 1800000
</t>
        </r>
      </text>
    </comment>
    <comment ref="O34" authorId="3" shapeId="0" xr:uid="{1BE8045D-0F1A-44E5-A184-52DB967CCC4C}">
      <text>
        <r>
          <rPr>
            <b/>
            <sz val="9"/>
            <color indexed="81"/>
            <rFont val="Tahoma"/>
            <family val="2"/>
            <charset val="204"/>
          </rPr>
          <t>Эдилбай уулу Хансултан:</t>
        </r>
        <r>
          <rPr>
            <sz val="9"/>
            <color indexed="81"/>
            <rFont val="Tahoma"/>
            <family val="2"/>
            <charset val="204"/>
          </rPr>
          <t xml:space="preserve">
аналог есть с октября 2024 года. Тогда просили 1 млн., сейчас снизили на вот столько</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Алтынбекова Бегимай</author>
    <author>Шулин Никита</author>
    <author>Токтогонова Ниет</author>
    <author>Эдилбай уулу Хансултан</author>
  </authors>
  <commentList>
    <comment ref="N9" authorId="0" shapeId="0" xr:uid="{006538C2-F4B7-48F4-A628-0A8556A9F505}">
      <text>
        <r>
          <rPr>
            <b/>
            <sz val="9"/>
            <color indexed="81"/>
            <rFont val="Tahoma"/>
            <family val="2"/>
            <charset val="204"/>
          </rPr>
          <t>Алтынбекова Бегимай:</t>
        </r>
        <r>
          <rPr>
            <sz val="9"/>
            <color indexed="81"/>
            <rFont val="Tahoma"/>
            <family val="2"/>
            <charset val="204"/>
          </rPr>
          <t xml:space="preserve">
1 уч. до 2058 года, 2 уч. до 2056 года</t>
        </r>
      </text>
    </comment>
    <comment ref="N14" authorId="0" shapeId="0" xr:uid="{0E1560A6-95E5-4500-9DBB-0B767DA577E1}">
      <text>
        <r>
          <rPr>
            <b/>
            <sz val="9"/>
            <color indexed="81"/>
            <rFont val="Tahoma"/>
            <family val="2"/>
            <charset val="204"/>
          </rPr>
          <t>Алтынбекова Бегимай:</t>
        </r>
        <r>
          <rPr>
            <sz val="9"/>
            <color indexed="81"/>
            <rFont val="Tahoma"/>
            <family val="2"/>
            <charset val="204"/>
          </rPr>
          <t xml:space="preserve">
5700 общая площадь</t>
        </r>
      </text>
    </comment>
    <comment ref="B25" authorId="1" shapeId="0" xr:uid="{708A29DD-E668-4847-8A72-D5119076A959}">
      <text>
        <r>
          <rPr>
            <b/>
            <sz val="9"/>
            <color indexed="81"/>
            <rFont val="Tahoma"/>
            <family val="2"/>
            <charset val="204"/>
          </rPr>
          <t>Шулин Никита:</t>
        </r>
        <r>
          <rPr>
            <sz val="9"/>
            <color indexed="81"/>
            <rFont val="Tahoma"/>
            <family val="2"/>
            <charset val="204"/>
          </rPr>
          <t xml:space="preserve">
принято как отл/хор</t>
        </r>
      </text>
    </comment>
    <comment ref="N28" authorId="0" shapeId="0" xr:uid="{7CE786BC-C795-4273-813A-9F821D8C3853}">
      <text>
        <r>
          <rPr>
            <b/>
            <sz val="9"/>
            <color indexed="81"/>
            <rFont val="Tahoma"/>
            <family val="2"/>
            <charset val="204"/>
          </rPr>
          <t>Алтынбекова Бегимай:</t>
        </r>
        <r>
          <rPr>
            <sz val="9"/>
            <color indexed="81"/>
            <rFont val="Tahoma"/>
            <family val="2"/>
            <charset val="204"/>
          </rPr>
          <t xml:space="preserve">
1 часток:
по документам 6640
по факту 6936
2 участок:
по документам 5000 на 49 лет и 595 на 5 лет
по факту 5595</t>
        </r>
      </text>
    </comment>
    <comment ref="I34" authorId="2" shapeId="0" xr:uid="{D7148E15-5EE9-4906-B775-D42B04082AF0}">
      <text>
        <r>
          <rPr>
            <b/>
            <sz val="9"/>
            <color indexed="81"/>
            <rFont val="Tahoma"/>
            <family val="2"/>
            <charset val="204"/>
          </rPr>
          <t>Токтогонова Ниет:</t>
        </r>
        <r>
          <rPr>
            <sz val="9"/>
            <color indexed="81"/>
            <rFont val="Tahoma"/>
            <family val="2"/>
            <charset val="204"/>
          </rPr>
          <t xml:space="preserve">
в объявлении написано 1800000
</t>
        </r>
      </text>
    </comment>
    <comment ref="O34" authorId="3" shapeId="0" xr:uid="{9C3EE513-872C-433C-AD7A-B22CF3CC4218}">
      <text>
        <r>
          <rPr>
            <b/>
            <sz val="9"/>
            <color indexed="81"/>
            <rFont val="Tahoma"/>
            <family val="2"/>
            <charset val="204"/>
          </rPr>
          <t>Эдилбай уулу Хансултан:</t>
        </r>
        <r>
          <rPr>
            <sz val="9"/>
            <color indexed="81"/>
            <rFont val="Tahoma"/>
            <family val="2"/>
            <charset val="204"/>
          </rPr>
          <t xml:space="preserve">
аналог есть с октября 2024 года. Тогда просили 1 млн., сейчас снизили на вот столько</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Алтынбекова Бегимай</author>
    <author>Токтогонова Ниет</author>
    <author>Эдилбай уулу Хансултан</author>
  </authors>
  <commentList>
    <comment ref="N9" authorId="0" shapeId="0" xr:uid="{77C34FF6-0910-42AF-8385-C5B5207D3A4D}">
      <text>
        <r>
          <rPr>
            <b/>
            <sz val="9"/>
            <color indexed="81"/>
            <rFont val="Tahoma"/>
            <family val="2"/>
            <charset val="204"/>
          </rPr>
          <t>Алтынбекова Бегимай:</t>
        </r>
        <r>
          <rPr>
            <sz val="9"/>
            <color indexed="81"/>
            <rFont val="Tahoma"/>
            <family val="2"/>
            <charset val="204"/>
          </rPr>
          <t xml:space="preserve">
1 уч. до 2058 года, 2 уч. до 2056 года</t>
        </r>
      </text>
    </comment>
    <comment ref="N14" authorId="0" shapeId="0" xr:uid="{7132D7D2-2916-45B5-B37F-6A63D68529B8}">
      <text>
        <r>
          <rPr>
            <b/>
            <sz val="9"/>
            <color indexed="81"/>
            <rFont val="Tahoma"/>
            <family val="2"/>
            <charset val="204"/>
          </rPr>
          <t>Алтынбекова Бегимай:</t>
        </r>
        <r>
          <rPr>
            <sz val="9"/>
            <color indexed="81"/>
            <rFont val="Tahoma"/>
            <family val="2"/>
            <charset val="204"/>
          </rPr>
          <t xml:space="preserve">
5700 общая площадь</t>
        </r>
      </text>
    </comment>
    <comment ref="N24" authorId="0" shapeId="0" xr:uid="{B69EAC11-4B2C-4A71-B397-A8908A8198A5}">
      <text>
        <r>
          <rPr>
            <b/>
            <sz val="9"/>
            <color indexed="81"/>
            <rFont val="Tahoma"/>
            <family val="2"/>
            <charset val="204"/>
          </rPr>
          <t>Алтынбекова Бегимай:</t>
        </r>
        <r>
          <rPr>
            <sz val="9"/>
            <color indexed="81"/>
            <rFont val="Tahoma"/>
            <family val="2"/>
            <charset val="204"/>
          </rPr>
          <t xml:space="preserve">
1 часток:
по документам 6640
по факту 6936
2 участок:
по документам 5000 на 49 лет и 595 на 5 лет
по факту 5595</t>
        </r>
      </text>
    </comment>
    <comment ref="I30" authorId="1" shapeId="0" xr:uid="{9DF6F703-8FCA-413D-8B3E-E2C479056566}">
      <text>
        <r>
          <rPr>
            <b/>
            <sz val="9"/>
            <color indexed="81"/>
            <rFont val="Tahoma"/>
            <family val="2"/>
            <charset val="204"/>
          </rPr>
          <t>Токтогонова Ниет:</t>
        </r>
        <r>
          <rPr>
            <sz val="9"/>
            <color indexed="81"/>
            <rFont val="Tahoma"/>
            <family val="2"/>
            <charset val="204"/>
          </rPr>
          <t xml:space="preserve">
в объявлении написано 1800000
</t>
        </r>
      </text>
    </comment>
    <comment ref="O30" authorId="2" shapeId="0" xr:uid="{F259B96D-9BBD-4D16-96D8-7B0FAE8294DB}">
      <text>
        <r>
          <rPr>
            <b/>
            <sz val="9"/>
            <color indexed="81"/>
            <rFont val="Tahoma"/>
            <family val="2"/>
            <charset val="204"/>
          </rPr>
          <t>Эдилбай уулу Хансултан:</t>
        </r>
        <r>
          <rPr>
            <sz val="9"/>
            <color indexed="81"/>
            <rFont val="Tahoma"/>
            <family val="2"/>
            <charset val="204"/>
          </rPr>
          <t xml:space="preserve">
аналог есть с октября 2024 года. Тогда просили 1 млн., сейчас снизили на вот столько</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NIKITA</author>
    <author>Токтогонова Ниет</author>
  </authors>
  <commentList>
    <comment ref="H8" authorId="0" shapeId="0" xr:uid="{6DA04B0D-A709-42DD-A019-0BB3A62C4C5F}">
      <text>
        <r>
          <rPr>
            <b/>
            <sz val="9"/>
            <color indexed="81"/>
            <rFont val="Tahoma"/>
            <family val="2"/>
            <charset val="204"/>
          </rPr>
          <t>NIKITA:</t>
        </r>
        <r>
          <rPr>
            <sz val="9"/>
            <color indexed="81"/>
            <rFont val="Tahoma"/>
            <family val="2"/>
            <charset val="204"/>
          </rPr>
          <t xml:space="preserve">
оценивали эту базу в 2020 г для Дордой Балыкчы</t>
        </r>
      </text>
    </comment>
    <comment ref="I12" authorId="1" shapeId="0" xr:uid="{3678C556-5FEA-4D2D-A163-921515D7DFF8}">
      <text>
        <r>
          <rPr>
            <b/>
            <sz val="9"/>
            <color indexed="81"/>
            <rFont val="Tahoma"/>
            <family val="2"/>
            <charset val="204"/>
          </rPr>
          <t>Токтогонова Ниет:</t>
        </r>
        <r>
          <rPr>
            <sz val="9"/>
            <color indexed="81"/>
            <rFont val="Tahoma"/>
            <family val="2"/>
            <charset val="204"/>
          </rPr>
          <t xml:space="preserve">
если что могут поменять всё под коммерцию
</t>
        </r>
      </text>
    </comment>
    <comment ref="B23" authorId="1" shapeId="0" xr:uid="{54397E67-F08C-42DD-B771-EA568F592F93}">
      <text>
        <r>
          <rPr>
            <b/>
            <sz val="9"/>
            <color indexed="81"/>
            <rFont val="Tahoma"/>
            <family val="2"/>
            <charset val="204"/>
          </rPr>
          <t>Токтогонова Ниет:</t>
        </r>
        <r>
          <rPr>
            <sz val="9"/>
            <color indexed="81"/>
            <rFont val="Tahoma"/>
            <family val="2"/>
            <charset val="204"/>
          </rPr>
          <t xml:space="preserve">
пескоблока в прошлой оценке не было
</t>
        </r>
      </text>
    </comment>
    <comment ref="M27" authorId="1" shapeId="0" xr:uid="{39B89EA0-8B51-4094-BFDB-7C5CE16CD1D0}">
      <text>
        <r>
          <rPr>
            <b/>
            <sz val="9"/>
            <color indexed="81"/>
            <rFont val="Tahoma"/>
            <family val="2"/>
            <charset val="204"/>
          </rPr>
          <t>Токтогонова Ниет:</t>
        </r>
        <r>
          <rPr>
            <sz val="9"/>
            <color indexed="81"/>
            <rFont val="Tahoma"/>
            <family val="2"/>
            <charset val="204"/>
          </rPr>
          <t xml:space="preserve">
на временном пользовании на 49 лет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NIKITA</author>
    <author>Токтогонова Ниет</author>
  </authors>
  <commentList>
    <comment ref="H8" authorId="0" shapeId="0" xr:uid="{6A952969-05C9-4F67-93C3-46F8A85A1934}">
      <text>
        <r>
          <rPr>
            <b/>
            <sz val="9"/>
            <color indexed="81"/>
            <rFont val="Tahoma"/>
            <family val="2"/>
            <charset val="204"/>
          </rPr>
          <t>NIKITA:</t>
        </r>
        <r>
          <rPr>
            <sz val="9"/>
            <color indexed="81"/>
            <rFont val="Tahoma"/>
            <family val="2"/>
            <charset val="204"/>
          </rPr>
          <t xml:space="preserve">
оценивали эту базу в 2020 г для Дордой Балыкчы</t>
        </r>
      </text>
    </comment>
    <comment ref="I12" authorId="1" shapeId="0" xr:uid="{0C3498B9-94A7-4E0A-A2EF-B21058FF8E65}">
      <text>
        <r>
          <rPr>
            <b/>
            <sz val="9"/>
            <color indexed="81"/>
            <rFont val="Tahoma"/>
            <family val="2"/>
            <charset val="204"/>
          </rPr>
          <t>Токтогонова Ниет:</t>
        </r>
        <r>
          <rPr>
            <sz val="9"/>
            <color indexed="81"/>
            <rFont val="Tahoma"/>
            <family val="2"/>
            <charset val="204"/>
          </rPr>
          <t xml:space="preserve">
если что могут поменять всё под коммерцию
</t>
        </r>
      </text>
    </comment>
    <comment ref="B23" authorId="1" shapeId="0" xr:uid="{D50802A0-B6CF-474F-B255-F4A6164CBDDA}">
      <text>
        <r>
          <rPr>
            <b/>
            <sz val="9"/>
            <color indexed="81"/>
            <rFont val="Tahoma"/>
            <family val="2"/>
            <charset val="204"/>
          </rPr>
          <t>Токтогонова Ниет:</t>
        </r>
        <r>
          <rPr>
            <sz val="9"/>
            <color indexed="81"/>
            <rFont val="Tahoma"/>
            <family val="2"/>
            <charset val="204"/>
          </rPr>
          <t xml:space="preserve">
пескоблока в прошлой оценке не было
</t>
        </r>
      </text>
    </comment>
    <comment ref="M27" authorId="1" shapeId="0" xr:uid="{15CE783C-902C-4D42-8DF0-46794E6A7AC5}">
      <text>
        <r>
          <rPr>
            <b/>
            <sz val="9"/>
            <color indexed="81"/>
            <rFont val="Tahoma"/>
            <family val="2"/>
            <charset val="204"/>
          </rPr>
          <t>Токтогонова Ниет:</t>
        </r>
        <r>
          <rPr>
            <sz val="9"/>
            <color indexed="81"/>
            <rFont val="Tahoma"/>
            <family val="2"/>
            <charset val="204"/>
          </rPr>
          <t xml:space="preserve">
на временном пользовании на 49 лет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NIKITA</author>
    <author>Токтогонова Ниет</author>
  </authors>
  <commentList>
    <comment ref="H8" authorId="0" shapeId="0" xr:uid="{C266CA71-3188-41DC-8534-8872E783F3F8}">
      <text>
        <r>
          <rPr>
            <b/>
            <sz val="9"/>
            <color indexed="81"/>
            <rFont val="Tahoma"/>
            <family val="2"/>
            <charset val="204"/>
          </rPr>
          <t>NIKITA:</t>
        </r>
        <r>
          <rPr>
            <sz val="9"/>
            <color indexed="81"/>
            <rFont val="Tahoma"/>
            <family val="2"/>
            <charset val="204"/>
          </rPr>
          <t xml:space="preserve">
оценивали эту базу в 2020 г для Дордой Балыкчы</t>
        </r>
      </text>
    </comment>
    <comment ref="I12" authorId="1" shapeId="0" xr:uid="{A43F426E-8D56-43E0-9D1A-2ED1C3A6925C}">
      <text>
        <r>
          <rPr>
            <b/>
            <sz val="9"/>
            <color indexed="81"/>
            <rFont val="Tahoma"/>
            <family val="2"/>
            <charset val="204"/>
          </rPr>
          <t>Токтогонова Ниет:</t>
        </r>
        <r>
          <rPr>
            <sz val="9"/>
            <color indexed="81"/>
            <rFont val="Tahoma"/>
            <family val="2"/>
            <charset val="204"/>
          </rPr>
          <t xml:space="preserve">
если что могут поменять всё под коммерцию
</t>
        </r>
      </text>
    </comment>
    <comment ref="B19" authorId="1" shapeId="0" xr:uid="{070D43EE-CFAA-4FCF-BD16-C8DA6053D101}">
      <text>
        <r>
          <rPr>
            <b/>
            <sz val="9"/>
            <color indexed="81"/>
            <rFont val="Tahoma"/>
            <family val="2"/>
            <charset val="204"/>
          </rPr>
          <t>Токтогонова Ниет:</t>
        </r>
        <r>
          <rPr>
            <sz val="9"/>
            <color indexed="81"/>
            <rFont val="Tahoma"/>
            <family val="2"/>
            <charset val="204"/>
          </rPr>
          <t xml:space="preserve">
пескоблока в прошлой оценке не было
</t>
        </r>
      </text>
    </comment>
    <comment ref="M23" authorId="1" shapeId="0" xr:uid="{1408F8CB-5029-42DB-91B8-B0D5248E48CF}">
      <text>
        <r>
          <rPr>
            <b/>
            <sz val="9"/>
            <color indexed="81"/>
            <rFont val="Tahoma"/>
            <family val="2"/>
            <charset val="204"/>
          </rPr>
          <t>Токтогонова Ниет:</t>
        </r>
        <r>
          <rPr>
            <sz val="9"/>
            <color indexed="81"/>
            <rFont val="Tahoma"/>
            <family val="2"/>
            <charset val="204"/>
          </rPr>
          <t xml:space="preserve">
на временном пользовании на 49 лет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H12" authorId="0" shapeId="0" xr:uid="{7F5F7B49-FD3A-4DAD-A15F-447E19897A23}">
      <text>
        <r>
          <rPr>
            <b/>
            <sz val="9"/>
            <color indexed="81"/>
            <rFont val="Tahoma"/>
            <family val="2"/>
            <charset val="204"/>
          </rPr>
          <t>Dell:</t>
        </r>
        <r>
          <rPr>
            <sz val="9"/>
            <color indexed="81"/>
            <rFont val="Tahoma"/>
            <family val="2"/>
            <charset val="204"/>
          </rPr>
          <t xml:space="preserve">
выезд на ул. Джамгерчинова</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H12" authorId="0" shapeId="0" xr:uid="{41F2ED16-46F5-48F5-8C4C-FC417C50552E}">
      <text>
        <r>
          <rPr>
            <b/>
            <sz val="9"/>
            <color indexed="81"/>
            <rFont val="Tahoma"/>
            <family val="2"/>
            <charset val="204"/>
          </rPr>
          <t>Dell:</t>
        </r>
        <r>
          <rPr>
            <sz val="9"/>
            <color indexed="81"/>
            <rFont val="Tahoma"/>
            <family val="2"/>
            <charset val="204"/>
          </rPr>
          <t xml:space="preserve">
выезд на ул. Джамгерчинова</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H12" authorId="0" shapeId="0" xr:uid="{D7C66E1A-A211-49C3-B530-8B0620F2C9C2}">
      <text>
        <r>
          <rPr>
            <b/>
            <sz val="9"/>
            <color indexed="81"/>
            <rFont val="Tahoma"/>
            <family val="2"/>
            <charset val="204"/>
          </rPr>
          <t>Dell:</t>
        </r>
        <r>
          <rPr>
            <sz val="9"/>
            <color indexed="81"/>
            <rFont val="Tahoma"/>
            <family val="2"/>
            <charset val="204"/>
          </rPr>
          <t xml:space="preserve">
выезд на ул. Джамгерчинова</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<sst xmlns="http://schemas.openxmlformats.org/spreadsheetml/2006/main" count="5472" uniqueCount="654">
  <si>
    <t>№</t>
  </si>
  <si>
    <t>Значение</t>
  </si>
  <si>
    <t>Высота</t>
  </si>
  <si>
    <t>До 3 м.</t>
  </si>
  <si>
    <t>3-5 м.</t>
  </si>
  <si>
    <t>5-8 м.</t>
  </si>
  <si>
    <t>Коэффициент</t>
  </si>
  <si>
    <t>Наличие / Возможность кран-балки</t>
  </si>
  <si>
    <t>Да</t>
  </si>
  <si>
    <t>Нет</t>
  </si>
  <si>
    <t>Полы</t>
  </si>
  <si>
    <t>Отсутствуют</t>
  </si>
  <si>
    <t>Простые</t>
  </si>
  <si>
    <t>Усиленные для техники или специальные</t>
  </si>
  <si>
    <t>Минимум</t>
  </si>
  <si>
    <t>Максимум</t>
  </si>
  <si>
    <t>Инженерное оснащение</t>
  </si>
  <si>
    <t>Отсутствует или минимальное (минимальная разводка освещения, водопровода)</t>
  </si>
  <si>
    <t xml:space="preserve">Высокое (дополнителньые системы (вентиляция, противопожарная безопасность, бесключевой доступ), возможна подводка газа, </t>
  </si>
  <si>
    <t>Комментарии</t>
  </si>
  <si>
    <t>до 3 включительно</t>
  </si>
  <si>
    <t>Границы</t>
  </si>
  <si>
    <t>Более 8 м. (условно - 10 м в среднем)</t>
  </si>
  <si>
    <t>Стандартное (по всем помещениям разводка освещения, водопровод, канализация)</t>
  </si>
  <si>
    <t>0,33-0,55</t>
  </si>
  <si>
    <t>0,55-0,77</t>
  </si>
  <si>
    <t>0,77-1</t>
  </si>
  <si>
    <t>Что получаем по коэффициентам</t>
  </si>
  <si>
    <t>Цена на рынке</t>
  </si>
  <si>
    <t xml:space="preserve">Коэффициент предлагаю сделать динамическим, чтобы не стоял вопрос с границами высот. </t>
  </si>
  <si>
    <t>Среднее значение самого дорогого по карману</t>
  </si>
  <si>
    <t>Среднее значение самого дешевого по карману</t>
  </si>
  <si>
    <t>Самое дорогое помещение классом 1</t>
  </si>
  <si>
    <t>Самое дешевое помещение классом 0,1</t>
  </si>
  <si>
    <t>Конструкция (признаки)</t>
  </si>
  <si>
    <t>Блочные бескаркасные или металлокаркасные холодные</t>
  </si>
  <si>
    <t>Блочные по железобетонному каркасу, без утепления</t>
  </si>
  <si>
    <t>Металлокаркасные теплые</t>
  </si>
  <si>
    <t>Блочные по железобетонному каркасу, утепленные</t>
  </si>
  <si>
    <t>Характеристики</t>
  </si>
  <si>
    <t>Не установлено (по умолчанию)</t>
  </si>
  <si>
    <t>Можно выделить несколько и тогда считается средний коэффициент и не надо литеру делить на составные помещения</t>
  </si>
  <si>
    <t>Коэф</t>
  </si>
  <si>
    <t>10 ровно</t>
  </si>
  <si>
    <t>Высоста</t>
  </si>
  <si>
    <t>Прирост
высоты</t>
  </si>
  <si>
    <t>Прирост
цены</t>
  </si>
  <si>
    <t>Адекватно</t>
  </si>
  <si>
    <t>Дороговато</t>
  </si>
  <si>
    <t>3,2-4 м.</t>
  </si>
  <si>
    <t>Более 4 м. (условно - 5 м в среднем)</t>
  </si>
  <si>
    <t>Архитектура</t>
  </si>
  <si>
    <t>Устаревшая</t>
  </si>
  <si>
    <t>Современная</t>
  </si>
  <si>
    <t>Устаревшая/
Современная</t>
  </si>
  <si>
    <t>Конструкция</t>
  </si>
  <si>
    <t>Некапитальная</t>
  </si>
  <si>
    <t>Капитальная</t>
  </si>
  <si>
    <t>Смешанная</t>
  </si>
  <si>
    <t>Планировка</t>
  </si>
  <si>
    <t>Свободная</t>
  </si>
  <si>
    <t>Кабинетная</t>
  </si>
  <si>
    <t>Уровень отделки</t>
  </si>
  <si>
    <t>Без отделки 
(потолки не подшиты или не отделаны, стены неоштукатурены или неокрашены, полы без покрытий со стяжкой или без)</t>
  </si>
  <si>
    <t xml:space="preserve">Простая 
(потолки и стены оштукатурены, окрашены или отделаны дешевыми материалами (МДФ), полы линолеумные </t>
  </si>
  <si>
    <t>Стандартная 
(современная отделка с применением актуальных материалов)</t>
  </si>
  <si>
    <t xml:space="preserve">Повышенная 
(современная отделка с применением дорогих материалов и дизайнерских решений) </t>
  </si>
  <si>
    <t>Пример 1</t>
  </si>
  <si>
    <t>Пример 2</t>
  </si>
  <si>
    <t>До 2,6 м.</t>
  </si>
  <si>
    <t>2,6-3,2 м.</t>
  </si>
  <si>
    <t>до 2,6 включительно</t>
  </si>
  <si>
    <t>5 ровно</t>
  </si>
  <si>
    <t>Коэффициент предлагаю сделать динамическим, чтобы не стоял вопрос с границами высот. Высота свыше 5 м не увеличивает коэффициент более 1</t>
  </si>
  <si>
    <t>Об Оц</t>
  </si>
  <si>
    <t>Карманы классов</t>
  </si>
  <si>
    <t>Класс 2</t>
  </si>
  <si>
    <t>Класс 1</t>
  </si>
  <si>
    <t>Класс 3</t>
  </si>
  <si>
    <t>Класс 4</t>
  </si>
  <si>
    <t>Гражданские</t>
  </si>
  <si>
    <t>Пр-склад и иные корпус</t>
  </si>
  <si>
    <t>Прочие некач и некап</t>
  </si>
  <si>
    <t>Площадь</t>
  </si>
  <si>
    <t>Характеристика</t>
  </si>
  <si>
    <t>Тип</t>
  </si>
  <si>
    <t>Объект</t>
  </si>
  <si>
    <t>гражд</t>
  </si>
  <si>
    <t>произв</t>
  </si>
  <si>
    <t>Высота коэф.</t>
  </si>
  <si>
    <t>Наличие / Возможность кран-балки коэф.</t>
  </si>
  <si>
    <t>Конструкция коэф.</t>
  </si>
  <si>
    <t>Полы коэф.</t>
  </si>
  <si>
    <t>Инженерное оснащение коэф.</t>
  </si>
  <si>
    <t>Архитектура коэф.</t>
  </si>
  <si>
    <t>Планировка коэф.</t>
  </si>
  <si>
    <t>Уровень отделки коэф.</t>
  </si>
  <si>
    <t>Объект оценки/ аналог</t>
  </si>
  <si>
    <r>
      <t>Площадь, м</t>
    </r>
    <r>
      <rPr>
        <vertAlign val="superscript"/>
        <sz val="11"/>
        <color theme="1"/>
        <rFont val="Cambria"/>
        <family val="1"/>
        <charset val="204"/>
        <scheme val="minor"/>
      </rPr>
      <t>2</t>
    </r>
  </si>
  <si>
    <t>Объект оценки 1</t>
  </si>
  <si>
    <t>Нежилое помещение (Склады)</t>
  </si>
  <si>
    <t>Нежилое помещение с пристройкой (Склады)</t>
  </si>
  <si>
    <t>Нежилое помещение</t>
  </si>
  <si>
    <t>Объект оценки 2</t>
  </si>
  <si>
    <t>Нежилое помещение (склады)</t>
  </si>
  <si>
    <t>Нежилое помещение с пристройко (склады)</t>
  </si>
  <si>
    <t>Объект оценки 3</t>
  </si>
  <si>
    <t>Нежилое помещение швейный цех</t>
  </si>
  <si>
    <t>Нежилое помещение склад</t>
  </si>
  <si>
    <t>Дополнительная пристройка</t>
  </si>
  <si>
    <t>Навес</t>
  </si>
  <si>
    <t>Пожарное депо</t>
  </si>
  <si>
    <t>Комната охраны</t>
  </si>
  <si>
    <t>ТП</t>
  </si>
  <si>
    <t>Гараж металлический</t>
  </si>
  <si>
    <t>Нежилое помещение (гараж)</t>
  </si>
  <si>
    <t>прочие</t>
  </si>
  <si>
    <t>Объект оценки 4</t>
  </si>
  <si>
    <t>Производственное нежилое помещение</t>
  </si>
  <si>
    <t>Производственное помещение</t>
  </si>
  <si>
    <t>Площадка</t>
  </si>
  <si>
    <t>КПП</t>
  </si>
  <si>
    <t>Цена предложения, долл. США</t>
  </si>
  <si>
    <t>Аналог 1</t>
  </si>
  <si>
    <t>Аналог 2</t>
  </si>
  <si>
    <t>АБК</t>
  </si>
  <si>
    <t>Аналог 3</t>
  </si>
  <si>
    <t>Аналог 4</t>
  </si>
  <si>
    <t>Аналог 5</t>
  </si>
  <si>
    <t>произв класс 1</t>
  </si>
  <si>
    <t>произв класс 2</t>
  </si>
  <si>
    <t>произв класс 3</t>
  </si>
  <si>
    <t>произв класс 4</t>
  </si>
  <si>
    <t>гражд класс 1</t>
  </si>
  <si>
    <t>гражд класс 2</t>
  </si>
  <si>
    <t>гражд класс 3</t>
  </si>
  <si>
    <t>гражд класс 4</t>
  </si>
  <si>
    <t>Класс</t>
  </si>
  <si>
    <t>видео на небесно-голубом</t>
  </si>
  <si>
    <t>землю продают по 300 долл за кв метр</t>
  </si>
  <si>
    <t>https://www.house.kg/details/412467692755372e6e54-35925206</t>
  </si>
  <si>
    <t>https://www.house.kg/details/5608139698b28316b0b65-09865274</t>
  </si>
  <si>
    <t>https://lalafo.kg/bishkek/ads/kirkomstrom-ul-murmanskaa-id-93341570</t>
  </si>
  <si>
    <t>Расчет интергельпо 1-5а, 1ж</t>
  </si>
  <si>
    <t>только за сауну, в обявлении еще продают швейный цех</t>
  </si>
  <si>
    <t>Аналог 6 с ЗУ</t>
  </si>
  <si>
    <t>https://www.house.kg/details/8176522694106f662ac11-40069555</t>
  </si>
  <si>
    <t>Аналог 10</t>
  </si>
  <si>
    <t>Аналог 9</t>
  </si>
  <si>
    <t>Аналог 8</t>
  </si>
  <si>
    <t>Аналог 7</t>
  </si>
  <si>
    <t>https://www.house.kg/details/3757909696a096de6bf81-41372992</t>
  </si>
  <si>
    <t>https://www.house.kg/details/6681303693ff396e40897-43314147</t>
  </si>
  <si>
    <t>https://www.house.kg/details/430257469856b3fdef002-08932538</t>
  </si>
  <si>
    <t>https://www.house.kg/details/581708268babda98f5598-32400779</t>
  </si>
  <si>
    <t>https://www.house.kg/details/397065967e2c950393ee8-60015422</t>
  </si>
  <si>
    <t>https://www.house.kg/details/30035586963340e143a39-64654112</t>
  </si>
  <si>
    <t>https://lalafo.kg/bishkek/ads/zemelnyj-ucastok-dla-kommerceskogo-ispolzovania-v-biskeke-id-72351667</t>
  </si>
  <si>
    <t>Наименование показателя</t>
  </si>
  <si>
    <t>Объект оценки</t>
  </si>
  <si>
    <t xml:space="preserve">Дата </t>
  </si>
  <si>
    <t>Источник информации</t>
  </si>
  <si>
    <t>0503 67 00 67</t>
  </si>
  <si>
    <t>0777 58 49 77</t>
  </si>
  <si>
    <t>0702 88 88 43</t>
  </si>
  <si>
    <t>0501 25 58 88</t>
  </si>
  <si>
    <t>0509 13 36 39</t>
  </si>
  <si>
    <t>0709 88 65 88</t>
  </si>
  <si>
    <t>0555 70 33 77</t>
  </si>
  <si>
    <t xml:space="preserve">Состав оцениваемых прав </t>
  </si>
  <si>
    <t>полное право собственности</t>
  </si>
  <si>
    <t>право временного пользования, сроком на 49 лет</t>
  </si>
  <si>
    <t>Местоположение</t>
  </si>
  <si>
    <t>г. Бишкек, ул. Интергельпо, д. 1/38</t>
  </si>
  <si>
    <t>г. Бишкек, ул. Матросова, 1а/ ул. Карадарьинская</t>
  </si>
  <si>
    <t>г. Бишкек, ул. Республиканская, д. 146/1</t>
  </si>
  <si>
    <t>г. Бишкек, ул. Месароша, д. 101/1 и ул. Кронштадтская, д. 21/1</t>
  </si>
  <si>
    <t>г. Бишкек, ул. Интергельпо, д. 4/1</t>
  </si>
  <si>
    <t>г. Бишкек, ул. Профсоюзная, д. 47</t>
  </si>
  <si>
    <t>г. Бишкек, ул. Мурманская, д. 56/1</t>
  </si>
  <si>
    <t>Специфика местоположения</t>
  </si>
  <si>
    <t>внутри района</t>
  </si>
  <si>
    <t>на второстепенной трассе ул. Республиканская</t>
  </si>
  <si>
    <t>на пересечении трасс ул. Месароша/ ул. Кронштадтская</t>
  </si>
  <si>
    <t>на трассе ул. Профсоюзная</t>
  </si>
  <si>
    <t>на трассе ул. Мурманская</t>
  </si>
  <si>
    <t>Целевое назначение объекта</t>
  </si>
  <si>
    <t>производственное</t>
  </si>
  <si>
    <t>под нежилое помещение</t>
  </si>
  <si>
    <t>пром зона</t>
  </si>
  <si>
    <r>
      <t>Общая площадь построек, м</t>
    </r>
    <r>
      <rPr>
        <b/>
        <vertAlign val="superscript"/>
        <sz val="10"/>
        <color indexed="8"/>
        <rFont val="Cambria"/>
        <family val="1"/>
        <charset val="204"/>
        <scheme val="major"/>
      </rPr>
      <t>2</t>
    </r>
    <r>
      <rPr>
        <b/>
        <sz val="10"/>
        <color indexed="8"/>
        <rFont val="Cambria"/>
        <family val="1"/>
        <charset val="204"/>
        <scheme val="major"/>
      </rPr>
      <t>, из них</t>
    </r>
  </si>
  <si>
    <t>Административные и коммерческие помещения</t>
  </si>
  <si>
    <t>Производственно-складские помещения большой высоты</t>
  </si>
  <si>
    <t>Производственно-складские помещения средней высоты</t>
  </si>
  <si>
    <t xml:space="preserve">Некапитальные производственно-складские помещения </t>
  </si>
  <si>
    <t>А</t>
  </si>
  <si>
    <t>Б</t>
  </si>
  <si>
    <t>В</t>
  </si>
  <si>
    <t>Г 1 этаж</t>
  </si>
  <si>
    <t>1 этаж</t>
  </si>
  <si>
    <t>2 этаж</t>
  </si>
  <si>
    <t>Прочие некапитальные строения</t>
  </si>
  <si>
    <t>Основной материал стен</t>
  </si>
  <si>
    <t>жженый кирпич/ металлоконструкции</t>
  </si>
  <si>
    <t>металлоконструкции/ сендвич панели</t>
  </si>
  <si>
    <t>ж/б блоки/ пескоблок/ жжёный кирпич</t>
  </si>
  <si>
    <t>ж/б панели/ жженый кирпич</t>
  </si>
  <si>
    <t xml:space="preserve"> жженый кирпич/ сендвич панели/ металлоконструкции</t>
  </si>
  <si>
    <t>жженый кирпич/ ж/б панели/ дерево</t>
  </si>
  <si>
    <t>ж/б конструкции/ жжёный кирпич</t>
  </si>
  <si>
    <t xml:space="preserve"> жженый кирпич/металлоконструкции</t>
  </si>
  <si>
    <t>Состояние зданий</t>
  </si>
  <si>
    <t>хорошее/удовл.</t>
  </si>
  <si>
    <t>хорошее</t>
  </si>
  <si>
    <t>удовлетворительное</t>
  </si>
  <si>
    <t>Форма земельного участка</t>
  </si>
  <si>
    <t>близка к прямоугольной</t>
  </si>
  <si>
    <t>неправильный многоугольник</t>
  </si>
  <si>
    <t>близка к прямоугольной, г-образная</t>
  </si>
  <si>
    <t>прямоугольная</t>
  </si>
  <si>
    <t>Рельеф участка</t>
  </si>
  <si>
    <t>ровный</t>
  </si>
  <si>
    <t>Наличие сервитутов</t>
  </si>
  <si>
    <r>
      <t>1 372,0 м</t>
    </r>
    <r>
      <rPr>
        <vertAlign val="superscript"/>
        <sz val="10"/>
        <rFont val="Cambria"/>
        <family val="1"/>
        <charset val="204"/>
        <scheme val="major"/>
      </rPr>
      <t>2</t>
    </r>
    <r>
      <rPr>
        <sz val="10"/>
        <rFont val="Cambria"/>
        <family val="1"/>
        <charset val="204"/>
        <scheme val="major"/>
      </rPr>
      <t xml:space="preserve"> под проход и проезд</t>
    </r>
  </si>
  <si>
    <t>нет</t>
  </si>
  <si>
    <r>
      <t>Площадь земельного участка, м</t>
    </r>
    <r>
      <rPr>
        <b/>
        <vertAlign val="superscript"/>
        <sz val="10"/>
        <color indexed="8"/>
        <rFont val="Cambria"/>
        <family val="1"/>
        <charset val="204"/>
        <scheme val="major"/>
      </rPr>
      <t>2</t>
    </r>
  </si>
  <si>
    <t>Благоустройство территории</t>
  </si>
  <si>
    <t>территория благоустроена</t>
  </si>
  <si>
    <t xml:space="preserve"> территория благоустроена</t>
  </si>
  <si>
    <t>территория огорожена и частично благоустроена</t>
  </si>
  <si>
    <t>Наличие коммуникаций</t>
  </si>
  <si>
    <t>эл-во (ТП), водоснабжение, канализация</t>
  </si>
  <si>
    <t>эл-во (ТП), водоснабжение, канализация, газ</t>
  </si>
  <si>
    <t>эл-во, водоснабжение, канализация</t>
  </si>
  <si>
    <t>эл-во (2 ТП), водоснабжение</t>
  </si>
  <si>
    <t>Наличие ж/д ветки</t>
  </si>
  <si>
    <t>проходят рядом</t>
  </si>
  <si>
    <t>ж/д путь вдоль участка</t>
  </si>
  <si>
    <t>отсутствуют</t>
  </si>
  <si>
    <t>отсутствует</t>
  </si>
  <si>
    <t>Наличие оборудования</t>
  </si>
  <si>
    <t>не учитывается</t>
  </si>
  <si>
    <t>система вентиляции, видеонаблюдение, датчики дыма и температуры, пожарные гидранты, хамам, бассейны, солевая комната, баня</t>
  </si>
  <si>
    <t>Условия продажи</t>
  </si>
  <si>
    <t>небольшой торг</t>
  </si>
  <si>
    <t>торг уместен</t>
  </si>
  <si>
    <t>Цена предложения, сом</t>
  </si>
  <si>
    <r>
      <t>Стоимость 1 м</t>
    </r>
    <r>
      <rPr>
        <b/>
        <vertAlign val="superscript"/>
        <sz val="10"/>
        <color theme="1"/>
        <rFont val="Cambria"/>
        <family val="1"/>
        <charset val="204"/>
        <scheme val="major"/>
      </rPr>
      <t>2</t>
    </r>
    <r>
      <rPr>
        <b/>
        <sz val="10"/>
        <color theme="1"/>
        <rFont val="Cambria"/>
        <family val="1"/>
        <charset val="204"/>
        <scheme val="major"/>
      </rPr>
      <t xml:space="preserve"> зданий и сооружений, долл. США</t>
    </r>
  </si>
  <si>
    <r>
      <t>Стоимость 1 м</t>
    </r>
    <r>
      <rPr>
        <b/>
        <vertAlign val="superscript"/>
        <sz val="10"/>
        <color theme="1"/>
        <rFont val="Cambria"/>
        <family val="1"/>
        <charset val="204"/>
        <scheme val="major"/>
      </rPr>
      <t>2</t>
    </r>
    <r>
      <rPr>
        <b/>
        <sz val="10"/>
        <color theme="1"/>
        <rFont val="Cambria"/>
        <family val="1"/>
        <charset val="204"/>
        <scheme val="major"/>
      </rPr>
      <t xml:space="preserve"> зданий и сооружений, сом</t>
    </r>
  </si>
  <si>
    <t>Корректировки</t>
  </si>
  <si>
    <t>Корректировка на дату</t>
  </si>
  <si>
    <r>
      <t>Скорректированная стоимость, сом/м</t>
    </r>
    <r>
      <rPr>
        <b/>
        <vertAlign val="superscript"/>
        <sz val="10"/>
        <color indexed="8"/>
        <rFont val="Cambria"/>
        <family val="1"/>
        <charset val="204"/>
        <scheme val="major"/>
      </rPr>
      <t>2</t>
    </r>
  </si>
  <si>
    <t>Корректировка на условия продажи</t>
  </si>
  <si>
    <t>Корректировка на состав передаваемых прав</t>
  </si>
  <si>
    <t>Корректировка на местоположение</t>
  </si>
  <si>
    <t>Корректировка на специфику местоположения</t>
  </si>
  <si>
    <t>Корректировка на назначение</t>
  </si>
  <si>
    <t>Корректировка на форму земельного участка</t>
  </si>
  <si>
    <t>Корректировка на капитальность зданий и сооружений</t>
  </si>
  <si>
    <t>Корректировка на прочие некапитальные строения</t>
  </si>
  <si>
    <t>Корректировка на материал стен</t>
  </si>
  <si>
    <t>Корректировка на состояние зданий и сооружений</t>
  </si>
  <si>
    <t>Корректировка на благоустройство территории</t>
  </si>
  <si>
    <t>Корректировка на рельеф</t>
  </si>
  <si>
    <t>Корректировка на сервитуты</t>
  </si>
  <si>
    <t>Корректировка на наличие коммуникаций</t>
  </si>
  <si>
    <t>Корректировка на площадь з/у</t>
  </si>
  <si>
    <t>Корректировка на размер объекта</t>
  </si>
  <si>
    <t>Корректировка на наличие ж/д ветки</t>
  </si>
  <si>
    <t>Корректировка на наличие оборудования</t>
  </si>
  <si>
    <r>
      <t>Скорректированная цена, долл. США/м</t>
    </r>
    <r>
      <rPr>
        <b/>
        <vertAlign val="superscript"/>
        <sz val="10"/>
        <color theme="1"/>
        <rFont val="Cambria"/>
        <family val="1"/>
        <charset val="204"/>
        <scheme val="major"/>
      </rPr>
      <t>2</t>
    </r>
  </si>
  <si>
    <t>Результаты расчётов</t>
  </si>
  <si>
    <r>
      <t>Стоимость 1 м</t>
    </r>
    <r>
      <rPr>
        <vertAlign val="superscript"/>
        <sz val="10"/>
        <color theme="1"/>
        <rFont val="Cambria"/>
        <family val="1"/>
        <charset val="204"/>
        <scheme val="major"/>
      </rPr>
      <t>2</t>
    </r>
    <r>
      <rPr>
        <sz val="10"/>
        <color theme="1"/>
        <rFont val="Cambria"/>
        <family val="1"/>
        <charset val="204"/>
        <scheme val="major"/>
      </rPr>
      <t xml:space="preserve"> зданий и сооружений, сом</t>
    </r>
  </si>
  <si>
    <r>
      <t>Стоимость 1 м</t>
    </r>
    <r>
      <rPr>
        <vertAlign val="superscript"/>
        <sz val="10"/>
        <color theme="1"/>
        <rFont val="Cambria"/>
        <family val="1"/>
        <charset val="204"/>
        <scheme val="major"/>
      </rPr>
      <t>2</t>
    </r>
    <r>
      <rPr>
        <sz val="10"/>
        <color theme="1"/>
        <rFont val="Cambria"/>
        <family val="1"/>
        <charset val="204"/>
        <scheme val="major"/>
      </rPr>
      <t xml:space="preserve"> зданий и сооружений, долл. США</t>
    </r>
  </si>
  <si>
    <t>Стоимость объекта оценки, сом</t>
  </si>
  <si>
    <t>Стоимость объекта оценки, долл. США</t>
  </si>
  <si>
    <t>Общая площадь построек, м2, из них</t>
  </si>
  <si>
    <t>доли</t>
  </si>
  <si>
    <t>НА КАПИТАЛЬНОСТЬ</t>
  </si>
  <si>
    <t>Коэффициент капитальности зданий</t>
  </si>
  <si>
    <t>Корректировка без фактора земли</t>
  </si>
  <si>
    <t>Стоимость земли в объекте</t>
  </si>
  <si>
    <t>Доля зданий по цене</t>
  </si>
  <si>
    <t>Корректировка с вычетом фактора земли</t>
  </si>
  <si>
    <t>Участка на 1 кв.м. помещений</t>
  </si>
  <si>
    <t>земля</t>
  </si>
  <si>
    <t>Округление</t>
  </si>
  <si>
    <t>Абсолютно не влияет</t>
  </si>
  <si>
    <r>
      <rPr>
        <b/>
        <sz val="10"/>
        <rFont val="Cambria"/>
        <family val="1"/>
        <charset val="204"/>
        <scheme val="major"/>
      </rPr>
      <t>0,0</t>
    </r>
    <r>
      <rPr>
        <sz val="10"/>
        <rFont val="Cambria"/>
        <family val="1"/>
        <charset val="204"/>
        <scheme val="major"/>
      </rPr>
      <t xml:space="preserve"> - Тот случай, когда основная ценность - это помещение, а земля под зданием едва ли влияет на стоимость помещения</t>
    </r>
  </si>
  <si>
    <t>Влияние, если и есть, то незначительное</t>
  </si>
  <si>
    <r>
      <rPr>
        <b/>
        <sz val="10"/>
        <color rgb="FF000000"/>
        <rFont val="Cambria"/>
        <family val="1"/>
        <charset val="204"/>
        <scheme val="major"/>
      </rPr>
      <t>0,3</t>
    </r>
    <r>
      <rPr>
        <sz val="10"/>
        <color indexed="8"/>
        <rFont val="Cambria"/>
        <family val="1"/>
        <charset val="204"/>
        <scheme val="major"/>
      </rPr>
      <t xml:space="preserve"> - Строение на земельном участке приобретает стоимость, если капитализация доходности объекта целиком превышает рыночную стоимость земли при ее наиболее эффективном использовании. Иными словами, если за помещение заплатят больше, чем за пустую землю</t>
    </r>
  </si>
  <si>
    <t>Влияние небольшое</t>
  </si>
  <si>
    <r>
      <rPr>
        <b/>
        <sz val="10"/>
        <color rgb="FF000000"/>
        <rFont val="Cambria"/>
        <family val="1"/>
        <charset val="204"/>
        <scheme val="major"/>
      </rPr>
      <t>0,5</t>
    </r>
    <r>
      <rPr>
        <sz val="10"/>
        <color indexed="8"/>
        <rFont val="Cambria"/>
        <family val="1"/>
        <charset val="204"/>
        <scheme val="major"/>
      </rPr>
      <t xml:space="preserve"> - Кол-во земли, приходящееся на 1 кв.м. коммерческого здания малозначимый показатель, если участок застроен полностью и нет свободной земли под строительство. Такая ситуация возникает потому, что основной ценностью для потенциального покупателя является именно помещение.</t>
    </r>
  </si>
  <si>
    <t>Влияние заметное</t>
  </si>
  <si>
    <r>
      <rPr>
        <b/>
        <sz val="10"/>
        <color rgb="FF000000"/>
        <rFont val="Cambria"/>
        <family val="1"/>
        <charset val="204"/>
        <scheme val="major"/>
      </rPr>
      <t>0,7</t>
    </r>
    <r>
      <rPr>
        <sz val="10"/>
        <color indexed="8"/>
        <rFont val="Cambria"/>
        <family val="1"/>
        <charset val="204"/>
        <scheme val="major"/>
      </rPr>
      <t xml:space="preserve"> - При оценке необходимо учитывать часть свободного земельного участка, пригодного для строительства дополнительных зданий.</t>
    </r>
  </si>
  <si>
    <t>Прямая зависимость</t>
  </si>
  <si>
    <r>
      <rPr>
        <b/>
        <sz val="10"/>
        <rFont val="Cambria"/>
        <family val="1"/>
        <charset val="204"/>
        <scheme val="major"/>
      </rPr>
      <t>1,0</t>
    </r>
    <r>
      <rPr>
        <sz val="10"/>
        <rFont val="Cambria"/>
        <family val="1"/>
        <charset val="204"/>
        <scheme val="major"/>
      </rPr>
      <t xml:space="preserve"> - Те случаи, когда и здание и земля примерно в равной степени формируют рыночную стоимость объекта</t>
    </r>
  </si>
  <si>
    <t>г. Бишкек, ул. Алыкулова, д. 3/1
(ЕНИ №1-01-01-0003-0849)</t>
  </si>
  <si>
    <t>рядом с трассой ул. Алыкулова</t>
  </si>
  <si>
    <t>под производственную базу</t>
  </si>
  <si>
    <t>неправильный многоульник</t>
  </si>
  <si>
    <t>ж/д тупик на территории</t>
  </si>
  <si>
    <t>доллар</t>
  </si>
  <si>
    <t>Аналог 6</t>
  </si>
  <si>
    <t>г. Бишкек, ул. Мурманская, 1</t>
  </si>
  <si>
    <t>Триод</t>
  </si>
  <si>
    <t>Садыгалиева 4а/1</t>
  </si>
  <si>
    <t>г. Бишкек, ул. Матросова 1а, конец ул. Камчатская</t>
  </si>
  <si>
    <t>Результаты сравнительным подходом</t>
  </si>
  <si>
    <t>мин</t>
  </si>
  <si>
    <t>макс</t>
  </si>
  <si>
    <r>
      <t>Общая площадь построек, м</t>
    </r>
    <r>
      <rPr>
        <b/>
        <vertAlign val="superscript"/>
        <sz val="10"/>
        <rFont val="Cambria"/>
        <family val="1"/>
        <charset val="204"/>
        <scheme val="major"/>
      </rPr>
      <t>2</t>
    </r>
    <r>
      <rPr>
        <b/>
        <sz val="10"/>
        <rFont val="Cambria"/>
        <family val="1"/>
        <charset val="204"/>
        <scheme val="major"/>
      </rPr>
      <t>, из них</t>
    </r>
  </si>
  <si>
    <t>из триода</t>
  </si>
  <si>
    <t>зу6</t>
  </si>
  <si>
    <t>ср3</t>
  </si>
  <si>
    <t>ср1</t>
  </si>
  <si>
    <t>ср8</t>
  </si>
  <si>
    <t>ср4</t>
  </si>
  <si>
    <t>ср2</t>
  </si>
  <si>
    <t>ср10</t>
  </si>
  <si>
    <t>ср5</t>
  </si>
  <si>
    <t>ср6</t>
  </si>
  <si>
    <t>ср7</t>
  </si>
  <si>
    <t>ср9</t>
  </si>
  <si>
    <t>https://www.house.kg/details/5740762679be28f2b0595-19178779</t>
  </si>
  <si>
    <t>https://lalafo.kg/bishkek/ads/prodaetsa-skladskoe-i-id-41338286</t>
  </si>
  <si>
    <t>https://bishkek.etagi.com/commerce/12117482/</t>
  </si>
  <si>
    <t>https://www.house.kg/details/6054294693543612748d2-03556339</t>
  </si>
  <si>
    <t>0700 36 63 12</t>
  </si>
  <si>
    <t>0509 32 23 00</t>
  </si>
  <si>
    <t>0704 88 61 88</t>
  </si>
  <si>
    <t>право собственности</t>
  </si>
  <si>
    <t>г. Бишкек, ул. Интергельпо 4/1</t>
  </si>
  <si>
    <t>г. Бишкек, ул. Мурманская, 122а/1</t>
  </si>
  <si>
    <t>г. Бишкек, ул. Мурманская, д. 56</t>
  </si>
  <si>
    <t xml:space="preserve">г. Бишкек, ул. Курманжан Датка, 207 </t>
  </si>
  <si>
    <t>рядом с трассой</t>
  </si>
  <si>
    <t>на центральной трассе</t>
  </si>
  <si>
    <t>Наличие зданий и сооружений</t>
  </si>
  <si>
    <t>коммерческое</t>
  </si>
  <si>
    <t>нежилое помещение</t>
  </si>
  <si>
    <r>
      <t>Общая площадь построек, м</t>
    </r>
    <r>
      <rPr>
        <b/>
        <vertAlign val="superscript"/>
        <sz val="10"/>
        <color indexed="8"/>
        <rFont val="Cambria"/>
        <family val="1"/>
        <charset val="204"/>
      </rPr>
      <t>2</t>
    </r>
    <r>
      <rPr>
        <b/>
        <sz val="10"/>
        <color indexed="8"/>
        <rFont val="Cambria"/>
        <family val="1"/>
        <charset val="204"/>
      </rPr>
      <t>, из них</t>
    </r>
  </si>
  <si>
    <t>жженый кирпич/ ж/б плиты/ металлоконструкции</t>
  </si>
  <si>
    <t>бетон</t>
  </si>
  <si>
    <t xml:space="preserve"> жженый кирпич 90%/ легкие консутрукции 10%</t>
  </si>
  <si>
    <t>жженый кирпич/ ж/б панели</t>
  </si>
  <si>
    <t xml:space="preserve"> жженый кирпич/ сендвич панели</t>
  </si>
  <si>
    <t>жженый кирпич/меллоконструкции</t>
  </si>
  <si>
    <t>хорошее/ требуется завершение ремонтных работ</t>
  </si>
  <si>
    <t>узкий вытянутый неправильный многоугольник</t>
  </si>
  <si>
    <r>
      <t>Площадь земельного участка, м</t>
    </r>
    <r>
      <rPr>
        <b/>
        <vertAlign val="superscript"/>
        <sz val="10"/>
        <color indexed="8"/>
        <rFont val="Cambria"/>
        <family val="1"/>
        <charset val="204"/>
      </rPr>
      <t>2</t>
    </r>
  </si>
  <si>
    <t>территория огорожена и благоустроена</t>
  </si>
  <si>
    <r>
      <t>Скорректированная стоимость, сом/м</t>
    </r>
    <r>
      <rPr>
        <b/>
        <vertAlign val="superscript"/>
        <sz val="10"/>
        <color indexed="8"/>
        <rFont val="Cambria"/>
        <family val="1"/>
        <charset val="204"/>
      </rPr>
      <t>2</t>
    </r>
  </si>
  <si>
    <t>Расчет стоимости</t>
  </si>
  <si>
    <t>Стоимость 1 м2 объекта оценки, сом</t>
  </si>
  <si>
    <t>Стоимость 1 м2 объекта оценки, долл. США</t>
  </si>
  <si>
    <t xml:space="preserve">  Административные помещения</t>
  </si>
  <si>
    <t xml:space="preserve">  Некапитальные производственно-складские помещения </t>
  </si>
  <si>
    <t>округление</t>
  </si>
  <si>
    <t>Тот случай, когда основная ценность - это помещение, а земля под зданием едва ли влияет на стоимость помещения</t>
  </si>
  <si>
    <t>Строение на земельном участке приобретает стоимость, если капитализация доходности объекта целиком превышает рыночную стоимость земли при ее наиболее эффективном использовании. Иными словами, если за помещение заплатят больше, чем за пустую землю</t>
  </si>
  <si>
    <t>Кол-во земли, приходящееся на 1 кв.м. коммерческого здания малозначимый показатель, если участок застроен полностью и нет свободной земли под строительство. Такая ситуация возникает потому, что основной ценностью для потенциального покупателя является именно помещение.</t>
  </si>
  <si>
    <t>При оценке необходимо учитывать часть свободного земельного участка, пригодного для строительства дополнительных зданий.</t>
  </si>
  <si>
    <t>Те случаи, когда и здание и земля примерно в равной степени формируют рыночную стоимость объекта</t>
  </si>
  <si>
    <t>складская база с открытыми площадками для приема и хранения грузов, под угольный склад</t>
  </si>
  <si>
    <t>близка к прямоугольной, с заужением с восточной стороны</t>
  </si>
  <si>
    <t>2 ж/д тупика на территории</t>
  </si>
  <si>
    <t>0,14-0,33</t>
  </si>
  <si>
    <t>из базы лущихина</t>
  </si>
  <si>
    <t>https://lalafo.kg/bishkek/ads/prodaetsa-ucastok-32-sotok-po-pervoj-id-43595286</t>
  </si>
  <si>
    <t>производство пластиковыхх окон</t>
  </si>
  <si>
    <t>взяла у Ярослава ФДСКА</t>
  </si>
  <si>
    <t>25.02.2025 - все еще продается, цена та же</t>
  </si>
  <si>
    <t>https://lalafo.kg/bishkek/ads/prodau-zdanie1000m-pod-sklady-id-86233615</t>
  </si>
  <si>
    <t>https://www.house.kg/details/589888866fa615968ec77-29924665</t>
  </si>
  <si>
    <t>https://lalafo.kg/bishkek/ads/prodaem-717-m2-zdanie-3-et-s-podvalom-po-id-106328076?ad_type=1&amp;feed_id=6002&amp;listing_category_id=2061</t>
  </si>
  <si>
    <t>https://www.house.kg/details/5678359698efd86668078-80499731</t>
  </si>
  <si>
    <t>https://lalafo.kg/bishkek/ads/prodau-ot-sobstvennika-ofisnoe-id-35012813?ad_type=1&amp;feed_id=6002&amp;listing_category_id=2061</t>
  </si>
  <si>
    <t>https://lalafo.kg/bishkek/ads/prodaem-2et-zdanie-po-id-49654689?ad_type=4&amp;feed_id=6002&amp;listing_category_id=2061</t>
  </si>
  <si>
    <t>https://www.house.kg/details/212450068d3d4dcb01521-10061291</t>
  </si>
  <si>
    <t>https://www.house.kg/details/235255266e2ae20da3a28-33073832</t>
  </si>
  <si>
    <t>https://diesel.elcat.kg/index.php?showtopic=292903841</t>
  </si>
  <si>
    <t>https://www.house.kg/details/724376367d2fa1cb93573-45374002</t>
  </si>
  <si>
    <t>https://lalafo.kg/bishkek/ads/prodau-zdanie1000m-pod-sklady-id-91226080</t>
  </si>
  <si>
    <t>https://lalafo.kg/bishkek/ads/prodaem-ucastok-s-proizvodstvennym-skladom-ul-l-tolstogo-per-id-100964166</t>
  </si>
  <si>
    <t>0704 99 99 45</t>
  </si>
  <si>
    <t>0550 38 38 58</t>
  </si>
  <si>
    <t>0500 44 41 30</t>
  </si>
  <si>
    <t>0700 33 39 99</t>
  </si>
  <si>
    <t>0995 25 58 88</t>
  </si>
  <si>
    <t>0550 87 79 38</t>
  </si>
  <si>
    <t>0555 86 93 46</t>
  </si>
  <si>
    <t>0702 58 44 77</t>
  </si>
  <si>
    <t>0700 20 01 46</t>
  </si>
  <si>
    <t>0706 52 52 55</t>
  </si>
  <si>
    <t>0507 70 00 75</t>
  </si>
  <si>
    <t>0550 03 10 20</t>
  </si>
  <si>
    <t>0777 00 87 00</t>
  </si>
  <si>
    <t>0995 88 10 12</t>
  </si>
  <si>
    <t>0501 78 73 78</t>
  </si>
  <si>
    <t>0551 10 00 00</t>
  </si>
  <si>
    <t>0990 35 87 21</t>
  </si>
  <si>
    <t>0773 85 75 63</t>
  </si>
  <si>
    <t>г. Бишкек, ул. ​Анкара, 1а/1</t>
  </si>
  <si>
    <t>г. Бишкек, ул. Садыгалиева, д. 4а 
(ЕНИ №1-01-01-0003-0494/0495/0730/0731)</t>
  </si>
  <si>
    <t>г. Бишкек, ул. Московская, 3/ ул. Суюмбаева</t>
  </si>
  <si>
    <t>г. Бишкек, ул. ​М. Горького, д. 1/4</t>
  </si>
  <si>
    <t>г. Бишкек, ул. 7 апреля, д. 117</t>
  </si>
  <si>
    <t>г. Бишкек, ул. ​Матросова/ ул. Кулатова, ор-р Маслосырбаза</t>
  </si>
  <si>
    <t>г. Бишкек, ул. Л. Толстого/ ул. Матросова, 1а/3а</t>
  </si>
  <si>
    <t>г. Бишкек, ул. Садыгалиева, д. 1г/ ул. Орская</t>
  </si>
  <si>
    <t>г. Бишкек, ул. Кулатова, 1а</t>
  </si>
  <si>
    <t>г. Бишкек, ул. Исакеева, 4 стр. 2</t>
  </si>
  <si>
    <t>г. Бишкек, ул. 7 апреля/пр. Чуй</t>
  </si>
  <si>
    <t>г. Бишкек, ул. Анкара</t>
  </si>
  <si>
    <t>г. Бишкек, ул. 7 апреля 4/4а</t>
  </si>
  <si>
    <t>г. Бишкек, ул. Матросова, 1/ ул. Кара- дарьинская</t>
  </si>
  <si>
    <t>г. Бишкек, ул. Матросова, 1а/31</t>
  </si>
  <si>
    <t>г. Бишкек, пр. Чуй 2/6</t>
  </si>
  <si>
    <t>г. Бишкек, ул. Л. Толстого/ ул. Ибраимова</t>
  </si>
  <si>
    <t>рядом с трассой ул. Анкара</t>
  </si>
  <si>
    <t>рядом с второстепенной трассой 
ул. Мурманская</t>
  </si>
  <si>
    <t>на трассе ул. Московская</t>
  </si>
  <si>
    <t>на трассе ул. М. Горького</t>
  </si>
  <si>
    <t>на трассе ул. 7 апреля</t>
  </si>
  <si>
    <t>рядом с трассой ул. Кулатова</t>
  </si>
  <si>
    <t>рядом с трассой ул. Л. Толстого</t>
  </si>
  <si>
    <t>на пересечении второстепенных трасс</t>
  </si>
  <si>
    <t>вторая линия ул. 7 апреля</t>
  </si>
  <si>
    <t>50 м. от трассы ул. Л. Толстого</t>
  </si>
  <si>
    <t>Целевое назначение и тип объекта</t>
  </si>
  <si>
    <t>под существующие производственные здания и сооружения</t>
  </si>
  <si>
    <t>коммерческие помещения и жилые квартиры</t>
  </si>
  <si>
    <t>офисное и коммерческое</t>
  </si>
  <si>
    <t>нежилое</t>
  </si>
  <si>
    <t>производство, склады</t>
  </si>
  <si>
    <t>склады и производственные помещения</t>
  </si>
  <si>
    <t>нежилое помощение</t>
  </si>
  <si>
    <t>под склады и производственные помещения</t>
  </si>
  <si>
    <t>нежилое коммерческое помещение</t>
  </si>
  <si>
    <t>производственная база</t>
  </si>
  <si>
    <t>нежилое помещение/ производственно-складское</t>
  </si>
  <si>
    <t>Административные помещения</t>
  </si>
  <si>
    <t>Капитальные производственно-складские помещения</t>
  </si>
  <si>
    <t>Дополнительные постройки</t>
  </si>
  <si>
    <t>ж/б панели/ жженый кирпич/ пескоблок/ металлоконструкции</t>
  </si>
  <si>
    <t>ж/б панели</t>
  </si>
  <si>
    <t>жженый кирпич/ пескоблок</t>
  </si>
  <si>
    <t>жженый кирпич</t>
  </si>
  <si>
    <t>сэндвич-панели</t>
  </si>
  <si>
    <t>жжёный кирпич</t>
  </si>
  <si>
    <t>металлический каркас/женный кирпич</t>
  </si>
  <si>
    <t>легкая конструкция</t>
  </si>
  <si>
    <t>ж/б панели/женный кирпич</t>
  </si>
  <si>
    <t>ж/б/ жженый кирпич</t>
  </si>
  <si>
    <t>ж/б панели/ металлоконструкции</t>
  </si>
  <si>
    <t>хорошее/ удовл.</t>
  </si>
  <si>
    <t>раздробленные участки, 2 участка - неправильный многоугольник, 2 участка - прямоугольной и квадратной формы</t>
  </si>
  <si>
    <t>Г-образная</t>
  </si>
  <si>
    <t>многоугольник</t>
  </si>
  <si>
    <t>Дополнительные территории</t>
  </si>
  <si>
    <t>территория частично благоустроена</t>
  </si>
  <si>
    <t>территория не благоустроена</t>
  </si>
  <si>
    <t>эл-во, водоснабжение, канализация, газ</t>
  </si>
  <si>
    <t>эл-во, водоснабжение, газ, канализация</t>
  </si>
  <si>
    <t>Дополнительное оснащение</t>
  </si>
  <si>
    <t>пожарная система, система видеонаблюдения</t>
  </si>
  <si>
    <t>помещения холодильных камер</t>
  </si>
  <si>
    <t>система безопасности</t>
  </si>
  <si>
    <t>система видеонаблюдения</t>
  </si>
  <si>
    <t>лифт, система безопасности</t>
  </si>
  <si>
    <t>помещения холодильных камер (2 комнаты)</t>
  </si>
  <si>
    <t>холодильное оборудование и рефрижераторы на 160 м2</t>
  </si>
  <si>
    <t>проходит рядом с участком</t>
  </si>
  <si>
    <t>ж/д ветка проходит рядом с участом</t>
  </si>
  <si>
    <t>ж/д тупик на участке</t>
  </si>
  <si>
    <t>ж/д в совместной собственности</t>
  </si>
  <si>
    <t>Наличие ограничений и особых условий</t>
  </si>
  <si>
    <r>
      <t>часть здания лит. А 1-й этаж 686,3 м</t>
    </r>
    <r>
      <rPr>
        <vertAlign val="superscript"/>
        <sz val="10"/>
        <rFont val="Cambria"/>
        <family val="1"/>
        <charset val="204"/>
        <scheme val="major"/>
      </rPr>
      <t>2</t>
    </r>
    <r>
      <rPr>
        <sz val="10"/>
        <rFont val="Cambria"/>
        <family val="1"/>
        <charset val="204"/>
        <scheme val="major"/>
      </rPr>
      <t>, часть подвала, убежище гражданской обороны с прилегающей территорией 1 022,2 м</t>
    </r>
    <r>
      <rPr>
        <vertAlign val="superscript"/>
        <sz val="10"/>
        <rFont val="Cambria"/>
        <family val="1"/>
        <charset val="204"/>
        <scheme val="major"/>
      </rPr>
      <t>2</t>
    </r>
    <r>
      <rPr>
        <sz val="10"/>
        <rFont val="Cambria"/>
        <family val="1"/>
        <charset val="204"/>
        <scheme val="major"/>
      </rPr>
      <t xml:space="preserve"> принадлежит СП "Керамин Ко. ЛТД"</t>
    </r>
  </si>
  <si>
    <t>торг уместен, долгий срок продажи</t>
  </si>
  <si>
    <t>окончательная цена</t>
  </si>
  <si>
    <t>окнчательная цена</t>
  </si>
  <si>
    <t>хороший торг</t>
  </si>
  <si>
    <t>минимальный торг</t>
  </si>
  <si>
    <t>тор уместен</t>
  </si>
  <si>
    <t>цена сделки</t>
  </si>
  <si>
    <t>Корректировка на назначение и тип объекта</t>
  </si>
  <si>
    <t>Корректировка на дополнительные постройки</t>
  </si>
  <si>
    <t>Корректировка на ограничения и особые условия</t>
  </si>
  <si>
    <t>Корректировка на дополнительное оснащение</t>
  </si>
  <si>
    <t>оценка от 22.04.2025</t>
  </si>
  <si>
    <t>Стоимость 1 м2 зданий и сооружений, сом</t>
  </si>
  <si>
    <t>Стоимость 1 м2 зданий и сооружений, долл. США</t>
  </si>
  <si>
    <t>Сглаживание</t>
  </si>
  <si>
    <t>г. Бишкек, ул. 7 апреля, д. 7</t>
  </si>
  <si>
    <t>нежилые помещения</t>
  </si>
  <si>
    <t>г. Бишкек, ул. Интергельпо, д. 1/11, ЕНИ №1-01-02-0009-0470</t>
  </si>
  <si>
    <t>обз</t>
  </si>
  <si>
    <t>объявление убрали но продают еще
просили 7 млн 200 тыс. стало 6 млн</t>
  </si>
  <si>
    <t>небесно голубой</t>
  </si>
  <si>
    <t>Расчет Дарии, шоро за 02.12.2025</t>
  </si>
  <si>
    <t>Аналог 5 (ЗУ)</t>
  </si>
  <si>
    <t>https://lalafo.kg/bishkek/ads/prodaetsa-dejstvuusij-ceh-po-id-100322272</t>
  </si>
  <si>
    <t>взято с ИФА</t>
  </si>
  <si>
    <t>https://www.house.kg/details/113893066902eb49a1b36-84088753</t>
  </si>
  <si>
    <t>https://www.house.kg/details/8549411690ae41c6d2f71-82597226</t>
  </si>
  <si>
    <t>https://www.house.kg/details/557630467b194685f9868-29822625</t>
  </si>
  <si>
    <t>https://www.house.kg/details/157368268723ec0a20ba6-61622061</t>
  </si>
  <si>
    <t>https://www.house.kg/details/8660221691c1498b2d949-97763604</t>
  </si>
  <si>
    <t>https://www.house.kg/details/565540869e9e1ac2669b5-72960795</t>
  </si>
  <si>
    <t>аналог с осмотра</t>
  </si>
  <si>
    <t>https://www.house.kg/details/510217968626efe31a626-51177263</t>
  </si>
  <si>
    <t>https://www.house.kg/details/593032368662671c6eff1-59915982</t>
  </si>
  <si>
    <t>https://www.house.kg/details/9543001680b4574572560-95017746</t>
  </si>
  <si>
    <t>аналог Интергельпо, д. 1 (аналог от заказчика)</t>
  </si>
  <si>
    <t>https://www.house.kg/details/2540452691327f69db1f4-46616295</t>
  </si>
  <si>
    <t>аналог от заказчика</t>
  </si>
  <si>
    <t>0558 80 84 78</t>
  </si>
  <si>
    <t xml:space="preserve"> 0555 65 78 57</t>
  </si>
  <si>
    <t>0702 61 04 03</t>
  </si>
  <si>
    <t>0778 15 64 42</t>
  </si>
  <si>
    <t>0700 13 10 00</t>
  </si>
  <si>
    <t>0700 70 19 87</t>
  </si>
  <si>
    <t>0701 55 45 11</t>
  </si>
  <si>
    <t>0556 03 82 26</t>
  </si>
  <si>
    <t>0999 99 93 33</t>
  </si>
  <si>
    <t>0705 25 52 03</t>
  </si>
  <si>
    <t>0507 41 81 96</t>
  </si>
  <si>
    <t>право временного пользования на участок на 49 лет</t>
  </si>
  <si>
    <t>право собственности на часть здания, земельный участок в соместной собственности</t>
  </si>
  <si>
    <t>полное право собсвенности на здание, часть участка в совестной собсвенности</t>
  </si>
  <si>
    <t>г. Бишкек, ул. Интергельпо</t>
  </si>
  <si>
    <t>г. Бишкек, ул. Садыгалиева, д. 4а/1</t>
  </si>
  <si>
    <t>г. Бишкек, ул. Интергельпо московская</t>
  </si>
  <si>
    <t>г. Бишкек, с. Нижняя Ала-Арча, Советский тупик, д. 1</t>
  </si>
  <si>
    <t>г. Бишкек, ул. Интергельпо, д. 1/7а 
(ЕНИ №1-01-02-0009-0585-01)</t>
  </si>
  <si>
    <t>г. Бишкек, ул. Интергельпо, 1/32</t>
  </si>
  <si>
    <t>г. Бишкек, ул. Интергельпо, на территории завода Фрунзе</t>
  </si>
  <si>
    <t>г. Бишкек, ул. Садыгалиева, 3/1</t>
  </si>
  <si>
    <t>г. Бишкек, ул. Л. Толстого/ 
ул. Репина</t>
  </si>
  <si>
    <t>г. Бишкек, ул. Садыгалиева, д. 6а</t>
  </si>
  <si>
    <t>на второстепенной трассе ул. Интергельпо</t>
  </si>
  <si>
    <t>рядом с трассой ул. Мурманская</t>
  </si>
  <si>
    <t>внутри района, на территории завода</t>
  </si>
  <si>
    <t>рядом с трассой ул. Садыгалиева</t>
  </si>
  <si>
    <t>на трассе ул. Л. Толстого</t>
  </si>
  <si>
    <t>на трассе ул. Садыгалиева</t>
  </si>
  <si>
    <t>банный комплекс</t>
  </si>
  <si>
    <t>г-образная</t>
  </si>
  <si>
    <t>близка к прямоугольной 
с небольшими выступами</t>
  </si>
  <si>
    <t xml:space="preserve">   Административные и коммерческие помещения</t>
  </si>
  <si>
    <t xml:space="preserve">  Прочие некапитальные строения</t>
  </si>
  <si>
    <t>ж/б панели/ шлакоблок/ пескоблок/ сендвич панели</t>
  </si>
  <si>
    <t>металлоконструкции и сендвич панели</t>
  </si>
  <si>
    <t>ж/б панели и газоблок</t>
  </si>
  <si>
    <t xml:space="preserve"> жженый кирпич</t>
  </si>
  <si>
    <t xml:space="preserve"> жженый кирпич/ металлоконструкции</t>
  </si>
  <si>
    <t>удовлетворительное/ требуется ремонт</t>
  </si>
  <si>
    <t>удовл.</t>
  </si>
  <si>
    <t>территория огорожена</t>
  </si>
  <si>
    <t>эл-во, водоснабжение, канализация; газ проходит рядом</t>
  </si>
  <si>
    <t>эл-во (ТП), водоснабжение, канализация, автономное отопление</t>
  </si>
  <si>
    <t>эл-во (ТП), водоснабжение (скважина), канализация</t>
  </si>
  <si>
    <t>эл-во, водоснабжение, канализация, автономное отопление</t>
  </si>
  <si>
    <t>эл-во (5 ТП), водоснабжение, канализация</t>
  </si>
  <si>
    <t>электричество, водоснабжение, канализация</t>
  </si>
  <si>
    <t>электричество, водоснабжение, канализация проходит рядом</t>
  </si>
  <si>
    <t>Наличие дополнительного оснащения</t>
  </si>
  <si>
    <t>система видеонаблюдения, система охранной и пожарной безопасности, оборудование холодильных камер (2 холодильные камеры от 0 С°-до +5 С°, 3 холодильные камеры от-18 С° до -25 С°)</t>
  </si>
  <si>
    <t>кран-балка</t>
  </si>
  <si>
    <t>2 бассейна для выращивания рыбы, 2 контейнера 20 фут., оборудование мебельного цеха</t>
  </si>
  <si>
    <t>система вентиляции, видеонаблюдение, датчики дыма и температуры, пожарные гидранты</t>
  </si>
  <si>
    <t>кран балка</t>
  </si>
  <si>
    <t>Наличие ж/д путей</t>
  </si>
  <si>
    <t>проходит рядом</t>
  </si>
  <si>
    <t>Корректировка на готовность зданий</t>
  </si>
  <si>
    <t>Корректировка на рельеф участка</t>
  </si>
  <si>
    <t>Корректировка наналичие доп. территорий</t>
  </si>
  <si>
    <t>Корректировка на наличие ж/д путей</t>
  </si>
  <si>
    <t>Корректировка на наличие дополнительного оснащения</t>
  </si>
  <si>
    <t>Корректировка на состояние отделки</t>
  </si>
  <si>
    <t>Максимальная стоимость ремонта, $</t>
  </si>
  <si>
    <t>Средняя стоимость 1 кв.м.</t>
  </si>
  <si>
    <t>Рекомендуемый шаг для корректировок</t>
  </si>
  <si>
    <t>в глубине района</t>
  </si>
  <si>
    <t>под нежилыми помещенениями</t>
  </si>
  <si>
    <t xml:space="preserve">ж/д тупик </t>
  </si>
  <si>
    <t>Типы и классы помещений</t>
  </si>
  <si>
    <t>Всего</t>
  </si>
  <si>
    <t>Средневзвешенная капитальность</t>
  </si>
  <si>
    <t>Площадь, взвешенная по капитальности</t>
  </si>
  <si>
    <t>Состояние</t>
  </si>
  <si>
    <t>Физический износ (в%)</t>
  </si>
  <si>
    <t>Состояние несменяемых конструкций зданий</t>
  </si>
  <si>
    <t>Состояние внутренних конструктивных элементов</t>
  </si>
  <si>
    <t>0-20</t>
  </si>
  <si>
    <t>Повреждений и деформаций нет. Нет также следов устранения дефектов</t>
  </si>
  <si>
    <t>Полы и потолки ровные, горизонтальные, трещины в покрытиях и отделке отсутствуют</t>
  </si>
  <si>
    <t>21-40</t>
  </si>
  <si>
    <t>Повреждений и дефектов, в том числе и искривлений, нет. Имеются местами следы различных ремонтов, в том числе небольших трещин в простенках и перемычках.</t>
  </si>
  <si>
    <t>Полы и потолки ровные, на потолках возможны волосяные трещины. На ступенях лестниц небольшое число повреждений. Окна и двери открываются с некоторым усилием.</t>
  </si>
  <si>
    <t>41-60</t>
  </si>
  <si>
    <t>Имеется много следов ремонтов трещин и участков наружной отделки. Имеются места искривления горизонтальных линий и следы их ликвидации. Износ кладки стен характеризуется трещинами между блоками.</t>
  </si>
  <si>
    <t>Полы в отдельных местах зыбкие и с отклонениями от горизонтали. В потолках много трещин, ранее заделанных и появившихся вновь. Отдельные отставания покрытия пола (паркета, плиток). Большое число поврежденных ступеней.</t>
  </si>
  <si>
    <t>61-80</t>
  </si>
  <si>
    <t>Имеются открытые трещины различного происхождения, в том числе от износа и перегрузки кладки поперек кирпичей. Большое искривление горизонтальных линий и местами отклонение стен от вертикали.</t>
  </si>
  <si>
    <t>Большое число отклонений от горизонтали в полах, зыбкость. Массовое повреждение и отсутствие покрытия пола. В потолках много мест с обвалившейся штукатуркой. Много перекошенных окон и дверей. Большое число поврежденных ступеней, перекосы маршей, щели между ступенями.</t>
  </si>
  <si>
    <t>81-100</t>
  </si>
  <si>
    <t>Здание в опасном состоянии. Участки стен разрушены, деформированы в проемах. Трещины по перемычкам, простенкам и по всей поверхности стен. Возможны большие искривления горизонтальных линий и выпучивание стен.</t>
  </si>
  <si>
    <t>Полы с большими перекосами и уклонами. Заметные прогибы потолков. Окна и двери с гнилью в узлах и брусьях. В маршах лестниц не хватает ступеней и перил. Внутренняя отделка полностью разрушена.</t>
  </si>
  <si>
    <t>Состоние</t>
  </si>
  <si>
    <t>из расчёта затратного</t>
  </si>
  <si>
    <t>Средневзвешенная состояние</t>
  </si>
  <si>
    <t>состояние взвешенное</t>
  </si>
  <si>
    <t>отличное</t>
  </si>
  <si>
    <t>отл/хор</t>
  </si>
  <si>
    <t>хор/удовл</t>
  </si>
  <si>
    <t>неудовл</t>
  </si>
  <si>
    <t>сост</t>
  </si>
  <si>
    <t>коэф</t>
  </si>
  <si>
    <t>состояние взвешенное скорректир. На капитальность</t>
  </si>
  <si>
    <t>сост*площадь</t>
  </si>
  <si>
    <t>сост*площадь*коэф</t>
  </si>
  <si>
    <t>0-5</t>
  </si>
  <si>
    <t>Состояние для расчетной таблицы</t>
  </si>
  <si>
    <t>Ранг состояния для расчетной таблицы</t>
  </si>
  <si>
    <t>с внешним износом</t>
  </si>
  <si>
    <t>без внешнего износа</t>
  </si>
  <si>
    <t>Корректировка</t>
  </si>
  <si>
    <t>Средний % стоимости ремонта</t>
  </si>
  <si>
    <t>Стоимость объектв оценки как было</t>
  </si>
  <si>
    <t>удовл/тр. рем</t>
  </si>
  <si>
    <t>тр. рем</t>
  </si>
  <si>
    <t>41-50</t>
  </si>
  <si>
    <t>6-10</t>
  </si>
  <si>
    <t>11-20</t>
  </si>
  <si>
    <t>21-30</t>
  </si>
  <si>
    <t>31-40</t>
  </si>
  <si>
    <t>тр. кап. рем.</t>
  </si>
  <si>
    <t>51-60</t>
  </si>
  <si>
    <t>С округлением</t>
  </si>
  <si>
    <t>Подобный объект</t>
  </si>
  <si>
    <t>Стоимость объекта оценки с новой капитальностью</t>
  </si>
  <si>
    <t>Стоимость объекта оценки капитальность+состояние</t>
  </si>
  <si>
    <t>отличное (требуется завершение строительных работ)</t>
  </si>
  <si>
    <t>удовл./ треб.рем.</t>
  </si>
  <si>
    <t>отличное/ хорошее</t>
  </si>
  <si>
    <t>Адрес</t>
  </si>
  <si>
    <t>0,77-1,00</t>
  </si>
  <si>
    <t>0,12-0,33</t>
  </si>
  <si>
    <t>Наименование</t>
  </si>
  <si>
    <t>Капитальность</t>
  </si>
  <si>
    <t>Проверка</t>
  </si>
  <si>
    <t>Физический износ из затратного подхода,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</si>
</sst>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0.0"/>
    <numFmt numFmtId="167" formatCode="#,###"/>
    <numFmt numFmtId="168" formatCode="#,###.0"/>
    <numFmt numFmtId="169" formatCode="0.000"/>
    <numFmt numFmtId="170" formatCode="0.0000"/>
    <numFmt numFmtId="171" formatCode="&quot;условный износ&quot;\ 0.00%"/>
  </numFmts>
  <fonts count="84">
    <font>
      <sz val="11"/>
      <color theme="1"/>
      <name val="Cambria"/>
      <family val="2"/>
      <scheme val="minor"/>
    </font>
    <font>
      <sz val="11"/>
      <color theme="1"/>
      <name val="Cambria"/>
      <family val="2"/>
      <charset val="204"/>
      <scheme val="minor"/>
    </font>
    <font>
      <sz val="11"/>
      <color theme="1"/>
      <name val="Cambria"/>
      <family val="2"/>
      <charset val="204"/>
      <scheme val="minor"/>
    </font>
    <font>
      <sz val="11"/>
      <color theme="1"/>
      <name val="Cambria"/>
      <family val="2"/>
      <charset val="204"/>
      <scheme val="minor"/>
    </font>
    <font>
      <b/>
      <sz val="12"/>
      <color theme="1"/>
      <name val="Times New Roman"/>
      <family val="1"/>
      <charset val="204"/>
    </font>
    <font>
      <b/>
      <sz val="12"/>
      <color rgb="FF000000"/>
      <name val="Times New Roman"/>
      <family val="1"/>
      <charset val="204"/>
    </font>
    <font>
      <sz val="12"/>
      <color rgb="FF000000"/>
      <name val="Times New Roman"/>
      <family val="1"/>
      <charset val="204"/>
    </font>
    <font>
      <sz val="12"/>
      <color theme="1"/>
      <name val="Times New Roman"/>
      <family val="1"/>
      <charset val="204"/>
    </font>
    <font>
      <b/>
      <i/>
      <sz val="12"/>
      <color theme="1"/>
      <name val="Times New Roman"/>
      <family val="1"/>
      <charset val="204"/>
    </font>
    <font>
      <i/>
      <sz val="12"/>
      <color theme="1"/>
      <name val="Times New Roman"/>
      <family val="1"/>
      <charset val="204"/>
    </font>
    <font>
      <b/>
      <sz val="12"/>
      <color rgb="FFFFFFFF"/>
      <name val="Times New Roman"/>
      <family val="1"/>
      <charset val="204"/>
    </font>
    <font>
      <b/>
      <sz val="11"/>
      <color theme="1"/>
      <name val="Cambria"/>
      <family val="2"/>
      <charset val="204"/>
      <scheme val="minor"/>
    </font>
    <font>
      <sz val="8"/>
      <name val="Cambria"/>
      <family val="2"/>
      <scheme val="minor"/>
    </font>
    <font>
      <sz val="9"/>
      <color indexed="81"/>
      <name val="Tahoma"/>
      <family val="2"/>
      <charset val="204"/>
    </font>
    <font>
      <b/>
      <sz val="9"/>
      <color indexed="81"/>
      <name val="Tahoma"/>
      <family val="2"/>
      <charset val="204"/>
    </font>
    <font>
      <vertAlign val="superscript"/>
      <sz val="11"/>
      <color theme="1"/>
      <name val="Cambria"/>
      <family val="1"/>
      <charset val="204"/>
      <scheme val="minor"/>
    </font>
    <font>
      <sz val="11"/>
      <color theme="1"/>
      <name val="Cambria"/>
      <family val="1"/>
      <charset val="204"/>
      <scheme val="minor"/>
    </font>
    <font>
      <b/>
      <sz val="12"/>
      <color theme="1"/>
      <name val="Cambria"/>
      <family val="1"/>
      <charset val="204"/>
      <scheme val="minor"/>
    </font>
    <font>
      <sz val="12"/>
      <color theme="1"/>
      <name val="Cambria"/>
      <family val="1"/>
      <charset val="204"/>
      <scheme val="minor"/>
    </font>
    <font>
      <sz val="9"/>
      <color indexed="81"/>
      <name val="Tahoma"/>
      <charset val="1"/>
    </font>
    <font>
      <b/>
      <sz val="9"/>
      <color indexed="81"/>
      <name val="Tahoma"/>
      <charset val="1"/>
    </font>
    <font>
      <b/>
      <sz val="11"/>
      <color theme="1"/>
      <name val="Cambria"/>
      <family val="1"/>
      <charset val="204"/>
      <scheme val="minor"/>
    </font>
    <font>
      <sz val="10"/>
      <name val="Arial Cyr"/>
      <charset val="204"/>
    </font>
    <font>
      <sz val="10"/>
      <name val="Cambria"/>
      <family val="1"/>
      <charset val="204"/>
      <scheme val="major"/>
    </font>
    <font>
      <u/>
      <sz val="10"/>
      <color theme="10"/>
      <name val="Arial Cyr"/>
      <charset val="204"/>
    </font>
    <font>
      <sz val="10"/>
      <color rgb="FF2F427A"/>
      <name val="Times New Roman, Times, serif"/>
    </font>
    <font>
      <u/>
      <sz val="10"/>
      <color indexed="12"/>
      <name val="Arial Cyr"/>
      <charset val="204"/>
    </font>
    <font>
      <b/>
      <sz val="10"/>
      <color theme="0"/>
      <name val="Cambria"/>
      <family val="1"/>
      <charset val="204"/>
      <scheme val="major"/>
    </font>
    <font>
      <b/>
      <sz val="10"/>
      <color theme="1"/>
      <name val="Cambria"/>
      <family val="1"/>
      <charset val="204"/>
      <scheme val="major"/>
    </font>
    <font>
      <sz val="10"/>
      <color rgb="FFFF0000"/>
      <name val="Cambria"/>
      <family val="1"/>
      <charset val="204"/>
      <scheme val="major"/>
    </font>
    <font>
      <sz val="12"/>
      <color indexed="8"/>
      <name val="Times New Roman"/>
      <family val="2"/>
      <charset val="204"/>
    </font>
    <font>
      <sz val="10"/>
      <name val="Cambria"/>
      <family val="1"/>
      <charset val="204"/>
    </font>
    <font>
      <sz val="10"/>
      <color theme="1"/>
      <name val="Cambria"/>
      <family val="1"/>
      <charset val="204"/>
      <scheme val="major"/>
    </font>
    <font>
      <sz val="12"/>
      <color theme="1"/>
      <name val="Times New Roman"/>
      <family val="2"/>
      <charset val="204"/>
    </font>
    <font>
      <b/>
      <vertAlign val="superscript"/>
      <sz val="10"/>
      <color indexed="8"/>
      <name val="Cambria"/>
      <family val="1"/>
      <charset val="204"/>
      <scheme val="major"/>
    </font>
    <font>
      <b/>
      <sz val="10"/>
      <color indexed="8"/>
      <name val="Cambria"/>
      <family val="1"/>
      <charset val="204"/>
      <scheme val="major"/>
    </font>
    <font>
      <b/>
      <i/>
      <sz val="10"/>
      <color theme="1"/>
      <name val="Cambria"/>
      <family val="1"/>
      <charset val="204"/>
      <scheme val="major"/>
    </font>
    <font>
      <i/>
      <sz val="10"/>
      <name val="Cambria"/>
      <family val="1"/>
      <charset val="204"/>
      <scheme val="major"/>
    </font>
    <font>
      <i/>
      <sz val="10"/>
      <color theme="1"/>
      <name val="Cambria"/>
      <family val="1"/>
      <charset val="204"/>
      <scheme val="major"/>
    </font>
    <font>
      <vertAlign val="superscript"/>
      <sz val="10"/>
      <name val="Cambria"/>
      <family val="1"/>
      <charset val="204"/>
      <scheme val="major"/>
    </font>
    <font>
      <b/>
      <vertAlign val="superscript"/>
      <sz val="10"/>
      <color theme="1"/>
      <name val="Cambria"/>
      <family val="1"/>
      <charset val="204"/>
      <scheme val="major"/>
    </font>
    <font>
      <sz val="10"/>
      <color theme="1"/>
      <name val="Times New Roman"/>
      <family val="2"/>
      <charset val="204"/>
    </font>
    <font>
      <b/>
      <sz val="10"/>
      <color rgb="FFFF0000"/>
      <name val="Cambria"/>
      <family val="1"/>
      <charset val="204"/>
      <scheme val="major"/>
    </font>
    <font>
      <b/>
      <sz val="8"/>
      <color theme="0"/>
      <name val="Cambria"/>
      <family val="1"/>
      <charset val="204"/>
      <scheme val="major"/>
    </font>
    <font>
      <vertAlign val="superscript"/>
      <sz val="10"/>
      <color theme="1"/>
      <name val="Cambria"/>
      <family val="1"/>
      <charset val="204"/>
      <scheme val="major"/>
    </font>
    <font>
      <sz val="10"/>
      <name val="Arial"/>
      <family val="2"/>
      <charset val="204"/>
    </font>
    <font>
      <b/>
      <sz val="10"/>
      <name val="Cambria"/>
      <family val="1"/>
      <charset val="204"/>
      <scheme val="major"/>
    </font>
    <font>
      <i/>
      <u/>
      <sz val="10"/>
      <name val="Cambria"/>
      <family val="1"/>
      <charset val="204"/>
      <scheme val="major"/>
    </font>
    <font>
      <b/>
      <sz val="14"/>
      <name val="Cambria"/>
      <family val="1"/>
      <charset val="204"/>
      <scheme val="major"/>
    </font>
    <font>
      <b/>
      <sz val="16"/>
      <name val="Cambria"/>
      <family val="1"/>
      <charset val="204"/>
      <scheme val="major"/>
    </font>
    <font>
      <b/>
      <sz val="11"/>
      <name val="Cambria"/>
      <family val="1"/>
      <charset val="204"/>
      <scheme val="major"/>
    </font>
    <font>
      <b/>
      <sz val="12"/>
      <color indexed="8"/>
      <name val="Cambria"/>
      <family val="1"/>
      <charset val="204"/>
      <scheme val="major"/>
    </font>
    <font>
      <sz val="10"/>
      <color indexed="8"/>
      <name val="Cambria"/>
      <family val="1"/>
      <charset val="204"/>
      <scheme val="major"/>
    </font>
    <font>
      <b/>
      <sz val="10"/>
      <color rgb="FF000000"/>
      <name val="Cambria"/>
      <family val="1"/>
      <charset val="204"/>
      <scheme val="major"/>
    </font>
    <font>
      <sz val="11"/>
      <color rgb="FF000000"/>
      <name val="Cambria"/>
      <family val="1"/>
      <charset val="204"/>
      <scheme val="minor"/>
    </font>
    <font>
      <b/>
      <vertAlign val="superscript"/>
      <sz val="10"/>
      <name val="Cambria"/>
      <family val="1"/>
      <charset val="204"/>
      <scheme val="major"/>
    </font>
    <font>
      <sz val="10"/>
      <color theme="1"/>
      <name val="Cambria"/>
      <family val="1"/>
      <charset val="204"/>
    </font>
    <font>
      <b/>
      <vertAlign val="superscript"/>
      <sz val="10"/>
      <color indexed="8"/>
      <name val="Cambria"/>
      <family val="1"/>
      <charset val="204"/>
    </font>
    <font>
      <b/>
      <sz val="10"/>
      <color indexed="8"/>
      <name val="Cambria"/>
      <family val="1"/>
      <charset val="204"/>
    </font>
    <font>
      <b/>
      <i/>
      <sz val="10"/>
      <name val="Cambria"/>
      <family val="1"/>
      <charset val="204"/>
      <scheme val="major"/>
    </font>
    <font>
      <b/>
      <sz val="10"/>
      <name val="Arial Cyr"/>
      <charset val="204"/>
    </font>
    <font>
      <b/>
      <sz val="14"/>
      <name val="Arial Cyr"/>
      <charset val="204"/>
    </font>
    <font>
      <b/>
      <sz val="16"/>
      <name val="Arial Cyr"/>
      <charset val="204"/>
    </font>
    <font>
      <b/>
      <sz val="11"/>
      <name val="Arial Cyr"/>
      <charset val="204"/>
    </font>
    <font>
      <b/>
      <sz val="12"/>
      <color indexed="8"/>
      <name val="Times New Roman"/>
      <family val="1"/>
      <charset val="204"/>
    </font>
    <font>
      <sz val="10"/>
      <color indexed="8"/>
      <name val="Arial Cyr"/>
      <charset val="204"/>
    </font>
    <font>
      <u/>
      <sz val="10.199999999999999"/>
      <color theme="10"/>
      <name val="Times New Roman"/>
      <family val="2"/>
      <charset val="204"/>
    </font>
    <font>
      <sz val="10"/>
      <color rgb="FFC00000"/>
      <name val="Cambria"/>
      <family val="1"/>
      <charset val="204"/>
      <scheme val="major"/>
    </font>
    <font>
      <i/>
      <sz val="10"/>
      <name val="Arial Cyr"/>
      <charset val="204"/>
    </font>
    <font>
      <b/>
      <sz val="10"/>
      <color rgb="FFFFFFFF"/>
      <name val="Cambria"/>
      <family val="1"/>
      <charset val="204"/>
      <scheme val="major"/>
    </font>
    <font>
      <sz val="10"/>
      <color rgb="FF000000"/>
      <name val="Cambria"/>
      <family val="1"/>
      <charset val="204"/>
      <scheme val="major"/>
    </font>
    <font>
      <b/>
      <sz val="12"/>
      <name val="Arial Cyr"/>
      <charset val="204"/>
    </font>
    <font>
      <sz val="12"/>
      <name val="Arial Cyr"/>
      <charset val="204"/>
    </font>
    <font>
      <sz val="11"/>
      <name val="Cambria"/>
      <family val="1"/>
      <charset val="204"/>
      <scheme val="major"/>
    </font>
    <font>
      <sz val="11"/>
      <color indexed="8"/>
      <name val="Cambria"/>
      <family val="1"/>
      <charset val="204"/>
      <scheme val="major"/>
    </font>
    <font>
      <i/>
      <sz val="10"/>
      <color indexed="8"/>
      <name val="Cambria"/>
      <family val="1"/>
      <charset val="204"/>
      <scheme val="major"/>
    </font>
    <font>
      <b/>
      <sz val="8"/>
      <name val="Cambria"/>
      <family val="1"/>
      <charset val="204"/>
      <scheme val="major"/>
    </font>
    <font>
      <b/>
      <sz val="10"/>
      <color indexed="8"/>
      <name val="Times New Roman"/>
      <family val="1"/>
      <charset val="204"/>
    </font>
    <font>
      <sz val="10"/>
      <color indexed="8"/>
      <name val="Times New Roman"/>
      <family val="2"/>
      <charset val="204"/>
    </font>
    <font>
      <b/>
      <sz val="8"/>
      <name val="Inherit"/>
      <charset val="204"/>
    </font>
    <font>
      <sz val="8"/>
      <name val="Inherit"/>
    </font>
    <font>
      <b/>
      <sz val="10"/>
      <name val="Inherit"/>
      <charset val="204"/>
    </font>
    <font>
      <sz val="11"/>
      <color rgb="FFFF0000"/>
      <name val="Cambria"/>
      <family val="2"/>
      <scheme val="minor"/>
    </font>
    <font>
      <sz val="11"/>
      <name val="Cambria"/>
      <family val="2"/>
      <scheme val="minor"/>
    </font>
  </fonts>
  <fills count="30">
    <fill>
      <patternFill patternType="none"/>
    </fill>
    <fill>
      <patternFill patternType="gray125"/>
    </fill>
    <fill>
      <patternFill patternType="solid">
        <fgColor rgb="FFC1E4F5"/>
        <bgColor indexed="64"/>
      </patternFill>
    </fill>
    <fill>
      <patternFill patternType="solid">
        <fgColor rgb="FF0F4761"/>
        <bgColor indexed="64"/>
      </patternFill>
    </fill>
    <fill>
      <patternFill patternType="solid">
        <fgColor rgb="FFBFBFBF"/>
        <bgColor indexed="64"/>
      </patternFill>
    </fill>
    <fill>
      <patternFill patternType="solid">
        <fgColor rgb="FFFFFF00"/>
        <bgColor indexed="64"/>
      </patternFill>
    </fill>
    <fill>
      <patternFill patternType="solid">
        <fgColor theme="9"/>
        <bgColor indexed="64"/>
      </patternFill>
    </fill>
    <fill>
      <patternFill patternType="solid">
        <fgColor theme="6" tint="0.39997558519241921"/>
        <bgColor indexed="64"/>
      </patternFill>
    </fill>
    <fill>
      <patternFill patternType="solid">
        <fgColor theme="3"/>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7" tint="0.39997558519241921"/>
        <bgColor rgb="FF000000"/>
      </patternFill>
    </fill>
    <fill>
      <patternFill patternType="solid">
        <fgColor rgb="FF92D050"/>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7C8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22" fillId="0" borderId="0"/>
    <xf numFmtId="0" fontId="24" fillId="0" borderId="0" applyNumberFormat="0" applyFill="0" applyBorder="0" applyAlignment="0" applyProtection="0"/>
    <xf numFmtId="0" fontId="26" fillId="0" borderId="0" applyNumberFormat="0" applyFill="0" applyBorder="0" applyAlignment="0" applyProtection="0">
      <alignment vertical="top"/>
      <protection locked="0"/>
    </xf>
    <xf numFmtId="0" fontId="30" fillId="0" borderId="0"/>
    <xf numFmtId="0" fontId="33" fillId="0" borderId="0"/>
    <xf numFmtId="0" fontId="41" fillId="0" borderId="0"/>
    <xf numFmtId="9" fontId="30" fillId="0" borderId="0" applyFont="0" applyFill="0" applyBorder="0" applyAlignment="0" applyProtection="0"/>
    <xf numFmtId="0" fontId="45" fillId="0" borderId="0"/>
    <xf numFmtId="9" fontId="22" fillId="0" borderId="0" applyFont="0" applyFill="0" applyBorder="0" applyAlignment="0" applyProtection="0"/>
    <xf numFmtId="0" fontId="66" fillId="0" borderId="0" applyNumberFormat="0" applyFill="0" applyBorder="0" applyAlignment="0" applyProtection="0">
      <alignment vertical="top"/>
      <protection locked="0"/>
    </xf>
    <xf numFmtId="9" fontId="45" fillId="0" borderId="0" applyFont="0" applyFill="0" applyBorder="0" applyAlignment="0" applyProtection="0"/>
    <xf numFmtId="9" fontId="22" fillId="0" borderId="0" applyFont="0" applyFill="0" applyBorder="0" applyAlignment="0" applyProtection="0"/>
  </cellStyleXfs>
  <cellXfs count="474">
    <xf numFmtId="0" fontId="0" fillId="0" borderId="0" xfId="0"/>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3" fontId="0" fillId="0" borderId="0" xfId="0" applyNumberFormat="1"/>
    <xf numFmtId="0" fontId="3" fillId="0" borderId="0" xfId="0" applyFont="1" applyAlignment="1">
      <alignment horizontal="center" vertical="center"/>
    </xf>
    <xf numFmtId="0" fontId="3" fillId="0" borderId="0" xfId="0" applyFont="1" applyAlignment="1">
      <alignment horizontal="center" vertical="center"/>
    </xf>
    <xf numFmtId="2" fontId="3" fillId="0" borderId="0" xfId="0" applyNumberFormat="1" applyFont="1" applyAlignment="1">
      <alignment horizontal="center" vertical="center"/>
    </xf>
    <xf numFmtId="4" fontId="0" fillId="0" borderId="0" xfId="0" applyNumberFormat="1"/>
    <xf numFmtId="0" fontId="0" fillId="0" borderId="0" xfId="0" applyAlignment="1">
      <alignment horizontal="center"/>
    </xf>
    <xf numFmtId="164" fontId="9" fillId="0" borderId="1" xfId="0" applyNumberFormat="1" applyFont="1" applyBorder="1" applyAlignment="1">
      <alignment horizontal="center" vertical="center" wrapText="1"/>
    </xf>
    <xf numFmtId="0" fontId="0" fillId="0" borderId="0" xfId="0" applyFill="1"/>
    <xf numFmtId="0" fontId="6" fillId="0" borderId="0" xfId="0" applyFont="1" applyFill="1" applyBorder="1" applyAlignment="1">
      <alignment horizontal="center" vertical="center" wrapText="1"/>
    </xf>
    <xf numFmtId="0" fontId="3" fillId="0" borderId="1" xfId="0" applyFont="1" applyBorder="1" applyAlignment="1">
      <alignment horizontal="center" vertical="center"/>
    </xf>
    <xf numFmtId="0" fontId="7" fillId="0" borderId="1" xfId="0" applyFont="1" applyFill="1" applyBorder="1" applyAlignment="1">
      <alignment horizontal="center" vertical="center" wrapText="1"/>
    </xf>
    <xf numFmtId="164"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xf>
    <xf numFmtId="3" fontId="0" fillId="0" borderId="0" xfId="0" applyNumberFormat="1" applyFill="1"/>
    <xf numFmtId="0" fontId="0" fillId="0" borderId="0" xfId="0" applyFill="1" applyAlignment="1">
      <alignment horizontal="center"/>
    </xf>
    <xf numFmtId="0" fontId="11" fillId="0" borderId="0" xfId="0" applyFont="1" applyAlignment="1">
      <alignment horizontal="center" vertical="center"/>
    </xf>
    <xf numFmtId="4" fontId="11" fillId="0" borderId="0" xfId="0" applyNumberFormat="1" applyFont="1" applyAlignment="1">
      <alignment horizontal="center" vertical="center"/>
    </xf>
    <xf numFmtId="4" fontId="3" fillId="0" borderId="0" xfId="0" applyNumberFormat="1" applyFont="1" applyAlignment="1">
      <alignment horizontal="center" vertical="center"/>
    </xf>
    <xf numFmtId="164" fontId="3" fillId="0" borderId="0" xfId="0" applyNumberFormat="1" applyFont="1" applyBorder="1" applyAlignment="1">
      <alignment horizontal="center" vertical="center"/>
    </xf>
    <xf numFmtId="2" fontId="3" fillId="0" borderId="0" xfId="0" applyNumberFormat="1" applyFont="1" applyBorder="1" applyAlignment="1">
      <alignment horizontal="center" vertical="center"/>
    </xf>
    <xf numFmtId="0" fontId="3" fillId="0" borderId="0" xfId="0" applyFont="1"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vertical="center"/>
    </xf>
    <xf numFmtId="0" fontId="6" fillId="2" borderId="2" xfId="0" applyFont="1" applyFill="1" applyBorder="1" applyAlignment="1">
      <alignment horizontal="center" vertical="center" wrapText="1"/>
    </xf>
    <xf numFmtId="164" fontId="9" fillId="0" borderId="0" xfId="0" applyNumberFormat="1" applyFont="1" applyBorder="1" applyAlignment="1">
      <alignment horizontal="center" vertical="center" wrapText="1"/>
    </xf>
    <xf numFmtId="0" fontId="6" fillId="2" borderId="0"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6" fillId="6" borderId="2" xfId="0" applyFont="1" applyFill="1" applyBorder="1" applyAlignment="1">
      <alignment horizontal="center" vertical="center" wrapText="1"/>
    </xf>
    <xf numFmtId="164" fontId="9" fillId="6" borderId="0" xfId="0" applyNumberFormat="1" applyFont="1" applyFill="1" applyBorder="1" applyAlignment="1">
      <alignment horizontal="center" vertical="center" wrapText="1"/>
    </xf>
    <xf numFmtId="0" fontId="6" fillId="6" borderId="0" xfId="0" applyFont="1" applyFill="1" applyBorder="1" applyAlignment="1">
      <alignment horizontal="center" vertical="center" wrapText="1"/>
    </xf>
    <xf numFmtId="0" fontId="10" fillId="6" borderId="0" xfId="0" applyFont="1" applyFill="1" applyBorder="1" applyAlignment="1">
      <alignment horizontal="center" vertical="center" wrapText="1"/>
    </xf>
    <xf numFmtId="0" fontId="11" fillId="0" borderId="1" xfId="0" applyFont="1" applyBorder="1" applyAlignment="1"/>
    <xf numFmtId="166" fontId="4" fillId="0" borderId="2" xfId="0" applyNumberFormat="1" applyFont="1" applyBorder="1" applyAlignment="1">
      <alignment horizontal="center" vertical="center" wrapText="1"/>
    </xf>
    <xf numFmtId="0" fontId="2" fillId="0" borderId="0" xfId="0" applyFont="1" applyBorder="1" applyAlignment="1"/>
    <xf numFmtId="0" fontId="2" fillId="0" borderId="0" xfId="0" applyFont="1" applyAlignment="1"/>
    <xf numFmtId="0" fontId="0" fillId="0" borderId="0" xfId="0" applyAlignment="1"/>
    <xf numFmtId="0" fontId="16" fillId="0" borderId="1" xfId="0" applyFont="1" applyBorder="1" applyAlignment="1">
      <alignment horizontal="center" vertical="center" wrapText="1"/>
    </xf>
    <xf numFmtId="4" fontId="16" fillId="0" borderId="1" xfId="0" applyNumberFormat="1" applyFont="1" applyBorder="1" applyAlignment="1">
      <alignment horizontal="center" vertical="center" wrapText="1"/>
    </xf>
    <xf numFmtId="0" fontId="17" fillId="0" borderId="1" xfId="0" applyFont="1" applyBorder="1" applyAlignment="1">
      <alignment horizontal="justify" vertical="center" wrapText="1"/>
    </xf>
    <xf numFmtId="166" fontId="18" fillId="0" borderId="1" xfId="0" applyNumberFormat="1" applyFont="1" applyBorder="1" applyAlignment="1">
      <alignment horizontal="right" vertical="center" wrapText="1"/>
    </xf>
    <xf numFmtId="0" fontId="16" fillId="0" borderId="1" xfId="0" applyFont="1" applyBorder="1" applyAlignment="1">
      <alignment vertical="center" wrapText="1"/>
    </xf>
    <xf numFmtId="0" fontId="16" fillId="0" borderId="1" xfId="0" applyFont="1" applyBorder="1" applyAlignment="1">
      <alignment horizontal="justify" vertical="center" wrapText="1"/>
    </xf>
    <xf numFmtId="0" fontId="16" fillId="0" borderId="0" xfId="0" applyFont="1" applyAlignment="1">
      <alignment vertical="center" wrapText="1"/>
    </xf>
    <xf numFmtId="4" fontId="16" fillId="0" borderId="1" xfId="0" applyNumberFormat="1" applyFont="1" applyBorder="1" applyAlignment="1">
      <alignment vertical="center" wrapText="1"/>
    </xf>
    <xf numFmtId="4" fontId="16" fillId="0" borderId="0" xfId="0" applyNumberFormat="1" applyFont="1" applyAlignment="1">
      <alignment vertical="center" wrapText="1"/>
    </xf>
    <xf numFmtId="0" fontId="16" fillId="0" borderId="0" xfId="0" applyFont="1" applyAlignment="1">
      <alignment horizontal="justify" vertical="center" wrapText="1"/>
    </xf>
    <xf numFmtId="166" fontId="16" fillId="0" borderId="1" xfId="0" applyNumberFormat="1" applyFont="1" applyBorder="1" applyAlignment="1">
      <alignment vertical="center" wrapText="1"/>
    </xf>
    <xf numFmtId="0" fontId="18" fillId="0" borderId="1" xfId="0" applyFont="1" applyBorder="1" applyAlignment="1">
      <alignment horizontal="justify" vertical="center" wrapText="1"/>
    </xf>
    <xf numFmtId="4" fontId="0" fillId="0" borderId="0" xfId="0" applyNumberFormat="1" applyAlignment="1"/>
    <xf numFmtId="0" fontId="16" fillId="5" borderId="1" xfId="0" applyFont="1" applyFill="1" applyBorder="1" applyAlignment="1">
      <alignment horizontal="justify" vertical="center" wrapText="1"/>
    </xf>
    <xf numFmtId="0" fontId="21" fillId="0" borderId="0" xfId="0" applyFont="1" applyAlignment="1">
      <alignment horizontal="center" vertical="center" wrapText="1"/>
    </xf>
    <xf numFmtId="3" fontId="16" fillId="0" borderId="0" xfId="0" applyNumberFormat="1" applyFont="1" applyAlignment="1">
      <alignment horizontal="right" vertical="center" wrapText="1"/>
    </xf>
    <xf numFmtId="4" fontId="16" fillId="5" borderId="1" xfId="0" applyNumberFormat="1" applyFont="1" applyFill="1" applyBorder="1" applyAlignment="1">
      <alignment vertical="center" wrapText="1"/>
    </xf>
    <xf numFmtId="0" fontId="16" fillId="0" borderId="5" xfId="0" applyFont="1" applyBorder="1" applyAlignment="1">
      <alignment horizontal="center" vertical="center" wrapText="1"/>
    </xf>
    <xf numFmtId="167" fontId="16" fillId="0" borderId="0" xfId="0" applyNumberFormat="1" applyFont="1" applyAlignment="1">
      <alignment vertical="center" wrapText="1"/>
    </xf>
    <xf numFmtId="0" fontId="16" fillId="0" borderId="0" xfId="0" applyFont="1" applyAlignment="1">
      <alignment horizontal="center" vertical="center" wrapText="1"/>
    </xf>
    <xf numFmtId="0" fontId="23" fillId="0" borderId="0" xfId="1" applyFont="1" applyAlignment="1">
      <alignment vertical="center"/>
    </xf>
    <xf numFmtId="0" fontId="22" fillId="0" borderId="0" xfId="1" applyAlignment="1">
      <alignment horizontal="center" vertical="center"/>
    </xf>
    <xf numFmtId="0" fontId="22" fillId="0" borderId="0" xfId="1"/>
    <xf numFmtId="0" fontId="24" fillId="0" borderId="0" xfId="2"/>
    <xf numFmtId="0" fontId="24" fillId="0" borderId="0" xfId="2" applyAlignment="1" applyProtection="1">
      <alignment vertical="center"/>
    </xf>
    <xf numFmtId="0" fontId="24" fillId="0" borderId="0" xfId="2" applyAlignment="1">
      <alignment vertical="center"/>
    </xf>
    <xf numFmtId="0" fontId="24" fillId="0" borderId="0" xfId="2" applyAlignment="1">
      <alignment horizontal="left" vertical="center"/>
    </xf>
    <xf numFmtId="0" fontId="23" fillId="0" borderId="0" xfId="1" applyFont="1" applyAlignment="1">
      <alignment horizontal="center" vertical="center"/>
    </xf>
    <xf numFmtId="0" fontId="23" fillId="7" borderId="0" xfId="1" applyFont="1" applyFill="1" applyAlignment="1">
      <alignment horizontal="center" vertical="center"/>
    </xf>
    <xf numFmtId="166" fontId="25" fillId="0" borderId="0" xfId="1" applyNumberFormat="1" applyFont="1" applyAlignment="1">
      <alignment horizontal="right" wrapText="1"/>
    </xf>
    <xf numFmtId="0" fontId="24" fillId="0" borderId="0" xfId="2" applyFill="1" applyBorder="1" applyAlignment="1" applyProtection="1">
      <alignment vertical="center"/>
    </xf>
    <xf numFmtId="0" fontId="24" fillId="0" borderId="0" xfId="2" applyAlignment="1" applyProtection="1"/>
    <xf numFmtId="0" fontId="26" fillId="0" borderId="0" xfId="3" applyAlignment="1" applyProtection="1">
      <alignment vertical="center"/>
    </xf>
    <xf numFmtId="3" fontId="27" fillId="8" borderId="1" xfId="1" applyNumberFormat="1" applyFont="1" applyFill="1" applyBorder="1" applyAlignment="1">
      <alignment horizontal="center" vertical="center" wrapText="1"/>
    </xf>
    <xf numFmtId="3" fontId="28" fillId="0" borderId="1" xfId="1" applyNumberFormat="1" applyFont="1" applyBorder="1" applyAlignment="1">
      <alignment horizontal="right" vertical="center" wrapText="1"/>
    </xf>
    <xf numFmtId="14" fontId="23" fillId="0" borderId="1" xfId="1" applyNumberFormat="1" applyFont="1" applyBorder="1" applyAlignment="1">
      <alignment horizontal="center" vertical="center" wrapText="1"/>
    </xf>
    <xf numFmtId="0" fontId="29" fillId="0" borderId="1" xfId="1" applyFont="1" applyBorder="1" applyAlignment="1">
      <alignment horizontal="center" vertical="center" wrapText="1"/>
    </xf>
    <xf numFmtId="3" fontId="23" fillId="0" borderId="1" xfId="4" applyNumberFormat="1" applyFont="1" applyBorder="1" applyAlignment="1">
      <alignment horizontal="center" vertical="center" wrapText="1"/>
    </xf>
    <xf numFmtId="0" fontId="23" fillId="0" borderId="1" xfId="1" applyFont="1" applyBorder="1" applyAlignment="1">
      <alignment horizontal="center" vertical="center"/>
    </xf>
    <xf numFmtId="0" fontId="23" fillId="0" borderId="1" xfId="1" applyFont="1" applyBorder="1" applyAlignment="1">
      <alignment horizontal="center" vertical="center" wrapText="1"/>
    </xf>
    <xf numFmtId="3" fontId="23" fillId="0" borderId="1" xfId="1" applyNumberFormat="1" applyFont="1" applyBorder="1" applyAlignment="1">
      <alignment horizontal="center" vertical="center" wrapText="1"/>
    </xf>
    <xf numFmtId="3" fontId="31" fillId="0" borderId="1" xfId="1" applyNumberFormat="1" applyFont="1" applyBorder="1" applyAlignment="1">
      <alignment horizontal="center" vertical="center" wrapText="1"/>
    </xf>
    <xf numFmtId="4" fontId="23" fillId="0" borderId="1" xfId="4" applyNumberFormat="1" applyFont="1" applyBorder="1" applyAlignment="1">
      <alignment horizontal="center" vertical="center" wrapText="1"/>
    </xf>
    <xf numFmtId="0" fontId="23" fillId="0" borderId="1" xfId="4" applyFont="1" applyBorder="1" applyAlignment="1">
      <alignment horizontal="center" vertical="center" wrapText="1"/>
    </xf>
    <xf numFmtId="0" fontId="31" fillId="0" borderId="1" xfId="4" applyFont="1" applyBorder="1" applyAlignment="1">
      <alignment horizontal="center" vertical="center" wrapText="1"/>
    </xf>
    <xf numFmtId="4" fontId="32" fillId="0" borderId="1" xfId="4" applyNumberFormat="1" applyFont="1" applyBorder="1" applyAlignment="1">
      <alignment horizontal="center" vertical="center" wrapText="1"/>
    </xf>
    <xf numFmtId="4" fontId="23" fillId="9" borderId="1" xfId="1" applyNumberFormat="1" applyFont="1" applyFill="1" applyBorder="1" applyAlignment="1">
      <alignment horizontal="center" vertical="center" wrapText="1"/>
    </xf>
    <xf numFmtId="0" fontId="23" fillId="0" borderId="1" xfId="5" applyFont="1" applyBorder="1" applyAlignment="1">
      <alignment horizontal="center" vertical="center" wrapText="1"/>
    </xf>
    <xf numFmtId="3" fontId="32" fillId="0" borderId="1" xfId="4" applyNumberFormat="1" applyFont="1" applyBorder="1" applyAlignment="1">
      <alignment horizontal="center" vertical="center" wrapText="1"/>
    </xf>
    <xf numFmtId="166" fontId="23" fillId="0" borderId="1" xfId="1" applyNumberFormat="1" applyFont="1" applyBorder="1" applyAlignment="1">
      <alignment horizontal="center" vertical="center" wrapText="1"/>
    </xf>
    <xf numFmtId="166" fontId="32" fillId="0" borderId="1" xfId="1" applyNumberFormat="1" applyFont="1" applyBorder="1" applyAlignment="1">
      <alignment horizontal="center" vertical="center" wrapText="1"/>
    </xf>
    <xf numFmtId="3" fontId="36" fillId="0" borderId="1" xfId="1" applyNumberFormat="1" applyFont="1" applyBorder="1" applyAlignment="1">
      <alignment horizontal="right" vertical="center" wrapText="1"/>
    </xf>
    <xf numFmtId="166" fontId="37" fillId="0" borderId="1" xfId="1" applyNumberFormat="1" applyFont="1" applyBorder="1" applyAlignment="1">
      <alignment horizontal="center" vertical="center" wrapText="1"/>
    </xf>
    <xf numFmtId="166" fontId="23" fillId="0" borderId="0" xfId="1" applyNumberFormat="1" applyFont="1" applyAlignment="1">
      <alignment vertical="center"/>
    </xf>
    <xf numFmtId="166" fontId="38" fillId="0" borderId="1" xfId="1" applyNumberFormat="1" applyFont="1" applyBorder="1" applyAlignment="1">
      <alignment horizontal="center" vertical="center" wrapText="1"/>
    </xf>
    <xf numFmtId="166" fontId="37" fillId="5" borderId="1" xfId="1" applyNumberFormat="1" applyFont="1" applyFill="1" applyBorder="1" applyAlignment="1">
      <alignment horizontal="center" vertical="center" wrapText="1"/>
    </xf>
    <xf numFmtId="0" fontId="23" fillId="7" borderId="0" xfId="1" applyFont="1" applyFill="1" applyAlignment="1">
      <alignment vertical="center"/>
    </xf>
    <xf numFmtId="3" fontId="28" fillId="5" borderId="1" xfId="1" applyNumberFormat="1" applyFont="1" applyFill="1" applyBorder="1" applyAlignment="1">
      <alignment horizontal="right" vertical="center" wrapText="1"/>
    </xf>
    <xf numFmtId="166" fontId="23" fillId="5" borderId="1" xfId="1" applyNumberFormat="1" applyFont="1" applyFill="1" applyBorder="1" applyAlignment="1">
      <alignment horizontal="center" vertical="center" wrapText="1"/>
    </xf>
    <xf numFmtId="0" fontId="23" fillId="5" borderId="0" xfId="1" applyFont="1" applyFill="1" applyAlignment="1">
      <alignment vertical="center"/>
    </xf>
    <xf numFmtId="166" fontId="32" fillId="5" borderId="1" xfId="1" applyNumberFormat="1" applyFont="1" applyFill="1" applyBorder="1" applyAlignment="1">
      <alignment horizontal="center" vertical="center" wrapText="1"/>
    </xf>
    <xf numFmtId="3" fontId="32" fillId="0" borderId="1" xfId="1" applyNumberFormat="1" applyFont="1" applyBorder="1" applyAlignment="1">
      <alignment horizontal="center" vertical="center" wrapText="1"/>
    </xf>
    <xf numFmtId="0" fontId="32" fillId="0" borderId="6" xfId="4" applyFont="1" applyBorder="1" applyAlignment="1">
      <alignment horizontal="center" vertical="center" wrapText="1"/>
    </xf>
    <xf numFmtId="3" fontId="29" fillId="0" borderId="1" xfId="1" applyNumberFormat="1" applyFont="1" applyBorder="1" applyAlignment="1">
      <alignment horizontal="center" vertical="center" wrapText="1"/>
    </xf>
    <xf numFmtId="3" fontId="23" fillId="0" borderId="1" xfId="5" applyNumberFormat="1" applyFont="1" applyBorder="1" applyAlignment="1">
      <alignment horizontal="center" vertical="center" wrapText="1"/>
    </xf>
    <xf numFmtId="0" fontId="27" fillId="8" borderId="1" xfId="6" applyFont="1" applyFill="1" applyBorder="1" applyAlignment="1">
      <alignment horizontal="center" vertical="center"/>
    </xf>
    <xf numFmtId="3" fontId="32" fillId="5" borderId="1" xfId="1" applyNumberFormat="1" applyFont="1" applyFill="1" applyBorder="1" applyAlignment="1">
      <alignment vertical="center" wrapText="1"/>
    </xf>
    <xf numFmtId="3" fontId="32" fillId="5" borderId="1" xfId="1" applyNumberFormat="1" applyFont="1" applyFill="1" applyBorder="1" applyAlignment="1">
      <alignment horizontal="center" vertical="center" wrapText="1"/>
    </xf>
    <xf numFmtId="2" fontId="23" fillId="5" borderId="1" xfId="7" applyNumberFormat="1" applyFont="1" applyFill="1" applyBorder="1" applyAlignment="1">
      <alignment horizontal="center" vertical="center" wrapText="1"/>
    </xf>
    <xf numFmtId="3" fontId="28" fillId="5" borderId="1" xfId="1" applyNumberFormat="1" applyFont="1" applyFill="1" applyBorder="1" applyAlignment="1">
      <alignment vertical="center" wrapText="1"/>
    </xf>
    <xf numFmtId="3" fontId="28" fillId="5" borderId="1" xfId="1" applyNumberFormat="1" applyFont="1" applyFill="1" applyBorder="1" applyAlignment="1">
      <alignment horizontal="center" vertical="center" wrapText="1"/>
    </xf>
    <xf numFmtId="3" fontId="32" fillId="10" borderId="1" xfId="1" applyNumberFormat="1" applyFont="1" applyFill="1" applyBorder="1" applyAlignment="1">
      <alignment vertical="center" wrapText="1"/>
    </xf>
    <xf numFmtId="3" fontId="32" fillId="10" borderId="1" xfId="1" applyNumberFormat="1" applyFont="1" applyFill="1" applyBorder="1" applyAlignment="1">
      <alignment horizontal="center" vertical="center" wrapText="1"/>
    </xf>
    <xf numFmtId="2" fontId="23" fillId="10" borderId="1" xfId="7" applyNumberFormat="1" applyFont="1" applyFill="1" applyBorder="1" applyAlignment="1">
      <alignment horizontal="center" vertical="center" wrapText="1"/>
    </xf>
    <xf numFmtId="3" fontId="28" fillId="10" borderId="1" xfId="1" applyNumberFormat="1" applyFont="1" applyFill="1" applyBorder="1" applyAlignment="1">
      <alignment vertical="center" wrapText="1"/>
    </xf>
    <xf numFmtId="3" fontId="28" fillId="10" borderId="1" xfId="1" applyNumberFormat="1" applyFont="1" applyFill="1" applyBorder="1" applyAlignment="1">
      <alignment horizontal="center" vertical="center" wrapText="1"/>
    </xf>
    <xf numFmtId="3" fontId="32" fillId="0" borderId="1" xfId="1" applyNumberFormat="1" applyFont="1" applyBorder="1" applyAlignment="1">
      <alignment vertical="center" wrapText="1"/>
    </xf>
    <xf numFmtId="2" fontId="23" fillId="0" borderId="1" xfId="7" applyNumberFormat="1" applyFont="1" applyFill="1" applyBorder="1" applyAlignment="1">
      <alignment horizontal="center" vertical="center" wrapText="1"/>
    </xf>
    <xf numFmtId="3" fontId="28" fillId="0" borderId="1" xfId="1" applyNumberFormat="1" applyFont="1" applyBorder="1" applyAlignment="1">
      <alignment vertical="center" wrapText="1"/>
    </xf>
    <xf numFmtId="3" fontId="28" fillId="0" borderId="1" xfId="1" applyNumberFormat="1" applyFont="1" applyBorder="1" applyAlignment="1">
      <alignment horizontal="center" vertical="center" wrapText="1"/>
    </xf>
    <xf numFmtId="3" fontId="42" fillId="0" borderId="1" xfId="1" applyNumberFormat="1" applyFont="1" applyBorder="1" applyAlignment="1">
      <alignment horizontal="center" vertical="center" wrapText="1"/>
    </xf>
    <xf numFmtId="0" fontId="43" fillId="8" borderId="1" xfId="6" applyFont="1" applyFill="1" applyBorder="1" applyAlignment="1">
      <alignment vertical="center"/>
    </xf>
    <xf numFmtId="3" fontId="32" fillId="0" borderId="1" xfId="1" applyNumberFormat="1" applyFont="1" applyBorder="1" applyAlignment="1">
      <alignment horizontal="left" vertical="center" wrapText="1"/>
    </xf>
    <xf numFmtId="3" fontId="28" fillId="0" borderId="0" xfId="1" applyNumberFormat="1" applyFont="1" applyAlignment="1">
      <alignment vertical="center" wrapText="1"/>
    </xf>
    <xf numFmtId="3" fontId="28" fillId="0" borderId="0" xfId="1" applyNumberFormat="1" applyFont="1" applyAlignment="1">
      <alignment horizontal="center" vertical="center" wrapText="1"/>
    </xf>
    <xf numFmtId="3" fontId="46" fillId="0" borderId="1" xfId="1" applyNumberFormat="1" applyFont="1" applyBorder="1" applyAlignment="1">
      <alignment horizontal="right" vertical="center"/>
    </xf>
    <xf numFmtId="166" fontId="46" fillId="0" borderId="1" xfId="1" applyNumberFormat="1" applyFont="1" applyBorder="1" applyAlignment="1">
      <alignment vertical="center"/>
    </xf>
    <xf numFmtId="3" fontId="37" fillId="0" borderId="1" xfId="1" applyNumberFormat="1" applyFont="1" applyBorder="1" applyAlignment="1">
      <alignment horizontal="right" vertical="center"/>
    </xf>
    <xf numFmtId="166" fontId="23" fillId="0" borderId="1" xfId="1" applyNumberFormat="1" applyFont="1" applyBorder="1" applyAlignment="1">
      <alignment vertical="center"/>
    </xf>
    <xf numFmtId="3" fontId="23" fillId="0" borderId="1" xfId="1" applyNumberFormat="1" applyFont="1" applyBorder="1" applyAlignment="1">
      <alignment horizontal="right" vertical="center"/>
    </xf>
    <xf numFmtId="3" fontId="23" fillId="0" borderId="1" xfId="1" applyNumberFormat="1" applyFont="1" applyBorder="1" applyAlignment="1">
      <alignment vertical="center"/>
    </xf>
    <xf numFmtId="3" fontId="23" fillId="0" borderId="0" xfId="1" applyNumberFormat="1" applyFont="1" applyAlignment="1">
      <alignment vertical="center"/>
    </xf>
    <xf numFmtId="0" fontId="23" fillId="0" borderId="1" xfId="1" applyFont="1" applyBorder="1" applyAlignment="1">
      <alignment vertical="center"/>
    </xf>
    <xf numFmtId="4" fontId="23" fillId="0" borderId="1" xfId="1" applyNumberFormat="1" applyFont="1" applyBorder="1" applyAlignment="1">
      <alignment vertical="center"/>
    </xf>
    <xf numFmtId="4" fontId="23" fillId="5" borderId="1" xfId="1" applyNumberFormat="1" applyFont="1" applyFill="1" applyBorder="1" applyAlignment="1">
      <alignment vertical="center"/>
    </xf>
    <xf numFmtId="4" fontId="23" fillId="0" borderId="0" xfId="1" applyNumberFormat="1" applyFont="1" applyAlignment="1">
      <alignment vertical="center"/>
    </xf>
    <xf numFmtId="0" fontId="46" fillId="0" borderId="1" xfId="1" applyFont="1" applyBorder="1" applyAlignment="1">
      <alignment horizontal="right" vertical="center"/>
    </xf>
    <xf numFmtId="0" fontId="47" fillId="10" borderId="1" xfId="1" applyFont="1" applyFill="1" applyBorder="1" applyAlignment="1">
      <alignment horizontal="right" vertical="center"/>
    </xf>
    <xf numFmtId="165" fontId="47" fillId="10" borderId="1" xfId="1" applyNumberFormat="1" applyFont="1" applyFill="1" applyBorder="1" applyAlignment="1">
      <alignment vertical="center"/>
    </xf>
    <xf numFmtId="0" fontId="46" fillId="0" borderId="1" xfId="1" applyFont="1" applyBorder="1" applyAlignment="1">
      <alignment vertical="center"/>
    </xf>
    <xf numFmtId="2" fontId="46" fillId="0" borderId="1" xfId="1" applyNumberFormat="1" applyFont="1" applyBorder="1" applyAlignment="1">
      <alignment vertical="center"/>
    </xf>
    <xf numFmtId="0" fontId="23" fillId="0" borderId="1" xfId="1" applyFont="1" applyBorder="1" applyAlignment="1">
      <alignment horizontal="right" vertical="center"/>
    </xf>
    <xf numFmtId="4" fontId="46" fillId="0" borderId="1" xfId="1" applyNumberFormat="1" applyFont="1" applyBorder="1" applyAlignment="1">
      <alignment vertical="center"/>
    </xf>
    <xf numFmtId="9" fontId="46" fillId="0" borderId="1" xfId="9" applyFont="1" applyBorder="1" applyAlignment="1">
      <alignment vertical="center"/>
    </xf>
    <xf numFmtId="0" fontId="46" fillId="12" borderId="1" xfId="1" applyFont="1" applyFill="1" applyBorder="1" applyAlignment="1">
      <alignment horizontal="right" vertical="center"/>
    </xf>
    <xf numFmtId="0" fontId="23" fillId="12" borderId="1" xfId="1" applyFont="1" applyFill="1" applyBorder="1" applyAlignment="1">
      <alignment vertical="center"/>
    </xf>
    <xf numFmtId="2" fontId="46" fillId="12" borderId="1" xfId="1" applyNumberFormat="1" applyFont="1" applyFill="1" applyBorder="1" applyAlignment="1">
      <alignment horizontal="right" vertical="center"/>
    </xf>
    <xf numFmtId="2" fontId="23" fillId="0" borderId="0" xfId="1" applyNumberFormat="1" applyFont="1" applyAlignment="1">
      <alignment vertical="center"/>
    </xf>
    <xf numFmtId="0" fontId="35" fillId="11" borderId="3" xfId="4" applyFont="1" applyFill="1" applyBorder="1" applyAlignment="1">
      <alignment horizontal="right" vertical="center"/>
    </xf>
    <xf numFmtId="0" fontId="23" fillId="5" borderId="1" xfId="1" applyFont="1" applyFill="1" applyBorder="1" applyAlignment="1">
      <alignment horizontal="right" vertical="center"/>
    </xf>
    <xf numFmtId="4" fontId="48" fillId="7" borderId="1" xfId="1" applyNumberFormat="1" applyFont="1" applyFill="1" applyBorder="1" applyAlignment="1">
      <alignment vertical="center"/>
    </xf>
    <xf numFmtId="9" fontId="23" fillId="0" borderId="1" xfId="9" applyFont="1" applyBorder="1" applyAlignment="1">
      <alignment vertical="center"/>
    </xf>
    <xf numFmtId="4" fontId="49" fillId="13" borderId="1" xfId="1" applyNumberFormat="1" applyFont="1" applyFill="1" applyBorder="1" applyAlignment="1">
      <alignment vertical="center"/>
    </xf>
    <xf numFmtId="2" fontId="50" fillId="0" borderId="1" xfId="1" applyNumberFormat="1" applyFont="1" applyBorder="1" applyAlignment="1">
      <alignment vertical="center"/>
    </xf>
    <xf numFmtId="0" fontId="51" fillId="0" borderId="1" xfId="4" applyFont="1" applyBorder="1" applyAlignment="1">
      <alignment horizontal="right" vertical="center" wrapText="1"/>
    </xf>
    <xf numFmtId="0" fontId="52" fillId="0" borderId="0" xfId="4" applyFont="1" applyAlignment="1">
      <alignment vertical="center"/>
    </xf>
    <xf numFmtId="2" fontId="52" fillId="0" borderId="0" xfId="4" applyNumberFormat="1" applyFont="1" applyAlignment="1">
      <alignment vertical="center"/>
    </xf>
    <xf numFmtId="0" fontId="17" fillId="0" borderId="0" xfId="0" applyFont="1" applyBorder="1" applyAlignment="1">
      <alignment horizontal="justify" vertical="center" wrapText="1"/>
    </xf>
    <xf numFmtId="166" fontId="18" fillId="0" borderId="0" xfId="0" applyNumberFormat="1" applyFont="1" applyBorder="1" applyAlignment="1">
      <alignment horizontal="right" vertical="center" wrapText="1"/>
    </xf>
    <xf numFmtId="0" fontId="18" fillId="0" borderId="0" xfId="0" applyFont="1" applyBorder="1" applyAlignment="1">
      <alignment horizontal="justify" vertical="center" wrapText="1"/>
    </xf>
    <xf numFmtId="0" fontId="16" fillId="0" borderId="0" xfId="0" applyFont="1" applyBorder="1" applyAlignment="1">
      <alignment vertical="center" wrapText="1"/>
    </xf>
    <xf numFmtId="166" fontId="16" fillId="0" borderId="0" xfId="0" applyNumberFormat="1" applyFont="1" applyBorder="1" applyAlignment="1">
      <alignment vertical="center" wrapText="1"/>
    </xf>
    <xf numFmtId="4" fontId="16" fillId="0" borderId="0" xfId="0" applyNumberFormat="1" applyFont="1" applyBorder="1" applyAlignment="1">
      <alignment vertical="center" wrapText="1"/>
    </xf>
    <xf numFmtId="0" fontId="16" fillId="0" borderId="0" xfId="0" applyFont="1" applyBorder="1" applyAlignment="1">
      <alignment horizontal="justify" vertical="center" wrapText="1"/>
    </xf>
    <xf numFmtId="167" fontId="16" fillId="0" borderId="1" xfId="0" applyNumberFormat="1" applyFont="1" applyBorder="1" applyAlignment="1">
      <alignment vertical="center" wrapText="1"/>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0" fillId="0" borderId="0" xfId="0" applyAlignment="1">
      <alignment vertical="center"/>
    </xf>
    <xf numFmtId="0" fontId="21" fillId="0" borderId="1" xfId="0" applyFont="1" applyBorder="1" applyAlignment="1">
      <alignment vertical="center"/>
    </xf>
    <xf numFmtId="3" fontId="21" fillId="0" borderId="1" xfId="0" applyNumberFormat="1" applyFont="1" applyBorder="1" applyAlignment="1">
      <alignment horizontal="center" vertical="center"/>
    </xf>
    <xf numFmtId="0" fontId="21" fillId="14" borderId="0" xfId="0" applyFont="1" applyFill="1" applyAlignment="1">
      <alignment vertical="center"/>
    </xf>
    <xf numFmtId="3" fontId="37" fillId="13" borderId="1" xfId="1" applyNumberFormat="1" applyFont="1" applyFill="1" applyBorder="1" applyAlignment="1">
      <alignment horizontal="right" vertical="center"/>
    </xf>
    <xf numFmtId="3" fontId="37" fillId="14" borderId="1" xfId="1" applyNumberFormat="1" applyFont="1" applyFill="1" applyBorder="1" applyAlignment="1">
      <alignment horizontal="right" vertical="center"/>
    </xf>
    <xf numFmtId="0" fontId="16" fillId="0" borderId="1" xfId="0" applyFont="1" applyBorder="1" applyAlignment="1">
      <alignment vertical="center"/>
    </xf>
    <xf numFmtId="4" fontId="54" fillId="0" borderId="1" xfId="0" applyNumberFormat="1" applyFont="1" applyFill="1" applyBorder="1" applyAlignment="1">
      <alignment horizontal="right" vertical="center" wrapText="1"/>
    </xf>
    <xf numFmtId="0" fontId="21" fillId="15" borderId="1" xfId="0" applyFont="1" applyFill="1" applyBorder="1" applyAlignment="1">
      <alignment horizontal="center" vertical="center"/>
    </xf>
    <xf numFmtId="4" fontId="23" fillId="13" borderId="1" xfId="1" applyNumberFormat="1" applyFont="1" applyFill="1" applyBorder="1" applyAlignment="1">
      <alignment vertical="center"/>
    </xf>
    <xf numFmtId="4" fontId="23" fillId="0" borderId="0" xfId="1" applyNumberFormat="1" applyFont="1" applyBorder="1" applyAlignment="1">
      <alignment vertical="center"/>
    </xf>
    <xf numFmtId="4" fontId="23" fillId="14" borderId="1" xfId="1" applyNumberFormat="1" applyFont="1" applyFill="1" applyBorder="1" applyAlignment="1">
      <alignment vertical="center"/>
    </xf>
    <xf numFmtId="0" fontId="46" fillId="16" borderId="1" xfId="1" applyFont="1" applyFill="1" applyBorder="1" applyAlignment="1">
      <alignment horizontal="right" vertical="center"/>
    </xf>
    <xf numFmtId="0" fontId="50" fillId="17" borderId="1" xfId="1" applyFont="1" applyFill="1" applyBorder="1" applyAlignment="1">
      <alignment horizontal="center" vertical="center"/>
    </xf>
    <xf numFmtId="3" fontId="23" fillId="17" borderId="1" xfId="1" applyNumberFormat="1" applyFont="1" applyFill="1" applyBorder="1" applyAlignment="1">
      <alignment vertical="center"/>
    </xf>
    <xf numFmtId="3" fontId="46" fillId="18" borderId="1" xfId="1" applyNumberFormat="1" applyFont="1" applyFill="1" applyBorder="1" applyAlignment="1">
      <alignment horizontal="right" vertical="center"/>
    </xf>
    <xf numFmtId="166" fontId="46" fillId="18" borderId="1" xfId="1" applyNumberFormat="1" applyFont="1" applyFill="1" applyBorder="1" applyAlignment="1">
      <alignment vertical="center"/>
    </xf>
    <xf numFmtId="0" fontId="24" fillId="0" borderId="0" xfId="2" applyAlignment="1">
      <alignment horizontal="center" vertical="center"/>
    </xf>
    <xf numFmtId="0" fontId="46" fillId="0" borderId="0" xfId="1" applyFont="1" applyAlignment="1">
      <alignment horizontal="center" vertical="center"/>
    </xf>
    <xf numFmtId="0" fontId="26" fillId="0" borderId="0" xfId="3" applyAlignment="1" applyProtection="1"/>
    <xf numFmtId="3" fontId="23" fillId="9" borderId="1" xfId="4" applyNumberFormat="1" applyFont="1" applyFill="1" applyBorder="1" applyAlignment="1">
      <alignment horizontal="center" vertical="center" wrapText="1"/>
    </xf>
    <xf numFmtId="0" fontId="56" fillId="9" borderId="1" xfId="4" applyFont="1" applyFill="1" applyBorder="1" applyAlignment="1">
      <alignment horizontal="center" vertical="center" wrapText="1"/>
    </xf>
    <xf numFmtId="0" fontId="23" fillId="9" borderId="1" xfId="1" applyFont="1" applyFill="1" applyBorder="1" applyAlignment="1">
      <alignment horizontal="center" vertical="center" wrapText="1"/>
    </xf>
    <xf numFmtId="0" fontId="29" fillId="5" borderId="1" xfId="1" applyFont="1" applyFill="1" applyBorder="1" applyAlignment="1">
      <alignment horizontal="center" vertical="center" wrapText="1"/>
    </xf>
    <xf numFmtId="3" fontId="23" fillId="5" borderId="1" xfId="1" applyNumberFormat="1" applyFont="1" applyFill="1" applyBorder="1" applyAlignment="1">
      <alignment horizontal="center" vertical="center" wrapText="1"/>
    </xf>
    <xf numFmtId="0" fontId="23" fillId="5" borderId="1" xfId="1" applyFont="1" applyFill="1" applyBorder="1" applyAlignment="1">
      <alignment horizontal="center" vertical="center" wrapText="1"/>
    </xf>
    <xf numFmtId="0" fontId="22" fillId="5" borderId="0" xfId="1" applyFill="1"/>
    <xf numFmtId="3" fontId="32" fillId="5" borderId="1" xfId="4" applyNumberFormat="1" applyFont="1" applyFill="1" applyBorder="1" applyAlignment="1">
      <alignment horizontal="center" vertical="center" wrapText="1"/>
    </xf>
    <xf numFmtId="3" fontId="23" fillId="9" borderId="1" xfId="1" applyNumberFormat="1" applyFont="1" applyFill="1" applyBorder="1" applyAlignment="1">
      <alignment horizontal="center" vertical="center" wrapText="1"/>
    </xf>
    <xf numFmtId="166" fontId="37" fillId="9" borderId="1" xfId="1" applyNumberFormat="1" applyFont="1" applyFill="1" applyBorder="1" applyAlignment="1">
      <alignment horizontal="center" vertical="center" wrapText="1"/>
    </xf>
    <xf numFmtId="3" fontId="59" fillId="0" borderId="1" xfId="1" applyNumberFormat="1" applyFont="1" applyBorder="1" applyAlignment="1">
      <alignment horizontal="right" vertical="center" wrapText="1"/>
    </xf>
    <xf numFmtId="166" fontId="23" fillId="9" borderId="1" xfId="1" applyNumberFormat="1" applyFont="1" applyFill="1" applyBorder="1" applyAlignment="1">
      <alignment horizontal="center" vertical="center" wrapText="1"/>
    </xf>
    <xf numFmtId="0" fontId="23" fillId="0" borderId="6" xfId="4" applyFont="1" applyBorder="1" applyAlignment="1">
      <alignment horizontal="center" vertical="center" wrapText="1"/>
    </xf>
    <xf numFmtId="0" fontId="23" fillId="9" borderId="6" xfId="4" applyFont="1" applyFill="1" applyBorder="1" applyAlignment="1">
      <alignment horizontal="center" vertical="center" wrapText="1"/>
    </xf>
    <xf numFmtId="3" fontId="23" fillId="9" borderId="1" xfId="5" applyNumberFormat="1" applyFont="1" applyFill="1" applyBorder="1" applyAlignment="1">
      <alignment horizontal="center" vertical="center" wrapText="1"/>
    </xf>
    <xf numFmtId="3" fontId="32" fillId="19" borderId="1" xfId="1" applyNumberFormat="1" applyFont="1" applyFill="1" applyBorder="1" applyAlignment="1">
      <alignment vertical="center" wrapText="1"/>
    </xf>
    <xf numFmtId="3" fontId="32" fillId="19" borderId="1" xfId="1" applyNumberFormat="1" applyFont="1" applyFill="1" applyBorder="1" applyAlignment="1">
      <alignment horizontal="center" vertical="center" wrapText="1"/>
    </xf>
    <xf numFmtId="2" fontId="23" fillId="19" borderId="1" xfId="7" applyNumberFormat="1" applyFont="1" applyFill="1" applyBorder="1" applyAlignment="1">
      <alignment horizontal="center" vertical="center" wrapText="1"/>
    </xf>
    <xf numFmtId="3" fontId="28" fillId="19" borderId="1" xfId="1" applyNumberFormat="1" applyFont="1" applyFill="1" applyBorder="1" applyAlignment="1">
      <alignment vertical="center" wrapText="1"/>
    </xf>
    <xf numFmtId="3" fontId="28" fillId="19" borderId="1" xfId="1" applyNumberFormat="1" applyFont="1" applyFill="1" applyBorder="1" applyAlignment="1">
      <alignment horizontal="center" vertical="center" wrapText="1"/>
    </xf>
    <xf numFmtId="3" fontId="42" fillId="19" borderId="1" xfId="1" applyNumberFormat="1" applyFont="1" applyFill="1" applyBorder="1" applyAlignment="1">
      <alignment horizontal="center" vertical="center" wrapText="1"/>
    </xf>
    <xf numFmtId="0" fontId="60" fillId="11" borderId="0" xfId="1" applyFont="1" applyFill="1" applyAlignment="1">
      <alignment vertical="center"/>
    </xf>
    <xf numFmtId="0" fontId="22" fillId="11" borderId="0" xfId="1" applyFill="1" applyAlignment="1">
      <alignment vertical="center"/>
    </xf>
    <xf numFmtId="0" fontId="27" fillId="11" borderId="1" xfId="8" applyFont="1" applyFill="1" applyBorder="1" applyAlignment="1">
      <alignment vertical="center"/>
    </xf>
    <xf numFmtId="0" fontId="27" fillId="11" borderId="1" xfId="4" applyFont="1" applyFill="1" applyBorder="1" applyAlignment="1">
      <alignment horizontal="center" vertical="center" wrapText="1"/>
    </xf>
    <xf numFmtId="3" fontId="28" fillId="11" borderId="1" xfId="1" applyNumberFormat="1" applyFont="1" applyFill="1" applyBorder="1" applyAlignment="1">
      <alignment vertical="center" wrapText="1"/>
    </xf>
    <xf numFmtId="3" fontId="28" fillId="11" borderId="1" xfId="1" applyNumberFormat="1" applyFont="1" applyFill="1" applyBorder="1" applyAlignment="1">
      <alignment horizontal="center" vertical="center" wrapText="1"/>
    </xf>
    <xf numFmtId="3" fontId="60" fillId="0" borderId="1" xfId="1" applyNumberFormat="1" applyFont="1" applyBorder="1"/>
    <xf numFmtId="166" fontId="60" fillId="0" borderId="1" xfId="1" applyNumberFormat="1" applyFont="1" applyBorder="1"/>
    <xf numFmtId="3" fontId="22" fillId="0" borderId="1" xfId="1" applyNumberFormat="1" applyBorder="1"/>
    <xf numFmtId="166" fontId="22" fillId="0" borderId="1" xfId="1" applyNumberFormat="1" applyBorder="1"/>
    <xf numFmtId="3" fontId="22" fillId="0" borderId="0" xfId="1" applyNumberFormat="1"/>
    <xf numFmtId="0" fontId="60" fillId="0" borderId="1" xfId="1" applyFont="1" applyBorder="1" applyAlignment="1">
      <alignment horizontal="center" vertical="center"/>
    </xf>
    <xf numFmtId="4" fontId="60" fillId="0" borderId="1" xfId="1" applyNumberFormat="1" applyFont="1" applyBorder="1"/>
    <xf numFmtId="4" fontId="22" fillId="0" borderId="1" xfId="1" applyNumberFormat="1" applyBorder="1"/>
    <xf numFmtId="4" fontId="22" fillId="0" borderId="0" xfId="1" applyNumberFormat="1"/>
    <xf numFmtId="0" fontId="60" fillId="0" borderId="1" xfId="1" applyFont="1" applyBorder="1" applyAlignment="1">
      <alignment horizontal="right"/>
    </xf>
    <xf numFmtId="164" fontId="22" fillId="0" borderId="1" xfId="1" applyNumberFormat="1" applyBorder="1"/>
    <xf numFmtId="0" fontId="22" fillId="0" borderId="1" xfId="1" applyBorder="1"/>
    <xf numFmtId="164" fontId="22" fillId="0" borderId="5" xfId="1" applyNumberFormat="1" applyBorder="1"/>
    <xf numFmtId="0" fontId="22" fillId="0" borderId="1" xfId="1" applyBorder="1" applyAlignment="1">
      <alignment horizontal="right"/>
    </xf>
    <xf numFmtId="169" fontId="22" fillId="0" borderId="1" xfId="1" applyNumberFormat="1" applyBorder="1"/>
    <xf numFmtId="2" fontId="22" fillId="0" borderId="1" xfId="1" applyNumberFormat="1" applyBorder="1"/>
    <xf numFmtId="0" fontId="60" fillId="0" borderId="1" xfId="1" applyFont="1" applyBorder="1"/>
    <xf numFmtId="2" fontId="60" fillId="0" borderId="1" xfId="1" applyNumberFormat="1" applyFont="1" applyBorder="1"/>
    <xf numFmtId="9" fontId="60" fillId="0" borderId="1" xfId="9" applyFont="1" applyBorder="1"/>
    <xf numFmtId="0" fontId="60" fillId="12" borderId="1" xfId="1" applyFont="1" applyFill="1" applyBorder="1" applyAlignment="1">
      <alignment horizontal="right"/>
    </xf>
    <xf numFmtId="0" fontId="22" fillId="12" borderId="1" xfId="1" applyFill="1" applyBorder="1"/>
    <xf numFmtId="2" fontId="60" fillId="12" borderId="1" xfId="1" applyNumberFormat="1" applyFont="1" applyFill="1" applyBorder="1" applyAlignment="1">
      <alignment horizontal="right"/>
    </xf>
    <xf numFmtId="2" fontId="22" fillId="0" borderId="0" xfId="1" applyNumberFormat="1"/>
    <xf numFmtId="0" fontId="61" fillId="20" borderId="1" xfId="1" applyFont="1" applyFill="1" applyBorder="1" applyAlignment="1">
      <alignment horizontal="right"/>
    </xf>
    <xf numFmtId="4" fontId="61" fillId="20" borderId="1" xfId="1" applyNumberFormat="1" applyFont="1" applyFill="1" applyBorder="1"/>
    <xf numFmtId="9" fontId="0" fillId="0" borderId="1" xfId="9" applyFont="1" applyBorder="1"/>
    <xf numFmtId="4" fontId="62" fillId="13" borderId="1" xfId="1" applyNumberFormat="1" applyFont="1" applyFill="1" applyBorder="1"/>
    <xf numFmtId="2" fontId="63" fillId="0" borderId="1" xfId="1" applyNumberFormat="1" applyFont="1" applyBorder="1"/>
    <xf numFmtId="0" fontId="64" fillId="0" borderId="1" xfId="4" applyFont="1" applyBorder="1" applyAlignment="1">
      <alignment horizontal="right" vertical="center" wrapText="1"/>
    </xf>
    <xf numFmtId="164" fontId="64" fillId="0" borderId="1" xfId="4" applyNumberFormat="1" applyFont="1" applyBorder="1" applyAlignment="1">
      <alignment vertical="center" wrapText="1"/>
    </xf>
    <xf numFmtId="0" fontId="30" fillId="0" borderId="1" xfId="4" applyBorder="1" applyAlignment="1">
      <alignment horizontal="right" vertical="center" wrapText="1"/>
    </xf>
    <xf numFmtId="164" fontId="30" fillId="0" borderId="1" xfId="4" applyNumberFormat="1" applyBorder="1" applyAlignment="1">
      <alignment vertical="center" wrapText="1"/>
    </xf>
    <xf numFmtId="0" fontId="22" fillId="0" borderId="0" xfId="1" applyAlignment="1">
      <alignment vertical="center"/>
    </xf>
    <xf numFmtId="0" fontId="65" fillId="0" borderId="0" xfId="4" applyFont="1" applyAlignment="1">
      <alignment vertical="center"/>
    </xf>
    <xf numFmtId="4" fontId="22" fillId="0" borderId="1" xfId="1" applyNumberFormat="1" applyFont="1" applyBorder="1"/>
    <xf numFmtId="0" fontId="60" fillId="5" borderId="1" xfId="1" applyFont="1" applyFill="1" applyBorder="1" applyAlignment="1">
      <alignment horizontal="right"/>
    </xf>
    <xf numFmtId="4" fontId="22" fillId="5" borderId="0" xfId="1" applyNumberFormat="1" applyFill="1"/>
    <xf numFmtId="3" fontId="22" fillId="5" borderId="0" xfId="1" applyNumberFormat="1" applyFill="1"/>
    <xf numFmtId="3" fontId="38" fillId="0" borderId="1" xfId="1" applyNumberFormat="1" applyFont="1" applyBorder="1" applyAlignment="1">
      <alignment horizontal="right" vertical="center" wrapText="1"/>
    </xf>
    <xf numFmtId="0" fontId="1" fillId="0" borderId="0" xfId="0" applyFont="1" applyAlignment="1">
      <alignment horizontal="center" vertical="center"/>
    </xf>
    <xf numFmtId="4" fontId="21" fillId="0" borderId="0" xfId="0" applyNumberFormat="1" applyFont="1" applyAlignment="1">
      <alignment horizontal="center"/>
    </xf>
    <xf numFmtId="2" fontId="0" fillId="0" borderId="0" xfId="0" applyNumberFormat="1" applyAlignment="1">
      <alignment horizontal="center" vertical="center"/>
    </xf>
    <xf numFmtId="2" fontId="0" fillId="0" borderId="0" xfId="0" applyNumberFormat="1" applyAlignment="1">
      <alignment horizontal="center"/>
    </xf>
    <xf numFmtId="2" fontId="1" fillId="0" borderId="0" xfId="0" applyNumberFormat="1" applyFont="1" applyAlignment="1">
      <alignment horizontal="center" vertical="center"/>
    </xf>
    <xf numFmtId="0" fontId="17" fillId="0" borderId="6" xfId="0" applyFont="1" applyBorder="1" applyAlignment="1">
      <alignment horizontal="justify" vertical="center" wrapText="1"/>
    </xf>
    <xf numFmtId="166" fontId="18" fillId="0" borderId="6" xfId="0" applyNumberFormat="1" applyFont="1" applyBorder="1" applyAlignment="1">
      <alignment horizontal="right" vertical="center" wrapText="1"/>
    </xf>
    <xf numFmtId="0" fontId="16" fillId="0" borderId="6" xfId="0" applyFont="1" applyBorder="1" applyAlignment="1">
      <alignment vertical="center" wrapText="1"/>
    </xf>
    <xf numFmtId="166" fontId="16" fillId="0" borderId="6" xfId="0" applyNumberFormat="1" applyFont="1" applyBorder="1" applyAlignment="1">
      <alignment vertical="center" wrapText="1"/>
    </xf>
    <xf numFmtId="4" fontId="16" fillId="0" borderId="6" xfId="0" applyNumberFormat="1" applyFont="1" applyBorder="1" applyAlignment="1">
      <alignment vertical="center" wrapText="1"/>
    </xf>
    <xf numFmtId="0" fontId="16" fillId="0" borderId="6" xfId="0" applyFont="1" applyBorder="1" applyAlignment="1">
      <alignment horizontal="justify" vertical="center" wrapText="1"/>
    </xf>
    <xf numFmtId="3" fontId="22" fillId="0" borderId="0" xfId="1" applyNumberFormat="1" applyAlignment="1">
      <alignment vertical="center"/>
    </xf>
    <xf numFmtId="0" fontId="60" fillId="0" borderId="0" xfId="1" applyFont="1" applyAlignment="1">
      <alignment horizontal="center" vertical="center"/>
    </xf>
    <xf numFmtId="0" fontId="26" fillId="0" borderId="0" xfId="3" applyAlignment="1" applyProtection="1">
      <alignment horizontal="left" vertical="center"/>
    </xf>
    <xf numFmtId="4" fontId="22" fillId="0" borderId="0" xfId="1" applyNumberFormat="1" applyAlignment="1">
      <alignment vertical="center"/>
    </xf>
    <xf numFmtId="166" fontId="66" fillId="0" borderId="0" xfId="10" applyNumberFormat="1" applyFill="1" applyBorder="1" applyAlignment="1" applyProtection="1">
      <alignment horizontal="left"/>
    </xf>
    <xf numFmtId="14" fontId="25" fillId="0" borderId="0" xfId="1" applyNumberFormat="1" applyFont="1" applyAlignment="1">
      <alignment horizontal="center" vertical="center" wrapText="1"/>
    </xf>
    <xf numFmtId="166" fontId="26" fillId="0" borderId="0" xfId="3" applyNumberFormat="1" applyFill="1" applyBorder="1" applyAlignment="1" applyProtection="1">
      <alignment horizontal="left" vertical="center"/>
    </xf>
    <xf numFmtId="4" fontId="67" fillId="0" borderId="1" xfId="4" applyNumberFormat="1" applyFont="1" applyBorder="1" applyAlignment="1">
      <alignment horizontal="center" vertical="center" wrapText="1"/>
    </xf>
    <xf numFmtId="4" fontId="23" fillId="0" borderId="1" xfId="1" applyNumberFormat="1" applyFont="1" applyBorder="1" applyAlignment="1">
      <alignment horizontal="center" vertical="center" wrapText="1"/>
    </xf>
    <xf numFmtId="0" fontId="67" fillId="5" borderId="1" xfId="5" applyFont="1" applyFill="1" applyBorder="1" applyAlignment="1">
      <alignment horizontal="center" vertical="center" wrapText="1"/>
    </xf>
    <xf numFmtId="0" fontId="67" fillId="0" borderId="1" xfId="5" applyFont="1" applyBorder="1" applyAlignment="1">
      <alignment horizontal="center" vertical="center" wrapText="1"/>
    </xf>
    <xf numFmtId="0" fontId="23" fillId="5" borderId="1" xfId="5" applyFont="1" applyFill="1" applyBorder="1" applyAlignment="1">
      <alignment horizontal="center" vertical="center" wrapText="1"/>
    </xf>
    <xf numFmtId="3" fontId="36" fillId="20" borderId="1" xfId="1" applyNumberFormat="1" applyFont="1" applyFill="1" applyBorder="1" applyAlignment="1">
      <alignment horizontal="right" vertical="center" wrapText="1"/>
    </xf>
    <xf numFmtId="3" fontId="36" fillId="17" borderId="1" xfId="1" applyNumberFormat="1" applyFont="1" applyFill="1" applyBorder="1" applyAlignment="1">
      <alignment horizontal="right" vertical="center" wrapText="1"/>
    </xf>
    <xf numFmtId="3" fontId="36" fillId="16" borderId="1" xfId="1" applyNumberFormat="1" applyFont="1" applyFill="1" applyBorder="1" applyAlignment="1">
      <alignment horizontal="right" vertical="center" wrapText="1"/>
    </xf>
    <xf numFmtId="3" fontId="36" fillId="13" borderId="1" xfId="1" applyNumberFormat="1" applyFont="1" applyFill="1" applyBorder="1" applyAlignment="1">
      <alignment horizontal="right" vertical="center" wrapText="1"/>
    </xf>
    <xf numFmtId="0" fontId="68" fillId="0" borderId="0" xfId="1" applyFont="1" applyAlignment="1">
      <alignment vertical="center"/>
    </xf>
    <xf numFmtId="3" fontId="29" fillId="5" borderId="1" xfId="1" applyNumberFormat="1" applyFont="1" applyFill="1" applyBorder="1" applyAlignment="1">
      <alignment horizontal="center" vertical="center" wrapText="1"/>
    </xf>
    <xf numFmtId="3" fontId="67" fillId="5" borderId="1" xfId="1" applyNumberFormat="1" applyFont="1" applyFill="1" applyBorder="1" applyAlignment="1">
      <alignment horizontal="center" vertical="center" wrapText="1"/>
    </xf>
    <xf numFmtId="3" fontId="67" fillId="0" borderId="1" xfId="1" applyNumberFormat="1" applyFont="1" applyBorder="1" applyAlignment="1">
      <alignment horizontal="center" vertical="center" wrapText="1"/>
    </xf>
    <xf numFmtId="3" fontId="23" fillId="0" borderId="1" xfId="4" applyNumberFormat="1" applyFont="1" applyBorder="1" applyAlignment="1">
      <alignment horizontal="center" vertical="top" wrapText="1"/>
    </xf>
    <xf numFmtId="4" fontId="32" fillId="0" borderId="1" xfId="1" applyNumberFormat="1" applyFont="1" applyBorder="1" applyAlignment="1">
      <alignment horizontal="center" vertical="center" wrapText="1"/>
    </xf>
    <xf numFmtId="0" fontId="22" fillId="5" borderId="0" xfId="1" applyFill="1" applyAlignment="1">
      <alignment vertical="center"/>
    </xf>
    <xf numFmtId="3" fontId="46" fillId="0" borderId="1" xfId="1" applyNumberFormat="1" applyFont="1" applyBorder="1" applyAlignment="1">
      <alignment horizontal="center" vertical="center" wrapText="1"/>
    </xf>
    <xf numFmtId="3" fontId="46" fillId="5" borderId="1" xfId="1" applyNumberFormat="1" applyFont="1" applyFill="1" applyBorder="1" applyAlignment="1">
      <alignment horizontal="center" vertical="center" wrapText="1"/>
    </xf>
    <xf numFmtId="0" fontId="32" fillId="0" borderId="1" xfId="1" applyFont="1" applyBorder="1" applyAlignment="1">
      <alignment horizontal="center" vertical="center" wrapText="1"/>
    </xf>
    <xf numFmtId="0" fontId="32" fillId="0" borderId="0" xfId="1" applyFont="1" applyAlignment="1">
      <alignment horizontal="center" vertical="center" wrapText="1"/>
    </xf>
    <xf numFmtId="3" fontId="53" fillId="14" borderId="0" xfId="1" applyNumberFormat="1" applyFont="1" applyFill="1" applyAlignment="1">
      <alignment vertical="center" wrapText="1"/>
    </xf>
    <xf numFmtId="3" fontId="53" fillId="14" borderId="0" xfId="1" applyNumberFormat="1" applyFont="1" applyFill="1" applyAlignment="1">
      <alignment horizontal="center" vertical="center" wrapText="1"/>
    </xf>
    <xf numFmtId="0" fontId="69" fillId="21" borderId="1" xfId="8" applyFont="1" applyFill="1" applyBorder="1" applyAlignment="1">
      <alignment horizontal="center" vertical="center"/>
    </xf>
    <xf numFmtId="0" fontId="69" fillId="21" borderId="1" xfId="4" applyFont="1" applyFill="1" applyBorder="1" applyAlignment="1">
      <alignment horizontal="center" vertical="center" wrapText="1"/>
    </xf>
    <xf numFmtId="3" fontId="70" fillId="14" borderId="1" xfId="1" applyNumberFormat="1" applyFont="1" applyFill="1" applyBorder="1" applyAlignment="1">
      <alignment vertical="center" wrapText="1"/>
    </xf>
    <xf numFmtId="3" fontId="70" fillId="14" borderId="1" xfId="1" applyNumberFormat="1" applyFont="1" applyFill="1" applyBorder="1" applyAlignment="1">
      <alignment horizontal="center" vertical="center" wrapText="1"/>
    </xf>
    <xf numFmtId="3" fontId="53" fillId="14" borderId="1" xfId="1" applyNumberFormat="1" applyFont="1" applyFill="1" applyBorder="1" applyAlignment="1">
      <alignment vertical="center" wrapText="1"/>
    </xf>
    <xf numFmtId="3" fontId="53" fillId="14" borderId="1" xfId="1" applyNumberFormat="1" applyFont="1" applyFill="1" applyBorder="1" applyAlignment="1">
      <alignment horizontal="center" vertical="center" wrapText="1"/>
    </xf>
    <xf numFmtId="3" fontId="60" fillId="0" borderId="1" xfId="1" applyNumberFormat="1" applyFont="1" applyBorder="1" applyAlignment="1">
      <alignment vertical="center"/>
    </xf>
    <xf numFmtId="166" fontId="60" fillId="0" borderId="1" xfId="1" applyNumberFormat="1" applyFont="1" applyBorder="1" applyAlignment="1">
      <alignment vertical="center"/>
    </xf>
    <xf numFmtId="3" fontId="68" fillId="0" borderId="1" xfId="1" applyNumberFormat="1" applyFont="1" applyBorder="1" applyAlignment="1">
      <alignment vertical="center"/>
    </xf>
    <xf numFmtId="166" fontId="68" fillId="0" borderId="1" xfId="1" applyNumberFormat="1" applyFont="1" applyBorder="1" applyAlignment="1">
      <alignment vertical="center"/>
    </xf>
    <xf numFmtId="0" fontId="60" fillId="7" borderId="1" xfId="1" applyFont="1" applyFill="1" applyBorder="1" applyAlignment="1">
      <alignment horizontal="center" vertical="center"/>
    </xf>
    <xf numFmtId="4" fontId="22" fillId="0" borderId="1" xfId="1" applyNumberFormat="1" applyBorder="1" applyAlignment="1">
      <alignment vertical="center"/>
    </xf>
    <xf numFmtId="164" fontId="22" fillId="0" borderId="1" xfId="1" applyNumberFormat="1" applyBorder="1" applyAlignment="1">
      <alignment vertical="center"/>
    </xf>
    <xf numFmtId="0" fontId="22" fillId="0" borderId="1" xfId="1" applyBorder="1" applyAlignment="1">
      <alignment horizontal="right" vertical="center"/>
    </xf>
    <xf numFmtId="169" fontId="22" fillId="0" borderId="1" xfId="1" applyNumberFormat="1" applyBorder="1" applyAlignment="1">
      <alignment vertical="center"/>
    </xf>
    <xf numFmtId="0" fontId="60" fillId="0" borderId="1" xfId="1" applyFont="1" applyBorder="1" applyAlignment="1">
      <alignment horizontal="right" vertical="center"/>
    </xf>
    <xf numFmtId="0" fontId="60" fillId="0" borderId="1" xfId="1" applyFont="1" applyBorder="1" applyAlignment="1">
      <alignment vertical="center"/>
    </xf>
    <xf numFmtId="2" fontId="60" fillId="0" borderId="1" xfId="1" applyNumberFormat="1" applyFont="1" applyBorder="1" applyAlignment="1">
      <alignment vertical="center"/>
    </xf>
    <xf numFmtId="3" fontId="22" fillId="0" borderId="1" xfId="1" applyNumberFormat="1" applyBorder="1" applyAlignment="1">
      <alignment vertical="center"/>
    </xf>
    <xf numFmtId="4" fontId="60" fillId="0" borderId="1" xfId="1" applyNumberFormat="1" applyFont="1" applyBorder="1" applyAlignment="1">
      <alignment vertical="center"/>
    </xf>
    <xf numFmtId="9" fontId="60" fillId="0" borderId="1" xfId="9" applyFont="1" applyBorder="1" applyAlignment="1">
      <alignment vertical="center"/>
    </xf>
    <xf numFmtId="0" fontId="71" fillId="12" borderId="1" xfId="1" applyFont="1" applyFill="1" applyBorder="1" applyAlignment="1">
      <alignment horizontal="right" vertical="center"/>
    </xf>
    <xf numFmtId="0" fontId="72" fillId="12" borderId="1" xfId="1" applyFont="1" applyFill="1" applyBorder="1" applyAlignment="1">
      <alignment vertical="center"/>
    </xf>
    <xf numFmtId="2" fontId="71" fillId="12" borderId="1" xfId="1" applyNumberFormat="1" applyFont="1" applyFill="1" applyBorder="1" applyAlignment="1">
      <alignment horizontal="right" vertical="center"/>
    </xf>
    <xf numFmtId="0" fontId="35" fillId="11" borderId="1" xfId="4" applyFont="1" applyFill="1" applyBorder="1" applyAlignment="1">
      <alignment horizontal="right" vertical="center"/>
    </xf>
    <xf numFmtId="0" fontId="62" fillId="22" borderId="1" xfId="1" applyFont="1" applyFill="1" applyBorder="1" applyAlignment="1">
      <alignment horizontal="right" vertical="center"/>
    </xf>
    <xf numFmtId="4" fontId="71" fillId="0" borderId="1" xfId="1" applyNumberFormat="1" applyFont="1" applyBorder="1" applyAlignment="1">
      <alignment vertical="center"/>
    </xf>
    <xf numFmtId="0" fontId="22" fillId="0" borderId="1" xfId="1" applyBorder="1" applyAlignment="1">
      <alignment vertical="center"/>
    </xf>
    <xf numFmtId="0" fontId="60" fillId="12" borderId="1" xfId="1" applyFont="1" applyFill="1" applyBorder="1" applyAlignment="1">
      <alignment horizontal="right" vertical="center"/>
    </xf>
    <xf numFmtId="0" fontId="22" fillId="12" borderId="1" xfId="1" applyFill="1" applyBorder="1" applyAlignment="1">
      <alignment vertical="center"/>
    </xf>
    <xf numFmtId="2" fontId="60" fillId="12" borderId="1" xfId="1" applyNumberFormat="1" applyFont="1" applyFill="1" applyBorder="1" applyAlignment="1">
      <alignment horizontal="right" vertical="center"/>
    </xf>
    <xf numFmtId="0" fontId="61" fillId="23" borderId="1" xfId="1" applyFont="1" applyFill="1" applyBorder="1" applyAlignment="1">
      <alignment horizontal="right" vertical="center"/>
    </xf>
    <xf numFmtId="0" fontId="61" fillId="23" borderId="1" xfId="1" applyFont="1" applyFill="1" applyBorder="1" applyAlignment="1">
      <alignment horizontal="center" vertical="center"/>
    </xf>
    <xf numFmtId="9" fontId="0" fillId="0" borderId="1" xfId="9" applyFont="1" applyBorder="1" applyAlignment="1">
      <alignment vertical="center"/>
    </xf>
    <xf numFmtId="0" fontId="61" fillId="14" borderId="1" xfId="1" applyFont="1" applyFill="1" applyBorder="1" applyAlignment="1">
      <alignment horizontal="right" vertical="center"/>
    </xf>
    <xf numFmtId="0" fontId="62" fillId="24" borderId="1" xfId="1" applyFont="1" applyFill="1" applyBorder="1" applyAlignment="1">
      <alignment horizontal="center" vertical="center"/>
    </xf>
    <xf numFmtId="4" fontId="63" fillId="0" borderId="1" xfId="1" applyNumberFormat="1" applyFont="1" applyBorder="1" applyAlignment="1">
      <alignment vertical="center"/>
    </xf>
    <xf numFmtId="0" fontId="73" fillId="0" borderId="0" xfId="1" applyFont="1" applyAlignment="1">
      <alignment vertical="center"/>
    </xf>
    <xf numFmtId="0" fontId="74" fillId="0" borderId="0" xfId="4" applyFont="1" applyAlignment="1">
      <alignment vertical="center"/>
    </xf>
    <xf numFmtId="0" fontId="63" fillId="16" borderId="6" xfId="1" applyFont="1" applyFill="1" applyBorder="1" applyAlignment="1">
      <alignment vertical="center"/>
    </xf>
    <xf numFmtId="3" fontId="36" fillId="0" borderId="1" xfId="1" applyNumberFormat="1" applyFont="1" applyFill="1" applyBorder="1" applyAlignment="1">
      <alignment horizontal="right" vertical="center" wrapText="1"/>
    </xf>
    <xf numFmtId="0" fontId="23" fillId="0" borderId="0" xfId="1" applyFont="1" applyAlignment="1">
      <alignment horizontal="center" vertical="center" wrapText="1"/>
    </xf>
    <xf numFmtId="166" fontId="25" fillId="0" borderId="0" xfId="1" applyNumberFormat="1" applyFont="1" applyAlignment="1">
      <alignment horizontal="right" vertical="center" wrapText="1"/>
    </xf>
    <xf numFmtId="166" fontId="75" fillId="25" borderId="1" xfId="5" applyNumberFormat="1" applyFont="1" applyFill="1" applyBorder="1" applyAlignment="1">
      <alignment horizontal="center" vertical="center"/>
    </xf>
    <xf numFmtId="166" fontId="75" fillId="15" borderId="1" xfId="5" applyNumberFormat="1" applyFont="1" applyFill="1" applyBorder="1" applyAlignment="1">
      <alignment horizontal="center" vertical="center"/>
    </xf>
    <xf numFmtId="166" fontId="75" fillId="16" borderId="1" xfId="5" applyNumberFormat="1" applyFont="1" applyFill="1" applyBorder="1" applyAlignment="1">
      <alignment horizontal="center" vertical="center"/>
    </xf>
    <xf numFmtId="166" fontId="75" fillId="18" borderId="1" xfId="5" applyNumberFormat="1" applyFont="1" applyFill="1" applyBorder="1" applyAlignment="1">
      <alignment horizontal="center" vertical="center"/>
    </xf>
    <xf numFmtId="166" fontId="75" fillId="26" borderId="1" xfId="5" applyNumberFormat="1" applyFont="1" applyFill="1" applyBorder="1" applyAlignment="1">
      <alignment horizontal="center" vertical="center"/>
    </xf>
    <xf numFmtId="0" fontId="23" fillId="9" borderId="1" xfId="4" applyFont="1" applyFill="1" applyBorder="1" applyAlignment="1">
      <alignment horizontal="center" vertical="center" wrapText="1"/>
    </xf>
    <xf numFmtId="2" fontId="23" fillId="5" borderId="1" xfId="11" applyNumberFormat="1" applyFont="1" applyFill="1" applyBorder="1" applyAlignment="1">
      <alignment horizontal="center" vertical="center" wrapText="1"/>
    </xf>
    <xf numFmtId="2" fontId="23" fillId="0" borderId="1" xfId="11" applyNumberFormat="1" applyFont="1" applyFill="1" applyBorder="1" applyAlignment="1">
      <alignment horizontal="center" vertical="center" wrapText="1"/>
    </xf>
    <xf numFmtId="3" fontId="42" fillId="5" borderId="1" xfId="1" applyNumberFormat="1" applyFont="1" applyFill="1" applyBorder="1" applyAlignment="1">
      <alignment horizontal="center" vertical="center" wrapText="1"/>
    </xf>
    <xf numFmtId="166" fontId="46" fillId="0" borderId="1" xfId="1" applyNumberFormat="1" applyFont="1" applyBorder="1" applyAlignment="1">
      <alignment horizontal="center" vertical="center" wrapText="1"/>
    </xf>
    <xf numFmtId="0" fontId="76" fillId="8" borderId="1" xfId="6" applyFont="1" applyFill="1" applyBorder="1" applyAlignment="1">
      <alignment vertical="center"/>
    </xf>
    <xf numFmtId="0" fontId="46" fillId="0" borderId="0" xfId="6" applyFont="1" applyAlignment="1">
      <alignment vertical="center"/>
    </xf>
    <xf numFmtId="3" fontId="46" fillId="0" borderId="0" xfId="1" applyNumberFormat="1" applyFont="1" applyAlignment="1">
      <alignment horizontal="center" vertical="center" wrapText="1"/>
    </xf>
    <xf numFmtId="3" fontId="32" fillId="0" borderId="0" xfId="1" applyNumberFormat="1" applyFont="1" applyAlignment="1">
      <alignment vertical="center" wrapText="1"/>
    </xf>
    <xf numFmtId="3" fontId="32" fillId="0" borderId="0" xfId="1" applyNumberFormat="1" applyFont="1" applyAlignment="1">
      <alignment horizontal="center" vertical="center" wrapText="1"/>
    </xf>
    <xf numFmtId="166" fontId="32" fillId="0" borderId="0" xfId="1" applyNumberFormat="1" applyFont="1" applyAlignment="1">
      <alignment horizontal="center" vertical="center" wrapText="1"/>
    </xf>
    <xf numFmtId="3" fontId="46" fillId="0" borderId="1" xfId="1" applyNumberFormat="1" applyFont="1" applyBorder="1" applyAlignment="1">
      <alignment vertical="center"/>
    </xf>
    <xf numFmtId="3" fontId="37" fillId="0" borderId="1" xfId="1" applyNumberFormat="1" applyFont="1" applyBorder="1" applyAlignment="1">
      <alignment horizontal="left" vertical="center"/>
    </xf>
    <xf numFmtId="166" fontId="22" fillId="0" borderId="1" xfId="1" applyNumberFormat="1" applyBorder="1" applyAlignment="1">
      <alignment vertical="center"/>
    </xf>
    <xf numFmtId="9" fontId="60" fillId="0" borderId="1" xfId="12" applyFont="1" applyBorder="1" applyAlignment="1">
      <alignment vertical="center"/>
    </xf>
    <xf numFmtId="2" fontId="22" fillId="0" borderId="0" xfId="1" applyNumberFormat="1" applyAlignment="1">
      <alignment vertical="center"/>
    </xf>
    <xf numFmtId="0" fontId="22" fillId="5" borderId="1" xfId="1" applyFill="1" applyBorder="1" applyAlignment="1">
      <alignment horizontal="right" vertical="center"/>
    </xf>
    <xf numFmtId="2" fontId="61" fillId="13" borderId="1" xfId="1" applyNumberFormat="1" applyFont="1" applyFill="1" applyBorder="1" applyAlignment="1">
      <alignment horizontal="center" vertical="center"/>
    </xf>
    <xf numFmtId="0" fontId="77" fillId="0" borderId="1" xfId="4" applyFont="1" applyBorder="1" applyAlignment="1">
      <alignment horizontal="right" vertical="center" wrapText="1"/>
    </xf>
    <xf numFmtId="4" fontId="28" fillId="0" borderId="0" xfId="1" applyNumberFormat="1" applyFont="1" applyAlignment="1">
      <alignment horizontal="center" vertical="center" wrapText="1"/>
    </xf>
    <xf numFmtId="0" fontId="78" fillId="0" borderId="1" xfId="4" applyFont="1" applyBorder="1" applyAlignment="1">
      <alignment horizontal="right" vertical="center" wrapText="1"/>
    </xf>
    <xf numFmtId="0" fontId="11" fillId="0" borderId="7" xfId="1" applyFont="1" applyBorder="1" applyAlignment="1">
      <alignment vertical="center"/>
    </xf>
    <xf numFmtId="0" fontId="22" fillId="0" borderId="7" xfId="1" applyBorder="1" applyAlignment="1">
      <alignment vertical="center"/>
    </xf>
    <xf numFmtId="166" fontId="75" fillId="0" borderId="1" xfId="5" applyNumberFormat="1" applyFont="1" applyFill="1" applyBorder="1" applyAlignment="1">
      <alignment horizontal="center" vertical="center"/>
    </xf>
    <xf numFmtId="0" fontId="71" fillId="15" borderId="1" xfId="1" applyFont="1" applyFill="1" applyBorder="1" applyAlignment="1">
      <alignment horizontal="right" vertical="center"/>
    </xf>
    <xf numFmtId="0" fontId="21" fillId="18" borderId="1" xfId="0" applyFont="1" applyFill="1" applyBorder="1" applyAlignment="1">
      <alignment vertical="center"/>
    </xf>
    <xf numFmtId="168" fontId="21" fillId="18" borderId="1" xfId="0" applyNumberFormat="1" applyFont="1" applyFill="1" applyBorder="1" applyAlignment="1">
      <alignment vertical="center"/>
    </xf>
    <xf numFmtId="4" fontId="21" fillId="18" borderId="1" xfId="0" applyNumberFormat="1" applyFont="1" applyFill="1" applyBorder="1" applyAlignment="1">
      <alignment horizontal="center" vertical="center"/>
    </xf>
    <xf numFmtId="0" fontId="79" fillId="0" borderId="1" xfId="0"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justify" vertical="center" wrapText="1"/>
    </xf>
    <xf numFmtId="0" fontId="81" fillId="0" borderId="1" xfId="0" applyFont="1" applyFill="1" applyBorder="1" applyAlignment="1">
      <alignment horizontal="center" vertical="center" wrapText="1"/>
    </xf>
    <xf numFmtId="0" fontId="11" fillId="0" borderId="1" xfId="0" applyFont="1" applyBorder="1" applyAlignment="1">
      <alignment horizontal="center" vertical="center"/>
    </xf>
    <xf numFmtId="3" fontId="21" fillId="0" borderId="0" xfId="0" applyNumberFormat="1" applyFont="1" applyAlignment="1">
      <alignment horizontal="center" vertical="center" wrapText="1"/>
    </xf>
    <xf numFmtId="3" fontId="16" fillId="0" borderId="0" xfId="0" applyNumberFormat="1" applyFont="1" applyAlignment="1">
      <alignment vertical="center" wrapText="1"/>
    </xf>
    <xf numFmtId="3" fontId="16" fillId="0" borderId="0" xfId="0" applyNumberFormat="1" applyFont="1" applyAlignment="1">
      <alignment horizontal="center" vertical="center" wrapText="1"/>
    </xf>
    <xf numFmtId="9" fontId="16" fillId="0" borderId="0" xfId="0" applyNumberFormat="1" applyFont="1" applyAlignment="1">
      <alignment vertical="center" wrapText="1"/>
    </xf>
    <xf numFmtId="4" fontId="21" fillId="16" borderId="1" xfId="0" applyNumberFormat="1" applyFont="1" applyFill="1" applyBorder="1" applyAlignment="1">
      <alignment horizontal="center" vertical="center"/>
    </xf>
    <xf numFmtId="0" fontId="21" fillId="16" borderId="1" xfId="0" applyFont="1" applyFill="1" applyBorder="1" applyAlignment="1">
      <alignment horizontal="left" vertical="center"/>
    </xf>
    <xf numFmtId="4" fontId="0" fillId="0" borderId="0" xfId="0" applyNumberFormat="1" applyAlignment="1">
      <alignment vertical="center"/>
    </xf>
    <xf numFmtId="2" fontId="21" fillId="0" borderId="0" xfId="0" applyNumberFormat="1" applyFont="1" applyAlignment="1">
      <alignment vertical="center"/>
    </xf>
    <xf numFmtId="166" fontId="0" fillId="0" borderId="0" xfId="0" applyNumberFormat="1" applyAlignment="1">
      <alignment vertical="center"/>
    </xf>
    <xf numFmtId="0" fontId="21" fillId="0" borderId="0" xfId="0" applyFont="1" applyAlignment="1">
      <alignment vertical="center"/>
    </xf>
    <xf numFmtId="1" fontId="0" fillId="0" borderId="0" xfId="0" applyNumberFormat="1" applyAlignment="1">
      <alignment horizontal="center" vertical="center"/>
    </xf>
    <xf numFmtId="165" fontId="0" fillId="0" borderId="0" xfId="0" applyNumberFormat="1" applyAlignment="1">
      <alignment vertical="center"/>
    </xf>
    <xf numFmtId="170" fontId="0" fillId="0" borderId="0" xfId="0" applyNumberFormat="1" applyAlignment="1">
      <alignment vertical="center"/>
    </xf>
    <xf numFmtId="0" fontId="21" fillId="19" borderId="1" xfId="0" applyFont="1" applyFill="1" applyBorder="1" applyAlignment="1">
      <alignment vertical="center"/>
    </xf>
    <xf numFmtId="0" fontId="21" fillId="13" borderId="1" xfId="0" applyFont="1" applyFill="1" applyBorder="1" applyAlignment="1">
      <alignment vertical="center"/>
    </xf>
    <xf numFmtId="166" fontId="16" fillId="27" borderId="0" xfId="0" applyNumberFormat="1" applyFont="1" applyFill="1" applyAlignment="1">
      <alignment horizontal="center" vertical="center" wrapText="1"/>
    </xf>
    <xf numFmtId="0" fontId="0" fillId="0" borderId="7" xfId="0" applyBorder="1" applyAlignment="1">
      <alignment horizontal="center" vertical="center"/>
    </xf>
    <xf numFmtId="0" fontId="17" fillId="0" borderId="0" xfId="0" applyFont="1" applyAlignment="1">
      <alignment vertical="center"/>
    </xf>
    <xf numFmtId="2" fontId="21" fillId="0" borderId="0" xfId="0" applyNumberFormat="1" applyFont="1" applyBorder="1" applyAlignment="1">
      <alignment vertical="center"/>
    </xf>
    <xf numFmtId="2" fontId="0" fillId="0" borderId="0" xfId="0" applyNumberFormat="1" applyBorder="1" applyAlignment="1">
      <alignment vertical="center"/>
    </xf>
    <xf numFmtId="2" fontId="0" fillId="0" borderId="10" xfId="0" applyNumberFormat="1" applyBorder="1" applyAlignment="1">
      <alignment vertical="center"/>
    </xf>
    <xf numFmtId="2" fontId="0" fillId="0" borderId="7" xfId="0" applyNumberFormat="1" applyBorder="1" applyAlignment="1">
      <alignment vertical="center"/>
    </xf>
    <xf numFmtId="2" fontId="21" fillId="0" borderId="12" xfId="0" applyNumberFormat="1" applyFont="1"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vertical="center"/>
    </xf>
    <xf numFmtId="0" fontId="0" fillId="0" borderId="2" xfId="0" applyBorder="1" applyAlignment="1">
      <alignment vertical="center"/>
    </xf>
    <xf numFmtId="0" fontId="0" fillId="0" borderId="5" xfId="0" applyBorder="1" applyAlignment="1">
      <alignment vertical="center"/>
    </xf>
    <xf numFmtId="2" fontId="82" fillId="0" borderId="0" xfId="0" applyNumberFormat="1" applyFont="1" applyBorder="1" applyAlignment="1">
      <alignment vertical="center"/>
    </xf>
    <xf numFmtId="0" fontId="0" fillId="18" borderId="2" xfId="0" applyFill="1" applyBorder="1" applyAlignment="1">
      <alignment vertical="center"/>
    </xf>
    <xf numFmtId="2" fontId="0" fillId="18" borderId="0" xfId="0" applyNumberFormat="1" applyFill="1" applyBorder="1" applyAlignment="1">
      <alignment vertical="center"/>
    </xf>
    <xf numFmtId="2" fontId="21" fillId="18" borderId="0" xfId="0" applyNumberFormat="1" applyFont="1" applyFill="1" applyBorder="1" applyAlignment="1">
      <alignment vertical="center"/>
    </xf>
    <xf numFmtId="2" fontId="82" fillId="18" borderId="0" xfId="0" applyNumberFormat="1" applyFont="1" applyFill="1" applyBorder="1" applyAlignment="1">
      <alignment vertical="center"/>
    </xf>
    <xf numFmtId="2" fontId="0" fillId="18" borderId="10" xfId="0" applyNumberFormat="1" applyFill="1" applyBorder="1" applyAlignment="1">
      <alignment vertical="center"/>
    </xf>
    <xf numFmtId="2" fontId="82" fillId="18" borderId="10" xfId="0" applyNumberFormat="1" applyFont="1" applyFill="1" applyBorder="1" applyAlignment="1">
      <alignment vertical="center"/>
    </xf>
    <xf numFmtId="4" fontId="0" fillId="15" borderId="1" xfId="0" applyNumberFormat="1" applyFill="1" applyBorder="1" applyAlignment="1">
      <alignment vertical="center"/>
    </xf>
    <xf numFmtId="4" fontId="0" fillId="0" borderId="1" xfId="0" applyNumberFormat="1" applyBorder="1" applyAlignment="1">
      <alignment vertical="center"/>
    </xf>
    <xf numFmtId="4" fontId="82" fillId="0" borderId="1" xfId="0" applyNumberFormat="1" applyFont="1" applyBorder="1" applyAlignment="1">
      <alignment vertical="center"/>
    </xf>
    <xf numFmtId="0" fontId="21" fillId="28" borderId="1" xfId="0" applyFont="1" applyFill="1" applyBorder="1" applyAlignment="1">
      <alignment horizontal="center" vertical="center" wrapText="1"/>
    </xf>
    <xf numFmtId="0" fontId="0" fillId="28" borderId="1" xfId="0" applyFill="1" applyBorder="1" applyAlignment="1">
      <alignment horizontal="center" vertical="center"/>
    </xf>
    <xf numFmtId="2" fontId="23" fillId="28" borderId="1" xfId="7" applyNumberFormat="1" applyFont="1" applyFill="1" applyBorder="1" applyAlignment="1">
      <alignment horizontal="center" vertical="center" wrapText="1"/>
    </xf>
    <xf numFmtId="0" fontId="21" fillId="0" borderId="0" xfId="0" applyFont="1" applyBorder="1" applyAlignment="1">
      <alignment vertical="center"/>
    </xf>
    <xf numFmtId="3" fontId="21" fillId="0" borderId="0" xfId="0" applyNumberFormat="1" applyFont="1" applyBorder="1" applyAlignment="1">
      <alignment horizontal="center" vertical="center"/>
    </xf>
    <xf numFmtId="0" fontId="21" fillId="29" borderId="1" xfId="0" applyFont="1" applyFill="1" applyBorder="1" applyAlignment="1">
      <alignment vertical="center"/>
    </xf>
    <xf numFmtId="0" fontId="21" fillId="13" borderId="1" xfId="0" applyFont="1" applyFill="1" applyBorder="1"/>
    <xf numFmtId="0" fontId="0" fillId="0" borderId="1" xfId="0" applyBorder="1" applyAlignment="1">
      <alignment horizontal="center" vertical="center" wrapText="1"/>
    </xf>
    <xf numFmtId="4" fontId="10" fillId="3" borderId="1" xfId="0" applyNumberFormat="1" applyFont="1" applyFill="1" applyBorder="1" applyAlignment="1">
      <alignment horizontal="center" vertical="center" wrapText="1"/>
    </xf>
    <xf numFmtId="0" fontId="5" fillId="24" borderId="1" xfId="0" applyFont="1" applyFill="1" applyBorder="1" applyAlignment="1">
      <alignment horizontal="center" vertical="center" wrapText="1"/>
    </xf>
    <xf numFmtId="4" fontId="5" fillId="24" borderId="1" xfId="0" applyNumberFormat="1" applyFont="1" applyFill="1" applyBorder="1" applyAlignment="1">
      <alignment horizontal="center" vertical="center" wrapText="1"/>
    </xf>
    <xf numFmtId="0" fontId="6" fillId="24" borderId="1" xfId="0" applyFont="1" applyFill="1" applyBorder="1" applyAlignment="1">
      <alignment horizontal="center" vertical="center" wrapText="1"/>
    </xf>
    <xf numFmtId="2" fontId="10" fillId="3" borderId="1" xfId="0" applyNumberFormat="1" applyFont="1" applyFill="1" applyBorder="1" applyAlignment="1">
      <alignment horizontal="center" vertical="center" wrapText="1"/>
    </xf>
    <xf numFmtId="2" fontId="5" fillId="2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0" fillId="0" borderId="1" xfId="0" applyBorder="1" applyAlignment="1">
      <alignment horizontal="center" vertical="center"/>
    </xf>
    <xf numFmtId="166"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21" fillId="15" borderId="1" xfId="0" applyFont="1" applyFill="1" applyBorder="1" applyAlignment="1">
      <alignment vertical="center" wrapText="1"/>
    </xf>
    <xf numFmtId="0" fontId="21" fillId="15" borderId="1" xfId="0" applyFont="1" applyFill="1" applyBorder="1" applyAlignment="1">
      <alignment horizontal="center" vertical="center" wrapText="1"/>
    </xf>
    <xf numFmtId="4" fontId="21" fillId="15" borderId="1" xfId="0" applyNumberFormat="1" applyFont="1" applyFill="1" applyBorder="1" applyAlignment="1">
      <alignment horizontal="center" vertical="center" wrapText="1"/>
    </xf>
    <xf numFmtId="0" fontId="0" fillId="15" borderId="1" xfId="0" quotePrefix="1" applyFill="1" applyBorder="1" applyAlignment="1">
      <alignment horizontal="center" vertical="center"/>
    </xf>
    <xf numFmtId="17" fontId="0" fillId="15" borderId="1" xfId="0" quotePrefix="1" applyNumberFormat="1" applyFill="1" applyBorder="1" applyAlignment="1">
      <alignment horizontal="center" vertical="center"/>
    </xf>
    <xf numFmtId="0" fontId="0" fillId="15" borderId="1" xfId="0" applyFill="1" applyBorder="1" applyAlignment="1">
      <alignment horizontal="center" vertical="center"/>
    </xf>
    <xf numFmtId="0" fontId="21" fillId="27" borderId="1" xfId="0" applyFont="1" applyFill="1" applyBorder="1" applyAlignment="1">
      <alignment horizontal="center" vertical="center"/>
    </xf>
    <xf numFmtId="3" fontId="21" fillId="27" borderId="1" xfId="0" applyNumberFormat="1" applyFont="1" applyFill="1" applyBorder="1" applyAlignment="1">
      <alignment horizontal="center" vertical="center" wrapText="1"/>
    </xf>
    <xf numFmtId="171" fontId="21" fillId="27" borderId="1" xfId="0" applyNumberFormat="1" applyFont="1" applyFill="1" applyBorder="1" applyAlignment="1">
      <alignment horizontal="center" vertical="center" wrapText="1"/>
    </xf>
    <xf numFmtId="4" fontId="83" fillId="0" borderId="1" xfId="0" applyNumberFormat="1" applyFont="1" applyBorder="1" applyAlignment="1">
      <alignment vertical="center"/>
    </xf>
    <xf numFmtId="0" fontId="21" fillId="27" borderId="1" xfId="0" applyFont="1" applyFill="1" applyBorder="1" applyAlignment="1">
      <alignment horizontal="center" vertical="center" wrapText="1"/>
    </xf>
    <xf numFmtId="0" fontId="21" fillId="27" borderId="1" xfId="0" applyFont="1" applyFill="1" applyBorder="1" applyAlignment="1">
      <alignment horizontal="center" vertical="center"/>
    </xf>
    <xf numFmtId="0" fontId="21" fillId="0" borderId="3" xfId="0" applyFont="1" applyBorder="1" applyAlignment="1">
      <alignment horizontal="center" vertical="center"/>
    </xf>
    <xf numFmtId="0" fontId="21" fillId="0" borderId="13" xfId="0" applyFont="1" applyBorder="1" applyAlignment="1">
      <alignment horizontal="center" vertical="center"/>
    </xf>
    <xf numFmtId="0" fontId="21" fillId="0" borderId="14" xfId="0" applyFont="1" applyBorder="1" applyAlignment="1">
      <alignment horizontal="center" vertical="center"/>
    </xf>
    <xf numFmtId="0" fontId="21" fillId="0" borderId="2" xfId="0" applyFont="1" applyBorder="1" applyAlignment="1">
      <alignment horizontal="center" vertical="center"/>
    </xf>
    <xf numFmtId="0" fontId="21" fillId="0" borderId="5" xfId="0" applyFont="1" applyBorder="1" applyAlignment="1">
      <alignment horizontal="center" vertical="center"/>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63" fillId="16" borderId="6" xfId="1" applyFont="1" applyFill="1" applyBorder="1" applyAlignment="1">
      <alignment horizontal="right" vertical="center"/>
    </xf>
    <xf numFmtId="0" fontId="63" fillId="16" borderId="2" xfId="1" applyFont="1" applyFill="1" applyBorder="1" applyAlignment="1">
      <alignment horizontal="right" vertical="center"/>
    </xf>
    <xf numFmtId="0" fontId="63" fillId="16" borderId="5" xfId="1" applyFont="1" applyFill="1" applyBorder="1" applyAlignment="1">
      <alignment horizontal="right"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Border="1" applyAlignment="1">
      <alignment horizontal="center" vertical="center"/>
    </xf>
    <xf numFmtId="0" fontId="0" fillId="0" borderId="0" xfId="0" applyAlignment="1">
      <alignment horizontal="center"/>
    </xf>
    <xf numFmtId="0" fontId="4" fillId="0" borderId="3" xfId="0" applyFont="1" applyBorder="1" applyAlignment="1">
      <alignment horizontal="center" vertical="center" wrapText="1"/>
    </xf>
    <xf numFmtId="0" fontId="3" fillId="0" borderId="0" xfId="0" applyFont="1" applyAlignment="1">
      <alignment horizontal="center" vertical="center"/>
    </xf>
  </cellXfs>
  <cellStyles count="13">
    <cellStyle name="Гиперссылка 2" xfId="2" xr:uid="{A70F4CB8-CD30-4686-BF4F-37B4E25E9696}"/>
    <cellStyle name="Гиперссылка 4" xfId="10" xr:uid="{A94F201E-8EEA-4A5E-8B17-51CB4DF1E104}"/>
    <cellStyle name="Гиперссылка 4 2" xfId="3" xr:uid="{8B7D70E5-8162-4C37-B94E-CDB6C1AC5454}"/>
    <cellStyle name="Обычный" xfId="0" builtinId="0"/>
    <cellStyle name="Обычный 2" xfId="1" xr:uid="{B83FD105-9373-4413-BDB9-76B88D2F9CEE}"/>
    <cellStyle name="Обычный 2 3" xfId="5" xr:uid="{C57E6549-E446-48AD-99B5-679253CC83C6}"/>
    <cellStyle name="Обычный 3 2 2" xfId="8" xr:uid="{C0E2E1E9-FBB1-4D4D-B7E6-00416CDEDBC1}"/>
    <cellStyle name="Обычный 3 2 3" xfId="6" xr:uid="{8CBD8E94-16A6-49B8-B5CC-94B7FAC0841B}"/>
    <cellStyle name="Обычный_Расчет подвал по ул.Токтогула 57" xfId="4" xr:uid="{29DC16E6-AC99-4A26-87F7-E70024020AA6}"/>
    <cellStyle name="Процентный 2" xfId="11" xr:uid="{A171CED7-7823-4630-B865-451C69BFC32A}"/>
    <cellStyle name="Процентный 2 2 2" xfId="9" xr:uid="{7AF1B690-61B6-4C3B-A5C8-3F0865F5B12B}"/>
    <cellStyle name="Процентный 2 2 2 2" xfId="12" xr:uid="{2A05DA35-449B-47DD-96D9-A29B7A273EB4}"/>
    <cellStyle name="Процентный 2 4" xfId="7" xr:uid="{A26016C3-203E-4393-997D-F2A6896DB601}"/>
  </cellStyles>
  <dxfs count="54">
    <dxf>
      <font>
        <strike val="0"/>
        <outline val="0"/>
        <shadow val="0"/>
        <u val="none"/>
        <color theme="1"/>
        <name val="Cambria"/>
        <family val="1"/>
        <charset val="204"/>
        <scheme val="minor"/>
      </font>
      <alignment vertical="center" textRotation="0" wrapText="1" indent="0" justifyLastLine="0" shrinkToFit="0" readingOrder="0"/>
      <border diagonalUp="0" diagonalDown="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numFmt numFmtId="4" formatCode="#,##0.0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alignment horizontal="general" vertical="bottom" textRotation="0" wrapText="0" indent="0" justifyLastLine="0" shrinkToFit="0" readingOrder="0"/>
      <border diagonalUp="0" diagonalDown="0" outline="0">
        <left/>
        <right/>
        <top/>
        <bottom/>
      </border>
    </dxf>
    <dxf>
      <font>
        <strike val="0"/>
        <outline val="0"/>
        <shadow val="0"/>
        <u val="none"/>
        <color theme="1"/>
        <name val="Cambria"/>
        <family val="1"/>
        <charset val="204"/>
        <scheme val="minor"/>
      </font>
      <numFmt numFmtId="166" formatCode="#,##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font>
        <strike val="0"/>
        <outline val="0"/>
        <shadow val="0"/>
        <u val="none"/>
        <color theme="1"/>
        <name val="Cambria"/>
        <family val="1"/>
        <charset val="204"/>
        <scheme val="minor"/>
      </font>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Times New Roman"/>
        <family val="1"/>
        <charset val="204"/>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mbria"/>
        <family val="1"/>
        <charset val="204"/>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Times New Roman"/>
        <family val="1"/>
        <charset val="204"/>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family val="1"/>
        <charset val="204"/>
        <scheme val="minor"/>
      </font>
      <numFmt numFmtId="166" formatCode="#,##0.0"/>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Times New Roman"/>
        <family val="1"/>
        <charset val="204"/>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mbria"/>
        <family val="1"/>
        <charset val="204"/>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color theme="1"/>
        <name val="Cambria"/>
        <family val="1"/>
        <charset val="204"/>
        <scheme val="minor"/>
      </font>
      <alignment vertical="center" textRotation="0" wrapText="1" indent="0" justifyLastLine="0" shrinkToFit="0" readingOrder="0"/>
    </dxf>
    <dxf>
      <font>
        <strike val="0"/>
        <outline val="0"/>
        <shadow val="0"/>
        <u val="none"/>
        <color theme="1"/>
        <name val="Cambria"/>
        <family val="1"/>
        <charset val="204"/>
        <scheme val="minor"/>
      </font>
      <alignment vertical="center" textRotation="0" wrapText="1" indent="0" justifyLastLine="0" shrinkToFit="0" readingOrder="0"/>
    </dxf>
    <dxf>
      <border>
        <bottom style="thin">
          <color indexed="64"/>
        </bottom>
      </border>
    </dxf>
    <dxf>
      <font>
        <strike val="0"/>
        <outline val="0"/>
        <shadow val="0"/>
        <u val="none"/>
        <color theme="1"/>
        <name val="Cambria"/>
        <family val="1"/>
        <charset val="204"/>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outline val="0"/>
        <shadow val="0"/>
        <u val="none"/>
        <vertAlign val="baseline"/>
        <sz val="11"/>
        <color theme="1"/>
        <name val="Cambria"/>
        <family val="2"/>
        <charset val="204"/>
        <scheme val="minor"/>
      </font>
      <numFmt numFmtId="4" formatCode="#,##0.00"/>
      <alignment horizontal="general" vertical="bottom" textRotation="0" wrapText="0" indent="0" justifyLastLine="0" shrinkToFit="0" readingOrder="0"/>
    </dxf>
    <dxf>
      <font>
        <b val="0"/>
        <i val="0"/>
        <strike val="0"/>
        <outline val="0"/>
        <shadow val="0"/>
        <u val="none"/>
        <vertAlign val="baseline"/>
        <sz val="11"/>
        <color theme="1"/>
        <name val="Cambria"/>
        <family val="2"/>
        <charset val="204"/>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mbria"/>
        <family val="2"/>
        <charset val="204"/>
        <scheme val="minor"/>
      </font>
      <alignment horizontal="general" vertical="bottom" textRotation="0" wrapText="0" indent="0" justifyLastLine="0" shrinkToFit="0" readingOrder="0"/>
    </dxf>
    <dxf>
      <font>
        <b val="0"/>
        <i val="0"/>
        <strike val="0"/>
        <outline val="0"/>
        <shadow val="0"/>
        <u val="none"/>
        <vertAlign val="baseline"/>
        <sz val="11"/>
        <color theme="1"/>
        <name val="Cambria"/>
        <family val="2"/>
        <charset val="204"/>
        <scheme val="minor"/>
      </font>
      <alignment horizontal="general" vertical="bottom" textRotation="0" wrapText="0" indent="0" justifyLastLine="0" shrinkToFit="0" readingOrder="0"/>
    </dxf>
    <dxf>
      <font>
        <b val="0"/>
        <i val="0"/>
        <strike val="0"/>
        <outline val="0"/>
        <shadow val="0"/>
        <u val="none"/>
        <vertAlign val="baseline"/>
        <sz val="11"/>
        <color theme="1"/>
        <name val="Cambria"/>
        <family val="2"/>
        <charset val="204"/>
        <scheme val="minor"/>
      </font>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1C54A0-77DC-4D9B-88CF-0BB74115DD0E}" name="коэф_произв" displayName="коэф_произв" ref="A1:D38" totalsRowShown="0" headerRowDxfId="53" dataDxfId="52">
  <autoFilter ref="A1:D38" xr:uid="{021C54A0-77DC-4D9B-88CF-0BB74115DD0E}"/>
  <tableColumns count="4">
    <tableColumn id="1" xr3:uid="{CCB7C333-87FE-4E88-BE69-75080E2C5F08}" name="Характеристика" dataDxfId="51"/>
    <tableColumn id="5" xr3:uid="{00835066-EAF8-42BF-AF56-57EDD3ECDA28}" name="Тип" dataDxfId="50"/>
    <tableColumn id="2" xr3:uid="{AB7DC2F9-5861-40E7-A497-0D767B2C0A8E}" name="Значение" dataDxfId="49"/>
    <tableColumn id="3" xr3:uid="{12D9E6CF-E571-46FB-8D69-EA32B8B4EB1A}" name="Коэффициент"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74B277-1B9B-45FF-B764-2EF261144438}" name="Таблица2" displayName="Таблица2" ref="A1:V58" headerRowDxfId="47" dataDxfId="45" totalsRowDxfId="44" headerRowBorderDxfId="46">
  <autoFilter ref="A1:V58" xr:uid="{A774B277-1B9B-45FF-B764-2EF261144438}"/>
  <tableColumns count="22">
    <tableColumn id="21" xr3:uid="{8B055EE1-98A4-4FFA-B07B-5AEB00EA7120}" name="Объект оценки/ аналог" dataDxfId="43" totalsRowDxfId="42"/>
    <tableColumn id="14" xr3:uid="{5BDA7F2C-849E-4F33-9458-1AFBC330C964}" name="Площадь, м2" dataDxfId="41" totalsRowDxfId="40"/>
    <tableColumn id="1" xr3:uid="{05D3D9E5-D7E4-4454-8F22-5AE8718C5987}" name="Объект" dataDxfId="39" totalsRowDxfId="38"/>
    <tableColumn id="2" xr3:uid="{2ED83DA4-810C-4252-AC0D-CDC8B39FE650}" name="Тип" dataDxfId="37" totalsRowDxfId="36"/>
    <tableColumn id="3" xr3:uid="{DD365EEC-C548-4169-87C0-88A974E47CFE}" name="Высота" dataDxfId="35" totalsRowDxfId="34"/>
    <tableColumn id="4" xr3:uid="{C755BA56-64D5-4E9D-A789-BAA8560345B7}" name="Высота коэф." dataDxfId="33" totalsRowDxfId="32">
      <calculatedColumnFormula array="1">_xlfn.XLOOKUP(1,(Таблица2[[#This Row],[Тип]]=коэф_произв[Тип])*(Таблица2[[#This Row],[Высота]]=коэф_произв[Значение])*('Таблица объектов'!E$1=коэф_произв[Характеристика]),коэф_произв[Коэффициент],"",0)</calculatedColumnFormula>
    </tableColumn>
    <tableColumn id="5" xr3:uid="{D5943BB0-3739-4A99-B224-6AD56708AD45}" name="Наличие / Возможность кран-балки" dataDxfId="31" totalsRowDxfId="30"/>
    <tableColumn id="6" xr3:uid="{45E36C5E-1AF5-4385-9989-C31795B77D53}" name="Наличие / Возможность кран-балки коэф." dataDxfId="29" totalsRowDxfId="28">
      <calculatedColumnFormula array="1">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calculatedColumnFormula>
    </tableColumn>
    <tableColumn id="7" xr3:uid="{099C80F1-DC4B-4E72-B82C-091F8822379B}" name="Конструкция" dataDxfId="27" totalsRowDxfId="26"/>
    <tableColumn id="8" xr3:uid="{192309F9-E5C1-4FD6-BFAB-D43F35F358C9}" name="Конструкция коэф." dataDxfId="25" totalsRowDxfId="24">
      <calculatedColumnFormula array="1">_xlfn.XLOOKUP(1,(Таблица2[[#This Row],[Тип]]=коэф_произв[Тип])*(Таблица2[[#This Row],[Конструкция]]=коэф_произв[Значение])*('Таблица объектов'!I$1=коэф_произв[Характеристика]),коэф_произв[Коэффициент],"",0)</calculatedColumnFormula>
    </tableColumn>
    <tableColumn id="9" xr3:uid="{62BC13BA-975E-4B24-A587-4FEC445524C5}" name="Полы" dataDxfId="23" totalsRowDxfId="22"/>
    <tableColumn id="10" xr3:uid="{4C417D01-94CC-424A-A615-592B9CBEF663}" name="Полы коэф." dataDxfId="21" totalsRowDxfId="20">
      <calculatedColumnFormula array="1">_xlfn.XLOOKUP(1,(Таблица2[[#This Row],[Тип]]=коэф_произв[Тип])*(Таблица2[[#This Row],[Полы]]=коэф_произв[Значение])*('Таблица объектов'!K$1=коэф_произв[Характеристика]),коэф_произв[Коэффициент],"",0)</calculatedColumnFormula>
    </tableColumn>
    <tableColumn id="11" xr3:uid="{DB3A8DD8-8BF8-41AF-BF58-C97F452182C6}" name="Инженерное оснащение" dataDxfId="19" totalsRowDxfId="18"/>
    <tableColumn id="12" xr3:uid="{5C0F5CC3-26B3-4AB7-8585-32DF371D3A6C}" name="Инженерное оснащение коэф." dataDxfId="17" totalsRowDxfId="16">
      <calculatedColumnFormula array="1">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calculatedColumnFormula>
    </tableColumn>
    <tableColumn id="15" xr3:uid="{F13E7236-1CDC-4B9C-80FD-1C2438DE1507}" name="Архитектура" dataDxfId="15" totalsRowDxfId="14"/>
    <tableColumn id="16" xr3:uid="{84CA4CE8-1EC1-4573-82A5-8C2FF7650DC5}" name="Архитектура коэф." dataDxfId="13" totalsRowDxfId="12">
      <calculatedColumnFormula array="1">_xlfn.XLOOKUP(1,(Таблица2[[#This Row],[Тип]]=коэф_произв[Тип])*(Таблица2[[#This Row],[Архитектура]]=коэф_произв[Значение])*('Таблица объектов'!O$1=коэф_произв[Характеристика]),коэф_произв[Коэффициент],"",0)</calculatedColumnFormula>
    </tableColumn>
    <tableColumn id="17" xr3:uid="{86CBBB92-5BCC-4CDE-A848-8A3DCA0C2665}" name="Планировка" dataDxfId="11" totalsRowDxfId="10"/>
    <tableColumn id="18" xr3:uid="{BCF43A26-A391-4B07-B414-685C1A9440CB}" name="Планировка коэф." dataDxfId="9" totalsRowDxfId="8">
      <calculatedColumnFormula array="1">_xlfn.XLOOKUP(1,(Таблица2[[#This Row],[Тип]]=коэф_произв[Тип])*(Таблица2[[#This Row],[Планировка]]=коэф_произв[Значение])*('Таблица объектов'!Q$1=коэф_произв[Характеристика]),коэф_произв[Коэффициент],"",0)</calculatedColumnFormula>
    </tableColumn>
    <tableColumn id="19" xr3:uid="{6FE62B5F-B2CB-4EEA-94F2-96F269C0BA5A}" name="Уровень отделки" dataDxfId="7" totalsRowDxfId="6"/>
    <tableColumn id="20" xr3:uid="{A6A5F347-F793-44DD-9BAB-CC17788D3731}" name="Уровень отделки коэф." dataDxfId="5" totalsRowDxfId="4">
      <calculatedColumnFormula array="1">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calculatedColumnFormula>
    </tableColumn>
    <tableColumn id="13" xr3:uid="{3B32DD34-F5D2-41CC-90A0-12EFFA82B7BF}" name="Капитальность" dataDxfId="3" totalsRowDxfId="2">
      <calculatedColumnFormula>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calculatedColumnFormula>
    </tableColumn>
    <tableColumn id="22" xr3:uid="{C8AAA161-B1E5-4BF0-8224-AC0ADE100C93}" name="Класс" dataDxfId="1" totalsRowDxfId="0">
      <calculatedColumnFormula>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mbria">
      <a:majorFont>
        <a:latin typeface="Cambria"/>
        <a:ea typeface=""/>
        <a:cs typeface=""/>
      </a:majorFont>
      <a:minorFont>
        <a:latin typeface="Cambri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www.house.kg/details/581708268babda98f5598-32400779" TargetMode="External"/><Relationship Id="rId13" Type="http://schemas.openxmlformats.org/officeDocument/2006/relationships/vmlDrawing" Target="../drawings/vmlDrawing3.vml"/><Relationship Id="rId3" Type="http://schemas.openxmlformats.org/officeDocument/2006/relationships/hyperlink" Target="https://www.house.kg/details/412467692755372e6e54-35925206" TargetMode="External"/><Relationship Id="rId7" Type="http://schemas.openxmlformats.org/officeDocument/2006/relationships/hyperlink" Target="https://www.house.kg/details/30035586963340e143a39-64654112" TargetMode="External"/><Relationship Id="rId12" Type="http://schemas.openxmlformats.org/officeDocument/2006/relationships/printerSettings" Target="../printerSettings/printerSettings2.bin"/><Relationship Id="rId2" Type="http://schemas.openxmlformats.org/officeDocument/2006/relationships/hyperlink" Target="https://www.house.kg/details/8176522694106f662ac11-40069555" TargetMode="External"/><Relationship Id="rId1" Type="http://schemas.openxmlformats.org/officeDocument/2006/relationships/hyperlink" Target="https://lalafo.kg/bishkek/ads/kirkomstrom-ul-murmanskaa-id-93341570" TargetMode="External"/><Relationship Id="rId6" Type="http://schemas.openxmlformats.org/officeDocument/2006/relationships/hyperlink" Target="https://www.house.kg/details/3757909696a096de6bf81-41372992" TargetMode="External"/><Relationship Id="rId11" Type="http://schemas.openxmlformats.org/officeDocument/2006/relationships/hyperlink" Target="https://www.house.kg/details/430257469856b3fdef002-08932538" TargetMode="External"/><Relationship Id="rId5" Type="http://schemas.openxmlformats.org/officeDocument/2006/relationships/hyperlink" Target="https://www.house.kg/details/397065967e2c950393ee8-60015422" TargetMode="External"/><Relationship Id="rId10" Type="http://schemas.openxmlformats.org/officeDocument/2006/relationships/hyperlink" Target="https://www.house.kg/details/5608139698b28316b0b65-09865274" TargetMode="External"/><Relationship Id="rId4" Type="http://schemas.openxmlformats.org/officeDocument/2006/relationships/hyperlink" Target="https://lalafo.kg/bishkek/ads/zemelnyj-ucastok-dla-kommerceskogo-ispolzovania-v-biskeke-id-72351667" TargetMode="External"/><Relationship Id="rId9" Type="http://schemas.openxmlformats.org/officeDocument/2006/relationships/hyperlink" Target="https://www.house.kg/details/6681303693ff396e40897-43314147" TargetMode="External"/><Relationship Id="rId1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house.kg/details/581708268babda98f5598-32400779" TargetMode="External"/><Relationship Id="rId13" Type="http://schemas.openxmlformats.org/officeDocument/2006/relationships/vmlDrawing" Target="../drawings/vmlDrawing4.vml"/><Relationship Id="rId3" Type="http://schemas.openxmlformats.org/officeDocument/2006/relationships/hyperlink" Target="https://www.house.kg/details/412467692755372e6e54-35925206" TargetMode="External"/><Relationship Id="rId7" Type="http://schemas.openxmlformats.org/officeDocument/2006/relationships/hyperlink" Target="https://www.house.kg/details/30035586963340e143a39-64654112" TargetMode="External"/><Relationship Id="rId12" Type="http://schemas.openxmlformats.org/officeDocument/2006/relationships/printerSettings" Target="../printerSettings/printerSettings3.bin"/><Relationship Id="rId2" Type="http://schemas.openxmlformats.org/officeDocument/2006/relationships/hyperlink" Target="https://www.house.kg/details/8176522694106f662ac11-40069555" TargetMode="External"/><Relationship Id="rId1" Type="http://schemas.openxmlformats.org/officeDocument/2006/relationships/hyperlink" Target="https://lalafo.kg/bishkek/ads/kirkomstrom-ul-murmanskaa-id-93341570" TargetMode="External"/><Relationship Id="rId6" Type="http://schemas.openxmlformats.org/officeDocument/2006/relationships/hyperlink" Target="https://www.house.kg/details/3757909696a096de6bf81-41372992" TargetMode="External"/><Relationship Id="rId11" Type="http://schemas.openxmlformats.org/officeDocument/2006/relationships/hyperlink" Target="https://www.house.kg/details/430257469856b3fdef002-08932538" TargetMode="External"/><Relationship Id="rId5" Type="http://schemas.openxmlformats.org/officeDocument/2006/relationships/hyperlink" Target="https://www.house.kg/details/397065967e2c950393ee8-60015422" TargetMode="External"/><Relationship Id="rId10" Type="http://schemas.openxmlformats.org/officeDocument/2006/relationships/hyperlink" Target="https://www.house.kg/details/5608139698b28316b0b65-09865274" TargetMode="External"/><Relationship Id="rId4" Type="http://schemas.openxmlformats.org/officeDocument/2006/relationships/hyperlink" Target="https://lalafo.kg/bishkek/ads/zemelnyj-ucastok-dla-kommerceskogo-ispolzovania-v-biskeke-id-72351667" TargetMode="External"/><Relationship Id="rId9" Type="http://schemas.openxmlformats.org/officeDocument/2006/relationships/hyperlink" Target="https://www.house.kg/details/6681303693ff396e40897-43314147" TargetMode="External"/><Relationship Id="rId1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house.kg/details/581708268babda98f5598-32400779" TargetMode="External"/><Relationship Id="rId13" Type="http://schemas.openxmlformats.org/officeDocument/2006/relationships/vmlDrawing" Target="../drawings/vmlDrawing5.vml"/><Relationship Id="rId3" Type="http://schemas.openxmlformats.org/officeDocument/2006/relationships/hyperlink" Target="https://www.house.kg/details/412467692755372e6e54-35925206" TargetMode="External"/><Relationship Id="rId7" Type="http://schemas.openxmlformats.org/officeDocument/2006/relationships/hyperlink" Target="https://www.house.kg/details/30035586963340e143a39-64654112" TargetMode="External"/><Relationship Id="rId12" Type="http://schemas.openxmlformats.org/officeDocument/2006/relationships/printerSettings" Target="../printerSettings/printerSettings4.bin"/><Relationship Id="rId2" Type="http://schemas.openxmlformats.org/officeDocument/2006/relationships/hyperlink" Target="https://www.house.kg/details/8176522694106f662ac11-40069555" TargetMode="External"/><Relationship Id="rId1" Type="http://schemas.openxmlformats.org/officeDocument/2006/relationships/hyperlink" Target="https://lalafo.kg/bishkek/ads/kirkomstrom-ul-murmanskaa-id-93341570" TargetMode="External"/><Relationship Id="rId6" Type="http://schemas.openxmlformats.org/officeDocument/2006/relationships/hyperlink" Target="https://www.house.kg/details/3757909696a096de6bf81-41372992" TargetMode="External"/><Relationship Id="rId11" Type="http://schemas.openxmlformats.org/officeDocument/2006/relationships/hyperlink" Target="https://www.house.kg/details/430257469856b3fdef002-08932538" TargetMode="External"/><Relationship Id="rId5" Type="http://schemas.openxmlformats.org/officeDocument/2006/relationships/hyperlink" Target="https://www.house.kg/details/397065967e2c950393ee8-60015422" TargetMode="External"/><Relationship Id="rId10" Type="http://schemas.openxmlformats.org/officeDocument/2006/relationships/hyperlink" Target="https://www.house.kg/details/5608139698b28316b0b65-09865274" TargetMode="External"/><Relationship Id="rId4" Type="http://schemas.openxmlformats.org/officeDocument/2006/relationships/hyperlink" Target="https://lalafo.kg/bishkek/ads/zemelnyj-ucastok-dla-kommerceskogo-ispolzovania-v-biskeke-id-72351667" TargetMode="External"/><Relationship Id="rId9" Type="http://schemas.openxmlformats.org/officeDocument/2006/relationships/hyperlink" Target="https://www.house.kg/details/6681303693ff396e40897-43314147" TargetMode="External"/><Relationship Id="rId1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house.kg/details/5740762679be28f2b0595-19178779" TargetMode="External"/><Relationship Id="rId3" Type="http://schemas.openxmlformats.org/officeDocument/2006/relationships/hyperlink" Target="https://www.house.kg/details/30035586963340e143a39-64654112" TargetMode="External"/><Relationship Id="rId7" Type="http://schemas.openxmlformats.org/officeDocument/2006/relationships/hyperlink" Target="https://www.house.kg/details/6054294693543612748d2-03556339" TargetMode="External"/><Relationship Id="rId12" Type="http://schemas.openxmlformats.org/officeDocument/2006/relationships/comments" Target="../comments6.xml"/><Relationship Id="rId2" Type="http://schemas.openxmlformats.org/officeDocument/2006/relationships/hyperlink" Target="https://www.house.kg/details/3757909696a096de6bf81-41372992" TargetMode="External"/><Relationship Id="rId1" Type="http://schemas.openxmlformats.org/officeDocument/2006/relationships/hyperlink" Target="https://www.house.kg/details/397065967e2c950393ee8-60015422" TargetMode="External"/><Relationship Id="rId6" Type="http://schemas.openxmlformats.org/officeDocument/2006/relationships/hyperlink" Target="https://lalafo.kg/bishkek/ads/prodaetsa-skladskoe-i-id-41338286" TargetMode="External"/><Relationship Id="rId11" Type="http://schemas.openxmlformats.org/officeDocument/2006/relationships/vmlDrawing" Target="../drawings/vmlDrawing6.vml"/><Relationship Id="rId5" Type="http://schemas.openxmlformats.org/officeDocument/2006/relationships/hyperlink" Target="https://www.house.kg/details/6681303693ff396e40897-43314147" TargetMode="External"/><Relationship Id="rId10" Type="http://schemas.openxmlformats.org/officeDocument/2006/relationships/printerSettings" Target="../printerSettings/printerSettings5.bin"/><Relationship Id="rId4" Type="http://schemas.openxmlformats.org/officeDocument/2006/relationships/hyperlink" Target="https://www.house.kg/details/581708268babda98f5598-32400779" TargetMode="External"/><Relationship Id="rId9" Type="http://schemas.openxmlformats.org/officeDocument/2006/relationships/hyperlink" Target="https://www.house.kg/details/430257469856b3fdef002-08932538"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house.kg/details/5740762679be28f2b0595-19178779" TargetMode="External"/><Relationship Id="rId3" Type="http://schemas.openxmlformats.org/officeDocument/2006/relationships/hyperlink" Target="https://www.house.kg/details/30035586963340e143a39-64654112" TargetMode="External"/><Relationship Id="rId7" Type="http://schemas.openxmlformats.org/officeDocument/2006/relationships/hyperlink" Target="https://www.house.kg/details/6054294693543612748d2-03556339" TargetMode="External"/><Relationship Id="rId12" Type="http://schemas.openxmlformats.org/officeDocument/2006/relationships/comments" Target="../comments7.xml"/><Relationship Id="rId2" Type="http://schemas.openxmlformats.org/officeDocument/2006/relationships/hyperlink" Target="https://www.house.kg/details/3757909696a096de6bf81-41372992" TargetMode="External"/><Relationship Id="rId1" Type="http://schemas.openxmlformats.org/officeDocument/2006/relationships/hyperlink" Target="https://www.house.kg/details/397065967e2c950393ee8-60015422" TargetMode="External"/><Relationship Id="rId6" Type="http://schemas.openxmlformats.org/officeDocument/2006/relationships/hyperlink" Target="https://lalafo.kg/bishkek/ads/prodaetsa-skladskoe-i-id-41338286" TargetMode="External"/><Relationship Id="rId11" Type="http://schemas.openxmlformats.org/officeDocument/2006/relationships/vmlDrawing" Target="../drawings/vmlDrawing7.vml"/><Relationship Id="rId5" Type="http://schemas.openxmlformats.org/officeDocument/2006/relationships/hyperlink" Target="https://www.house.kg/details/6681303693ff396e40897-43314147" TargetMode="External"/><Relationship Id="rId10" Type="http://schemas.openxmlformats.org/officeDocument/2006/relationships/printerSettings" Target="../printerSettings/printerSettings6.bin"/><Relationship Id="rId4" Type="http://schemas.openxmlformats.org/officeDocument/2006/relationships/hyperlink" Target="https://www.house.kg/details/581708268babda98f5598-32400779" TargetMode="External"/><Relationship Id="rId9" Type="http://schemas.openxmlformats.org/officeDocument/2006/relationships/hyperlink" Target="https://www.house.kg/details/430257469856b3fdef002-08932538"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house.kg/details/5740762679be28f2b0595-19178779" TargetMode="External"/><Relationship Id="rId3" Type="http://schemas.openxmlformats.org/officeDocument/2006/relationships/hyperlink" Target="https://www.house.kg/details/30035586963340e143a39-64654112" TargetMode="External"/><Relationship Id="rId7" Type="http://schemas.openxmlformats.org/officeDocument/2006/relationships/hyperlink" Target="https://www.house.kg/details/6054294693543612748d2-03556339" TargetMode="External"/><Relationship Id="rId12" Type="http://schemas.openxmlformats.org/officeDocument/2006/relationships/comments" Target="../comments8.xml"/><Relationship Id="rId2" Type="http://schemas.openxmlformats.org/officeDocument/2006/relationships/hyperlink" Target="https://www.house.kg/details/3757909696a096de6bf81-41372992" TargetMode="External"/><Relationship Id="rId1" Type="http://schemas.openxmlformats.org/officeDocument/2006/relationships/hyperlink" Target="https://www.house.kg/details/397065967e2c950393ee8-60015422" TargetMode="External"/><Relationship Id="rId6" Type="http://schemas.openxmlformats.org/officeDocument/2006/relationships/hyperlink" Target="https://lalafo.kg/bishkek/ads/prodaetsa-skladskoe-i-id-41338286" TargetMode="External"/><Relationship Id="rId11" Type="http://schemas.openxmlformats.org/officeDocument/2006/relationships/vmlDrawing" Target="../drawings/vmlDrawing8.vml"/><Relationship Id="rId5" Type="http://schemas.openxmlformats.org/officeDocument/2006/relationships/hyperlink" Target="https://www.house.kg/details/6681303693ff396e40897-43314147" TargetMode="External"/><Relationship Id="rId10" Type="http://schemas.openxmlformats.org/officeDocument/2006/relationships/printerSettings" Target="../printerSettings/printerSettings7.bin"/><Relationship Id="rId4" Type="http://schemas.openxmlformats.org/officeDocument/2006/relationships/hyperlink" Target="https://www.house.kg/details/581708268babda98f5598-32400779" TargetMode="External"/><Relationship Id="rId9" Type="http://schemas.openxmlformats.org/officeDocument/2006/relationships/hyperlink" Target="https://www.house.kg/details/430257469856b3fdef002-089325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house.kg/details/235255266e2ae20da3a28-33073832" TargetMode="External"/><Relationship Id="rId13" Type="http://schemas.openxmlformats.org/officeDocument/2006/relationships/hyperlink" Target="https://lalafo.kg/bishkek/ads/kirkomstrom-ul-murmanskaa-id-93341570" TargetMode="External"/><Relationship Id="rId18" Type="http://schemas.openxmlformats.org/officeDocument/2006/relationships/comments" Target="../comments9.xml"/><Relationship Id="rId3" Type="http://schemas.openxmlformats.org/officeDocument/2006/relationships/hyperlink" Target="https://lalafo.kg/bishkek/ads/prodau-zdanie1000m-pod-sklady-id-91226080" TargetMode="External"/><Relationship Id="rId7" Type="http://schemas.openxmlformats.org/officeDocument/2006/relationships/hyperlink" Target="https://www.house.kg/details/589888866fa615968ec77-29924665" TargetMode="External"/><Relationship Id="rId12" Type="http://schemas.openxmlformats.org/officeDocument/2006/relationships/hyperlink" Target="https://lalafo.kg/bishkek/ads/prodaetsa-skladskoe-i-id-41338286" TargetMode="External"/><Relationship Id="rId17" Type="http://schemas.openxmlformats.org/officeDocument/2006/relationships/vmlDrawing" Target="../drawings/vmlDrawing9.vml"/><Relationship Id="rId2" Type="http://schemas.openxmlformats.org/officeDocument/2006/relationships/hyperlink" Target="https://lalafo.kg/bishkek/ads/prodaem-ucastok-s-proizvodstvennym-skladom-ul-l-tolstogo-per-id-100964166" TargetMode="External"/><Relationship Id="rId16" Type="http://schemas.openxmlformats.org/officeDocument/2006/relationships/printerSettings" Target="../printerSettings/printerSettings8.bin"/><Relationship Id="rId1" Type="http://schemas.openxmlformats.org/officeDocument/2006/relationships/hyperlink" Target="https://diesel.elcat.kg/index.php?showtopic=292903841" TargetMode="External"/><Relationship Id="rId6" Type="http://schemas.openxmlformats.org/officeDocument/2006/relationships/hyperlink" Target="https://diesel.elcat.kg/index.php?showtopic=292903841" TargetMode="External"/><Relationship Id="rId11" Type="http://schemas.openxmlformats.org/officeDocument/2006/relationships/hyperlink" Target="https://lalafo.kg/bishkek/ads/prodaem-717-m2-zdanie-3-et-s-podvalom-po-id-106328076?ad_type=1&amp;feed_id=6002&amp;listing_category_id=2061" TargetMode="External"/><Relationship Id="rId5" Type="http://schemas.openxmlformats.org/officeDocument/2006/relationships/hyperlink" Target="https://www.house.kg/details/724376367d2fa1cb93573-45374002" TargetMode="External"/><Relationship Id="rId15" Type="http://schemas.openxmlformats.org/officeDocument/2006/relationships/hyperlink" Target="https://lalafo.kg/bishkek/ads/zemelnyj-ucastok-dla-kommerceskogo-ispolzovania-v-biskeke-id-72351667" TargetMode="External"/><Relationship Id="rId10" Type="http://schemas.openxmlformats.org/officeDocument/2006/relationships/hyperlink" Target="https://lalafo.kg/bishkek/ads/prodau-zdanie1000m-pod-sklady-id-86233615" TargetMode="External"/><Relationship Id="rId4" Type="http://schemas.openxmlformats.org/officeDocument/2006/relationships/hyperlink" Target="https://www.house.kg/details/5740762679be28f2b0595-19178779" TargetMode="External"/><Relationship Id="rId9" Type="http://schemas.openxmlformats.org/officeDocument/2006/relationships/hyperlink" Target="https://www.house.kg/details/6681303693ff396e40897-43314147" TargetMode="External"/><Relationship Id="rId14" Type="http://schemas.openxmlformats.org/officeDocument/2006/relationships/hyperlink" Target="https://lalafo.kg/bishkek/ads/prodaetsa-ucastok-32-sotok-po-pervoj-id-43595286"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house.kg/details/235255266e2ae20da3a28-33073832" TargetMode="External"/><Relationship Id="rId13" Type="http://schemas.openxmlformats.org/officeDocument/2006/relationships/hyperlink" Target="https://lalafo.kg/bishkek/ads/kirkomstrom-ul-murmanskaa-id-93341570" TargetMode="External"/><Relationship Id="rId18" Type="http://schemas.openxmlformats.org/officeDocument/2006/relationships/comments" Target="../comments10.xml"/><Relationship Id="rId3" Type="http://schemas.openxmlformats.org/officeDocument/2006/relationships/hyperlink" Target="https://lalafo.kg/bishkek/ads/prodau-zdanie1000m-pod-sklady-id-91226080" TargetMode="External"/><Relationship Id="rId7" Type="http://schemas.openxmlformats.org/officeDocument/2006/relationships/hyperlink" Target="https://www.house.kg/details/589888866fa615968ec77-29924665" TargetMode="External"/><Relationship Id="rId12" Type="http://schemas.openxmlformats.org/officeDocument/2006/relationships/hyperlink" Target="https://lalafo.kg/bishkek/ads/prodaetsa-skladskoe-i-id-41338286" TargetMode="External"/><Relationship Id="rId17" Type="http://schemas.openxmlformats.org/officeDocument/2006/relationships/vmlDrawing" Target="../drawings/vmlDrawing10.vml"/><Relationship Id="rId2" Type="http://schemas.openxmlformats.org/officeDocument/2006/relationships/hyperlink" Target="https://lalafo.kg/bishkek/ads/prodaem-ucastok-s-proizvodstvennym-skladom-ul-l-tolstogo-per-id-100964166" TargetMode="External"/><Relationship Id="rId16" Type="http://schemas.openxmlformats.org/officeDocument/2006/relationships/printerSettings" Target="../printerSettings/printerSettings9.bin"/><Relationship Id="rId1" Type="http://schemas.openxmlformats.org/officeDocument/2006/relationships/hyperlink" Target="https://diesel.elcat.kg/index.php?showtopic=292903841" TargetMode="External"/><Relationship Id="rId6" Type="http://schemas.openxmlformats.org/officeDocument/2006/relationships/hyperlink" Target="https://diesel.elcat.kg/index.php?showtopic=292903841" TargetMode="External"/><Relationship Id="rId11" Type="http://schemas.openxmlformats.org/officeDocument/2006/relationships/hyperlink" Target="https://lalafo.kg/bishkek/ads/prodaem-717-m2-zdanie-3-et-s-podvalom-po-id-106328076?ad_type=1&amp;feed_id=6002&amp;listing_category_id=2061" TargetMode="External"/><Relationship Id="rId5" Type="http://schemas.openxmlformats.org/officeDocument/2006/relationships/hyperlink" Target="https://www.house.kg/details/724376367d2fa1cb93573-45374002" TargetMode="External"/><Relationship Id="rId15" Type="http://schemas.openxmlformats.org/officeDocument/2006/relationships/hyperlink" Target="https://lalafo.kg/bishkek/ads/zemelnyj-ucastok-dla-kommerceskogo-ispolzovania-v-biskeke-id-72351667" TargetMode="External"/><Relationship Id="rId10" Type="http://schemas.openxmlformats.org/officeDocument/2006/relationships/hyperlink" Target="https://lalafo.kg/bishkek/ads/prodau-zdanie1000m-pod-sklady-id-86233615" TargetMode="External"/><Relationship Id="rId4" Type="http://schemas.openxmlformats.org/officeDocument/2006/relationships/hyperlink" Target="https://www.house.kg/details/5740762679be28f2b0595-19178779" TargetMode="External"/><Relationship Id="rId9" Type="http://schemas.openxmlformats.org/officeDocument/2006/relationships/hyperlink" Target="https://www.house.kg/details/6681303693ff396e40897-43314147" TargetMode="External"/><Relationship Id="rId14" Type="http://schemas.openxmlformats.org/officeDocument/2006/relationships/hyperlink" Target="https://lalafo.kg/bishkek/ads/prodaetsa-ucastok-32-sotok-po-pervoj-id-4359528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ouse.kg/details/235255266e2ae20da3a28-33073832" TargetMode="External"/><Relationship Id="rId13" Type="http://schemas.openxmlformats.org/officeDocument/2006/relationships/hyperlink" Target="https://lalafo.kg/bishkek/ads/kirkomstrom-ul-murmanskaa-id-93341570" TargetMode="External"/><Relationship Id="rId18" Type="http://schemas.openxmlformats.org/officeDocument/2006/relationships/comments" Target="../comments11.xml"/><Relationship Id="rId3" Type="http://schemas.openxmlformats.org/officeDocument/2006/relationships/hyperlink" Target="https://lalafo.kg/bishkek/ads/prodau-zdanie1000m-pod-sklady-id-91226080" TargetMode="External"/><Relationship Id="rId7" Type="http://schemas.openxmlformats.org/officeDocument/2006/relationships/hyperlink" Target="https://www.house.kg/details/589888866fa615968ec77-29924665" TargetMode="External"/><Relationship Id="rId12" Type="http://schemas.openxmlformats.org/officeDocument/2006/relationships/hyperlink" Target="https://lalafo.kg/bishkek/ads/prodaetsa-skladskoe-i-id-41338286" TargetMode="External"/><Relationship Id="rId17" Type="http://schemas.openxmlformats.org/officeDocument/2006/relationships/vmlDrawing" Target="../drawings/vmlDrawing11.vml"/><Relationship Id="rId2" Type="http://schemas.openxmlformats.org/officeDocument/2006/relationships/hyperlink" Target="https://lalafo.kg/bishkek/ads/prodaem-ucastok-s-proizvodstvennym-skladom-ul-l-tolstogo-per-id-100964166" TargetMode="External"/><Relationship Id="rId16" Type="http://schemas.openxmlformats.org/officeDocument/2006/relationships/printerSettings" Target="../printerSettings/printerSettings10.bin"/><Relationship Id="rId1" Type="http://schemas.openxmlformats.org/officeDocument/2006/relationships/hyperlink" Target="https://diesel.elcat.kg/index.php?showtopic=292903841" TargetMode="External"/><Relationship Id="rId6" Type="http://schemas.openxmlformats.org/officeDocument/2006/relationships/hyperlink" Target="https://diesel.elcat.kg/index.php?showtopic=292903841" TargetMode="External"/><Relationship Id="rId11" Type="http://schemas.openxmlformats.org/officeDocument/2006/relationships/hyperlink" Target="https://lalafo.kg/bishkek/ads/prodaem-717-m2-zdanie-3-et-s-podvalom-po-id-106328076?ad_type=1&amp;feed_id=6002&amp;listing_category_id=2061" TargetMode="External"/><Relationship Id="rId5" Type="http://schemas.openxmlformats.org/officeDocument/2006/relationships/hyperlink" Target="https://www.house.kg/details/724376367d2fa1cb93573-45374002" TargetMode="External"/><Relationship Id="rId15" Type="http://schemas.openxmlformats.org/officeDocument/2006/relationships/hyperlink" Target="https://lalafo.kg/bishkek/ads/zemelnyj-ucastok-dla-kommerceskogo-ispolzovania-v-biskeke-id-72351667" TargetMode="External"/><Relationship Id="rId10" Type="http://schemas.openxmlformats.org/officeDocument/2006/relationships/hyperlink" Target="https://lalafo.kg/bishkek/ads/prodau-zdanie1000m-pod-sklady-id-86233615" TargetMode="External"/><Relationship Id="rId4" Type="http://schemas.openxmlformats.org/officeDocument/2006/relationships/hyperlink" Target="https://www.house.kg/details/5740762679be28f2b0595-19178779" TargetMode="External"/><Relationship Id="rId9" Type="http://schemas.openxmlformats.org/officeDocument/2006/relationships/hyperlink" Target="https://www.house.kg/details/6681303693ff396e40897-43314147" TargetMode="External"/><Relationship Id="rId14" Type="http://schemas.openxmlformats.org/officeDocument/2006/relationships/hyperlink" Target="https://lalafo.kg/bishkek/ads/prodaetsa-ucastok-32-sotok-po-pervoj-id-43595286"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house.kg/details/589888866fa615968ec77-29924665" TargetMode="External"/><Relationship Id="rId13" Type="http://schemas.openxmlformats.org/officeDocument/2006/relationships/hyperlink" Target="https://www.house.kg/details/3757909696a096de6bf81-41372992" TargetMode="External"/><Relationship Id="rId3" Type="http://schemas.openxmlformats.org/officeDocument/2006/relationships/hyperlink" Target="https://www.house.kg/details/593032368662671c6eff1-59915982" TargetMode="External"/><Relationship Id="rId7" Type="http://schemas.openxmlformats.org/officeDocument/2006/relationships/hyperlink" Target="https://www.house.kg/details/589888866fa615968ec77-29924665" TargetMode="External"/><Relationship Id="rId12" Type="http://schemas.openxmlformats.org/officeDocument/2006/relationships/hyperlink" Target="https://lalafo.kg/bishkek/ads/zemelnyj-ucastok-dla-kommerceskogo-ispolzovania-v-biskeke-id-72351667" TargetMode="External"/><Relationship Id="rId2" Type="http://schemas.openxmlformats.org/officeDocument/2006/relationships/hyperlink" Target="https://www.house.kg/details/557630467b194685f9868-29822625" TargetMode="External"/><Relationship Id="rId16" Type="http://schemas.openxmlformats.org/officeDocument/2006/relationships/comments" Target="../comments12.xml"/><Relationship Id="rId1" Type="http://schemas.openxmlformats.org/officeDocument/2006/relationships/hyperlink" Target="https://www.house.kg/details/113893066902eb49a1b36-84088753" TargetMode="External"/><Relationship Id="rId6" Type="http://schemas.openxmlformats.org/officeDocument/2006/relationships/hyperlink" Target="https://www.house.kg/details/157368268723ec0a20ba6-61622061" TargetMode="External"/><Relationship Id="rId11" Type="http://schemas.openxmlformats.org/officeDocument/2006/relationships/hyperlink" Target="https://lalafo.kg/bishkek/ads/prodaetsa-ucastok-32-sotok-po-pervoj-id-43595286" TargetMode="External"/><Relationship Id="rId5" Type="http://schemas.openxmlformats.org/officeDocument/2006/relationships/hyperlink" Target="https://www.house.kg/details/9543001680b4574572560-95017746" TargetMode="External"/><Relationship Id="rId15" Type="http://schemas.openxmlformats.org/officeDocument/2006/relationships/vmlDrawing" Target="../drawings/vmlDrawing12.vml"/><Relationship Id="rId10" Type="http://schemas.openxmlformats.org/officeDocument/2006/relationships/hyperlink" Target="https://lalafo.kg/bishkek/ads/kirkomstrom-ul-murmanskaa-id-93341570" TargetMode="External"/><Relationship Id="rId4" Type="http://schemas.openxmlformats.org/officeDocument/2006/relationships/hyperlink" Target="https://www.house.kg/details/510217968626efe31a626-51177263" TargetMode="External"/><Relationship Id="rId9" Type="http://schemas.openxmlformats.org/officeDocument/2006/relationships/hyperlink" Target="https://www.house.kg/details/397065967e2c950393ee8-60015422" TargetMode="External"/><Relationship Id="rId14"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8" Type="http://schemas.openxmlformats.org/officeDocument/2006/relationships/hyperlink" Target="https://www.house.kg/details/589888866fa615968ec77-29924665" TargetMode="External"/><Relationship Id="rId13" Type="http://schemas.openxmlformats.org/officeDocument/2006/relationships/hyperlink" Target="https://www.house.kg/details/3757909696a096de6bf81-41372992" TargetMode="External"/><Relationship Id="rId3" Type="http://schemas.openxmlformats.org/officeDocument/2006/relationships/hyperlink" Target="https://www.house.kg/details/593032368662671c6eff1-59915982" TargetMode="External"/><Relationship Id="rId7" Type="http://schemas.openxmlformats.org/officeDocument/2006/relationships/hyperlink" Target="https://www.house.kg/details/589888866fa615968ec77-29924665" TargetMode="External"/><Relationship Id="rId12" Type="http://schemas.openxmlformats.org/officeDocument/2006/relationships/hyperlink" Target="https://lalafo.kg/bishkek/ads/zemelnyj-ucastok-dla-kommerceskogo-ispolzovania-v-biskeke-id-72351667" TargetMode="External"/><Relationship Id="rId2" Type="http://schemas.openxmlformats.org/officeDocument/2006/relationships/hyperlink" Target="https://www.house.kg/details/557630467b194685f9868-29822625" TargetMode="External"/><Relationship Id="rId16" Type="http://schemas.openxmlformats.org/officeDocument/2006/relationships/comments" Target="../comments13.xml"/><Relationship Id="rId1" Type="http://schemas.openxmlformats.org/officeDocument/2006/relationships/hyperlink" Target="https://www.house.kg/details/113893066902eb49a1b36-84088753" TargetMode="External"/><Relationship Id="rId6" Type="http://schemas.openxmlformats.org/officeDocument/2006/relationships/hyperlink" Target="https://www.house.kg/details/157368268723ec0a20ba6-61622061" TargetMode="External"/><Relationship Id="rId11" Type="http://schemas.openxmlformats.org/officeDocument/2006/relationships/hyperlink" Target="https://lalafo.kg/bishkek/ads/prodaetsa-ucastok-32-sotok-po-pervoj-id-43595286" TargetMode="External"/><Relationship Id="rId5" Type="http://schemas.openxmlformats.org/officeDocument/2006/relationships/hyperlink" Target="https://www.house.kg/details/9543001680b4574572560-95017746" TargetMode="External"/><Relationship Id="rId15" Type="http://schemas.openxmlformats.org/officeDocument/2006/relationships/vmlDrawing" Target="../drawings/vmlDrawing13.vml"/><Relationship Id="rId10" Type="http://schemas.openxmlformats.org/officeDocument/2006/relationships/hyperlink" Target="https://lalafo.kg/bishkek/ads/kirkomstrom-ul-murmanskaa-id-93341570" TargetMode="External"/><Relationship Id="rId4" Type="http://schemas.openxmlformats.org/officeDocument/2006/relationships/hyperlink" Target="https://www.house.kg/details/510217968626efe31a626-51177263" TargetMode="External"/><Relationship Id="rId9" Type="http://schemas.openxmlformats.org/officeDocument/2006/relationships/hyperlink" Target="https://www.house.kg/details/397065967e2c950393ee8-60015422" TargetMode="External"/><Relationship Id="rId14"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8" Type="http://schemas.openxmlformats.org/officeDocument/2006/relationships/hyperlink" Target="https://www.house.kg/details/589888866fa615968ec77-29924665" TargetMode="External"/><Relationship Id="rId13" Type="http://schemas.openxmlformats.org/officeDocument/2006/relationships/hyperlink" Target="https://www.house.kg/details/3757909696a096de6bf81-41372992" TargetMode="External"/><Relationship Id="rId3" Type="http://schemas.openxmlformats.org/officeDocument/2006/relationships/hyperlink" Target="https://www.house.kg/details/593032368662671c6eff1-59915982" TargetMode="External"/><Relationship Id="rId7" Type="http://schemas.openxmlformats.org/officeDocument/2006/relationships/hyperlink" Target="https://www.house.kg/details/589888866fa615968ec77-29924665" TargetMode="External"/><Relationship Id="rId12" Type="http://schemas.openxmlformats.org/officeDocument/2006/relationships/hyperlink" Target="https://lalafo.kg/bishkek/ads/zemelnyj-ucastok-dla-kommerceskogo-ispolzovania-v-biskeke-id-72351667" TargetMode="External"/><Relationship Id="rId2" Type="http://schemas.openxmlformats.org/officeDocument/2006/relationships/hyperlink" Target="https://www.house.kg/details/557630467b194685f9868-29822625" TargetMode="External"/><Relationship Id="rId16" Type="http://schemas.openxmlformats.org/officeDocument/2006/relationships/comments" Target="../comments14.xml"/><Relationship Id="rId1" Type="http://schemas.openxmlformats.org/officeDocument/2006/relationships/hyperlink" Target="https://www.house.kg/details/113893066902eb49a1b36-84088753" TargetMode="External"/><Relationship Id="rId6" Type="http://schemas.openxmlformats.org/officeDocument/2006/relationships/hyperlink" Target="https://www.house.kg/details/157368268723ec0a20ba6-61622061" TargetMode="External"/><Relationship Id="rId11" Type="http://schemas.openxmlformats.org/officeDocument/2006/relationships/hyperlink" Target="https://lalafo.kg/bishkek/ads/prodaetsa-ucastok-32-sotok-po-pervoj-id-43595286" TargetMode="External"/><Relationship Id="rId5" Type="http://schemas.openxmlformats.org/officeDocument/2006/relationships/hyperlink" Target="https://www.house.kg/details/9543001680b4574572560-95017746" TargetMode="External"/><Relationship Id="rId15" Type="http://schemas.openxmlformats.org/officeDocument/2006/relationships/vmlDrawing" Target="../drawings/vmlDrawing14.vml"/><Relationship Id="rId10" Type="http://schemas.openxmlformats.org/officeDocument/2006/relationships/hyperlink" Target="https://lalafo.kg/bishkek/ads/kirkomstrom-ul-murmanskaa-id-93341570" TargetMode="External"/><Relationship Id="rId4" Type="http://schemas.openxmlformats.org/officeDocument/2006/relationships/hyperlink" Target="https://www.house.kg/details/510217968626efe31a626-51177263" TargetMode="External"/><Relationship Id="rId9" Type="http://schemas.openxmlformats.org/officeDocument/2006/relationships/hyperlink" Target="https://www.house.kg/details/397065967e2c950393ee8-60015422" TargetMode="External"/><Relationship Id="rId14"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64BF-BC87-481E-BD8D-2876B41940E7}">
  <dimension ref="A1:G38"/>
  <sheetViews>
    <sheetView topLeftCell="C1" workbookViewId="0">
      <selection activeCell="F10" sqref="F10"/>
    </sheetView>
  </sheetViews>
  <sheetFormatPr defaultRowHeight="14.25"/>
  <cols>
    <col min="1" max="1" width="35.75" customWidth="1"/>
    <col min="2" max="2" width="7" bestFit="1" customWidth="1"/>
    <col min="3" max="3" width="118.875" bestFit="1" customWidth="1"/>
    <col min="4" max="4" width="15.75" bestFit="1" customWidth="1"/>
    <col min="6" max="6" width="34.375" customWidth="1"/>
    <col min="7" max="7" width="40" customWidth="1"/>
  </cols>
  <sheetData>
    <row r="1" spans="1:7">
      <c r="A1" s="53" t="s">
        <v>84</v>
      </c>
      <c r="B1" s="53" t="s">
        <v>85</v>
      </c>
      <c r="C1" s="53" t="s">
        <v>1</v>
      </c>
      <c r="D1" s="53" t="s">
        <v>6</v>
      </c>
      <c r="F1" s="432" t="s">
        <v>302</v>
      </c>
      <c r="G1" s="432">
        <v>87.45</v>
      </c>
    </row>
    <row r="2" spans="1:7">
      <c r="A2" s="53" t="s">
        <v>2</v>
      </c>
      <c r="B2" s="52" t="s">
        <v>87</v>
      </c>
      <c r="C2" s="53" t="s">
        <v>69</v>
      </c>
      <c r="D2" s="66">
        <v>0.6</v>
      </c>
    </row>
    <row r="3" spans="1:7">
      <c r="A3" s="53" t="s">
        <v>2</v>
      </c>
      <c r="B3" s="52" t="s">
        <v>87</v>
      </c>
      <c r="C3" s="53" t="s">
        <v>70</v>
      </c>
      <c r="D3" s="66">
        <v>0.7</v>
      </c>
    </row>
    <row r="4" spans="1:7">
      <c r="A4" s="53" t="s">
        <v>2</v>
      </c>
      <c r="B4" s="52" t="s">
        <v>87</v>
      </c>
      <c r="C4" s="53" t="s">
        <v>49</v>
      </c>
      <c r="D4" s="66">
        <v>0.8</v>
      </c>
    </row>
    <row r="5" spans="1:7">
      <c r="A5" s="53" t="s">
        <v>2</v>
      </c>
      <c r="B5" s="52" t="s">
        <v>87</v>
      </c>
      <c r="C5" s="53" t="s">
        <v>50</v>
      </c>
      <c r="D5" s="66">
        <v>1</v>
      </c>
    </row>
    <row r="6" spans="1:7">
      <c r="A6" s="53" t="s">
        <v>51</v>
      </c>
      <c r="B6" s="52" t="s">
        <v>87</v>
      </c>
      <c r="C6" s="53" t="s">
        <v>52</v>
      </c>
      <c r="D6" s="66">
        <v>0.8</v>
      </c>
    </row>
    <row r="7" spans="1:7">
      <c r="A7" s="53" t="s">
        <v>51</v>
      </c>
      <c r="B7" s="52" t="s">
        <v>87</v>
      </c>
      <c r="C7" s="53" t="s">
        <v>54</v>
      </c>
      <c r="D7" s="66">
        <v>0.9</v>
      </c>
    </row>
    <row r="8" spans="1:7">
      <c r="A8" s="53" t="s">
        <v>51</v>
      </c>
      <c r="B8" s="52" t="s">
        <v>87</v>
      </c>
      <c r="C8" s="53" t="s">
        <v>53</v>
      </c>
      <c r="D8" s="66">
        <v>1</v>
      </c>
    </row>
    <row r="9" spans="1:7">
      <c r="A9" s="53" t="s">
        <v>55</v>
      </c>
      <c r="B9" s="52" t="s">
        <v>87</v>
      </c>
      <c r="C9" s="53" t="s">
        <v>56</v>
      </c>
      <c r="D9" s="66">
        <v>0.8</v>
      </c>
    </row>
    <row r="10" spans="1:7">
      <c r="A10" s="53" t="s">
        <v>55</v>
      </c>
      <c r="B10" s="52" t="s">
        <v>87</v>
      </c>
      <c r="C10" s="53" t="s">
        <v>58</v>
      </c>
      <c r="D10" s="66">
        <v>0.9</v>
      </c>
    </row>
    <row r="11" spans="1:7">
      <c r="A11" s="53" t="s">
        <v>55</v>
      </c>
      <c r="B11" s="52" t="s">
        <v>87</v>
      </c>
      <c r="C11" s="53" t="s">
        <v>57</v>
      </c>
      <c r="D11" s="66">
        <v>1</v>
      </c>
    </row>
    <row r="12" spans="1:7">
      <c r="A12" s="53" t="s">
        <v>59</v>
      </c>
      <c r="B12" s="52" t="s">
        <v>87</v>
      </c>
      <c r="C12" s="53" t="s">
        <v>60</v>
      </c>
      <c r="D12" s="66">
        <v>0.9</v>
      </c>
    </row>
    <row r="13" spans="1:7">
      <c r="A13" s="53" t="s">
        <v>59</v>
      </c>
      <c r="B13" s="52" t="s">
        <v>87</v>
      </c>
      <c r="C13" s="53" t="s">
        <v>58</v>
      </c>
      <c r="D13" s="66">
        <v>0.95</v>
      </c>
    </row>
    <row r="14" spans="1:7">
      <c r="A14" s="53" t="s">
        <v>59</v>
      </c>
      <c r="B14" s="52" t="s">
        <v>87</v>
      </c>
      <c r="C14" s="53" t="s">
        <v>61</v>
      </c>
      <c r="D14" s="66">
        <v>1</v>
      </c>
    </row>
    <row r="15" spans="1:7">
      <c r="A15" s="53" t="s">
        <v>62</v>
      </c>
      <c r="B15" s="52" t="s">
        <v>87</v>
      </c>
      <c r="C15" s="53" t="s">
        <v>63</v>
      </c>
      <c r="D15" s="66">
        <v>0.5</v>
      </c>
    </row>
    <row r="16" spans="1:7">
      <c r="A16" s="53" t="s">
        <v>62</v>
      </c>
      <c r="B16" s="52" t="s">
        <v>87</v>
      </c>
      <c r="C16" s="53" t="s">
        <v>64</v>
      </c>
      <c r="D16" s="66">
        <v>0.7</v>
      </c>
    </row>
    <row r="17" spans="1:4">
      <c r="A17" s="53" t="s">
        <v>62</v>
      </c>
      <c r="B17" s="52" t="s">
        <v>87</v>
      </c>
      <c r="C17" s="53" t="s">
        <v>65</v>
      </c>
      <c r="D17" s="66">
        <v>0.8</v>
      </c>
    </row>
    <row r="18" spans="1:4">
      <c r="A18" s="53" t="s">
        <v>62</v>
      </c>
      <c r="B18" s="52" t="s">
        <v>87</v>
      </c>
      <c r="C18" s="53" t="s">
        <v>66</v>
      </c>
      <c r="D18" s="66">
        <v>1</v>
      </c>
    </row>
    <row r="19" spans="1:4">
      <c r="A19" s="53" t="s">
        <v>16</v>
      </c>
      <c r="B19" s="52" t="s">
        <v>87</v>
      </c>
      <c r="C19" s="53" t="s">
        <v>17</v>
      </c>
      <c r="D19" s="66">
        <v>0.8</v>
      </c>
    </row>
    <row r="20" spans="1:4">
      <c r="A20" s="53" t="s">
        <v>16</v>
      </c>
      <c r="B20" s="52" t="s">
        <v>87</v>
      </c>
      <c r="C20" s="53" t="s">
        <v>23</v>
      </c>
      <c r="D20" s="66">
        <v>0.9</v>
      </c>
    </row>
    <row r="21" spans="1:4">
      <c r="A21" s="53" t="s">
        <v>16</v>
      </c>
      <c r="B21" s="52" t="s">
        <v>87</v>
      </c>
      <c r="C21" s="53" t="s">
        <v>18</v>
      </c>
      <c r="D21" s="66">
        <v>1</v>
      </c>
    </row>
    <row r="22" spans="1:4">
      <c r="A22" s="53" t="s">
        <v>2</v>
      </c>
      <c r="B22" s="51" t="s">
        <v>88</v>
      </c>
      <c r="C22" s="53" t="s">
        <v>3</v>
      </c>
      <c r="D22" s="66">
        <v>0.4</v>
      </c>
    </row>
    <row r="23" spans="1:4">
      <c r="A23" s="53" t="s">
        <v>2</v>
      </c>
      <c r="B23" s="51" t="s">
        <v>88</v>
      </c>
      <c r="C23" s="53" t="s">
        <v>4</v>
      </c>
      <c r="D23" s="66">
        <v>0.6</v>
      </c>
    </row>
    <row r="24" spans="1:4">
      <c r="A24" s="53" t="s">
        <v>2</v>
      </c>
      <c r="B24" s="51" t="s">
        <v>88</v>
      </c>
      <c r="C24" s="53" t="s">
        <v>5</v>
      </c>
      <c r="D24" s="66">
        <v>0.8</v>
      </c>
    </row>
    <row r="25" spans="1:4">
      <c r="A25" s="53" t="s">
        <v>2</v>
      </c>
      <c r="B25" s="51" t="s">
        <v>88</v>
      </c>
      <c r="C25" s="53" t="s">
        <v>22</v>
      </c>
      <c r="D25" s="66">
        <v>1</v>
      </c>
    </row>
    <row r="26" spans="1:4">
      <c r="A26" s="53" t="s">
        <v>7</v>
      </c>
      <c r="B26" s="51" t="s">
        <v>88</v>
      </c>
      <c r="C26" s="53" t="s">
        <v>9</v>
      </c>
      <c r="D26" s="66">
        <v>0.9</v>
      </c>
    </row>
    <row r="27" spans="1:4">
      <c r="A27" s="53" t="s">
        <v>7</v>
      </c>
      <c r="B27" s="51" t="s">
        <v>88</v>
      </c>
      <c r="C27" s="53" t="s">
        <v>40</v>
      </c>
      <c r="D27" s="66">
        <v>0.95</v>
      </c>
    </row>
    <row r="28" spans="1:4">
      <c r="A28" s="53" t="s">
        <v>7</v>
      </c>
      <c r="B28" s="51" t="s">
        <v>88</v>
      </c>
      <c r="C28" s="53" t="s">
        <v>8</v>
      </c>
      <c r="D28" s="66">
        <v>1</v>
      </c>
    </row>
    <row r="29" spans="1:4">
      <c r="A29" s="53" t="s">
        <v>55</v>
      </c>
      <c r="B29" s="51" t="s">
        <v>88</v>
      </c>
      <c r="C29" s="53" t="s">
        <v>35</v>
      </c>
      <c r="D29" s="66">
        <v>0.5</v>
      </c>
    </row>
    <row r="30" spans="1:4">
      <c r="A30" s="53" t="s">
        <v>55</v>
      </c>
      <c r="B30" s="51" t="s">
        <v>88</v>
      </c>
      <c r="C30" s="53" t="s">
        <v>36</v>
      </c>
      <c r="D30" s="66">
        <v>0.7</v>
      </c>
    </row>
    <row r="31" spans="1:4">
      <c r="A31" s="53" t="s">
        <v>55</v>
      </c>
      <c r="B31" s="51" t="s">
        <v>88</v>
      </c>
      <c r="C31" s="53" t="s">
        <v>37</v>
      </c>
      <c r="D31" s="66">
        <v>0.8</v>
      </c>
    </row>
    <row r="32" spans="1:4">
      <c r="A32" s="53" t="s">
        <v>55</v>
      </c>
      <c r="B32" s="51" t="s">
        <v>88</v>
      </c>
      <c r="C32" s="53" t="s">
        <v>38</v>
      </c>
      <c r="D32" s="66">
        <v>1</v>
      </c>
    </row>
    <row r="33" spans="1:4">
      <c r="A33" s="53" t="s">
        <v>10</v>
      </c>
      <c r="B33" s="51" t="s">
        <v>88</v>
      </c>
      <c r="C33" s="53" t="s">
        <v>11</v>
      </c>
      <c r="D33" s="66">
        <v>0.8</v>
      </c>
    </row>
    <row r="34" spans="1:4">
      <c r="A34" s="53" t="s">
        <v>10</v>
      </c>
      <c r="B34" s="51" t="s">
        <v>88</v>
      </c>
      <c r="C34" s="53" t="s">
        <v>12</v>
      </c>
      <c r="D34" s="66">
        <v>0.9</v>
      </c>
    </row>
    <row r="35" spans="1:4">
      <c r="A35" s="53" t="s">
        <v>10</v>
      </c>
      <c r="B35" s="51" t="s">
        <v>88</v>
      </c>
      <c r="C35" s="53" t="s">
        <v>13</v>
      </c>
      <c r="D35" s="66">
        <v>1</v>
      </c>
    </row>
    <row r="36" spans="1:4">
      <c r="A36" s="53" t="s">
        <v>16</v>
      </c>
      <c r="B36" s="51" t="s">
        <v>88</v>
      </c>
      <c r="C36" s="53" t="s">
        <v>17</v>
      </c>
      <c r="D36" s="66">
        <v>0.8</v>
      </c>
    </row>
    <row r="37" spans="1:4">
      <c r="A37" s="53" t="s">
        <v>16</v>
      </c>
      <c r="B37" s="51" t="s">
        <v>88</v>
      </c>
      <c r="C37" s="53" t="s">
        <v>23</v>
      </c>
      <c r="D37" s="66">
        <v>0.9</v>
      </c>
    </row>
    <row r="38" spans="1:4">
      <c r="A38" s="53" t="s">
        <v>16</v>
      </c>
      <c r="B38" s="51" t="s">
        <v>88</v>
      </c>
      <c r="C38" s="53" t="s">
        <v>18</v>
      </c>
      <c r="D38" s="66">
        <v>1</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CC7F3-DD0F-4ADE-AEA8-4F6BDB19AC71}">
  <dimension ref="A1:AB78"/>
  <sheetViews>
    <sheetView tabSelected="1" zoomScaleNormal="100" workbookViewId="0">
      <pane xSplit="4" ySplit="1" topLeftCell="E52" activePane="bottomRight" state="frozen"/>
      <selection pane="topRight" activeCell="E1" sqref="E1"/>
      <selection pane="bottomLeft" activeCell="A2" sqref="A2"/>
      <selection pane="bottomRight" activeCell="M54" sqref="M54"/>
    </sheetView>
  </sheetViews>
  <sheetFormatPr defaultRowHeight="14.25" outlineLevelCol="1"/>
  <cols>
    <col min="1" max="1" width="15.5" style="60" customWidth="1"/>
    <col min="2" max="5" width="11.5" style="60" customWidth="1"/>
    <col min="6" max="6" width="11.5" style="62" customWidth="1"/>
    <col min="7" max="7" width="11.5" style="63" customWidth="1"/>
    <col min="8" max="8" width="11.5" style="62" customWidth="1"/>
    <col min="9" max="9" width="11.5" style="60" customWidth="1"/>
    <col min="10" max="10" width="11.5" style="62" customWidth="1"/>
    <col min="11" max="11" width="13.875" style="60" customWidth="1"/>
    <col min="12" max="12" width="8.375" style="62" customWidth="1"/>
    <col min="13" max="13" width="31.75" style="60" customWidth="1"/>
    <col min="14" max="14" width="12.5" style="62" customWidth="1"/>
    <col min="15" max="15" width="13.5" style="60" customWidth="1"/>
    <col min="16" max="16" width="14.625" style="62" customWidth="1"/>
    <col min="17" max="17" width="13.625" style="60" customWidth="1"/>
    <col min="18" max="18" width="12.5" style="62" customWidth="1"/>
    <col min="19" max="19" width="31.875" style="60" customWidth="1"/>
    <col min="20" max="20" width="11.25" style="62" customWidth="1"/>
    <col min="21" max="21" width="22.75" style="62" bestFit="1" customWidth="1"/>
    <col min="22" max="22" width="9" style="60"/>
    <col min="23" max="23" width="15.5" style="69" customWidth="1"/>
    <col min="24" max="24" width="11.25" style="390" bestFit="1" customWidth="1"/>
    <col min="25" max="25" width="11.625" style="60" bestFit="1" customWidth="1"/>
    <col min="26" max="26" width="18.125" style="60" customWidth="1"/>
    <col min="27" max="27" width="18.125" style="60" hidden="1" customWidth="1" outlineLevel="1"/>
    <col min="28" max="28" width="9" style="60" collapsed="1"/>
    <col min="29" max="16384" width="9" style="60"/>
  </cols>
  <sheetData>
    <row r="1" spans="1:28" ht="57">
      <c r="A1" s="54" t="s">
        <v>97</v>
      </c>
      <c r="B1" s="54" t="s">
        <v>98</v>
      </c>
      <c r="C1" s="54" t="s">
        <v>86</v>
      </c>
      <c r="D1" s="54" t="s">
        <v>85</v>
      </c>
      <c r="E1" s="54" t="s">
        <v>2</v>
      </c>
      <c r="F1" s="55" t="s">
        <v>89</v>
      </c>
      <c r="G1" s="54" t="s">
        <v>7</v>
      </c>
      <c r="H1" s="55" t="s">
        <v>90</v>
      </c>
      <c r="I1" s="54" t="s">
        <v>55</v>
      </c>
      <c r="J1" s="55" t="s">
        <v>91</v>
      </c>
      <c r="K1" s="54" t="s">
        <v>10</v>
      </c>
      <c r="L1" s="55" t="s">
        <v>92</v>
      </c>
      <c r="M1" s="54" t="s">
        <v>16</v>
      </c>
      <c r="N1" s="55" t="s">
        <v>93</v>
      </c>
      <c r="O1" s="54" t="s">
        <v>51</v>
      </c>
      <c r="P1" s="55" t="s">
        <v>94</v>
      </c>
      <c r="Q1" s="54" t="s">
        <v>59</v>
      </c>
      <c r="R1" s="55" t="s">
        <v>95</v>
      </c>
      <c r="S1" s="54" t="s">
        <v>62</v>
      </c>
      <c r="T1" s="55" t="s">
        <v>96</v>
      </c>
      <c r="U1" s="55" t="s">
        <v>651</v>
      </c>
      <c r="V1" s="71" t="s">
        <v>137</v>
      </c>
      <c r="W1" s="68" t="s">
        <v>590</v>
      </c>
      <c r="X1" s="388" t="s">
        <v>591</v>
      </c>
      <c r="Y1" s="73" t="s">
        <v>613</v>
      </c>
      <c r="Z1" s="73" t="s">
        <v>620</v>
      </c>
      <c r="AA1" s="73"/>
      <c r="AB1" s="388" t="s">
        <v>611</v>
      </c>
    </row>
    <row r="2" spans="1:28" ht="71.25">
      <c r="A2" s="56" t="s">
        <v>99</v>
      </c>
      <c r="B2" s="57">
        <v>1113.8</v>
      </c>
      <c r="C2" s="58" t="s">
        <v>100</v>
      </c>
      <c r="D2" s="58" t="s">
        <v>88</v>
      </c>
      <c r="E2" s="58" t="s">
        <v>4</v>
      </c>
      <c r="F2" s="61" cm="1">
        <f t="array" ref="F2">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2" s="59" t="s">
        <v>40</v>
      </c>
      <c r="H2" s="61" cm="1">
        <f t="array" ref="H2">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2" s="59" t="s">
        <v>36</v>
      </c>
      <c r="J2" s="61" cm="1">
        <f t="array" ref="J2">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2" s="59" t="s">
        <v>12</v>
      </c>
      <c r="L2" s="61" cm="1">
        <f t="array" ref="L2">_xlfn.XLOOKUP(1,(Таблица2[[#This Row],[Тип]]=коэф_произв[Тип])*(Таблица2[[#This Row],[Полы]]=коэф_произв[Значение])*('Таблица объектов'!K$1=коэф_произв[Характеристика]),коэф_произв[Коэффициент],"",0)</f>
        <v>0.9</v>
      </c>
      <c r="M2" s="59" t="s">
        <v>17</v>
      </c>
      <c r="N2" s="61" cm="1">
        <f t="array" ref="N2">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2" s="59"/>
      <c r="P2" s="61" t="str" cm="1">
        <f t="array" ref="P2">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 s="58"/>
      <c r="R2" s="61" t="str" cm="1">
        <f t="array" ref="R2">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 s="59"/>
      <c r="T2" s="61" t="str" cm="1">
        <f t="array" ref="T2">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0.28727999999999998</v>
      </c>
      <c r="V2"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2" s="69">
        <f>Таблица2[[#This Row],[Площадь, м2]]*Таблица2[[#This Row],[Капитальность]]</f>
        <v>319.97246399999995</v>
      </c>
      <c r="X2" s="403">
        <f>IF(AB2&lt;4%,5,IF(AB2&lt;9%,4.5,IF(AB2&lt;14%,4,IF(AB2&lt;24%,3.5,IF(AB2&lt;40%,3,IF(AB2&lt;60%,2.5,IF(AB2&lt;80%,2,1)))))))</f>
        <v>3</v>
      </c>
      <c r="Y2" s="62">
        <f>X2*Таблица2[[#This Row],[Площадь, м2]]</f>
        <v>3341.3999999999996</v>
      </c>
      <c r="Z2" s="389">
        <f>Y2*Таблица2[[#This Row],[Капитальность]]</f>
        <v>959.91739199999984</v>
      </c>
      <c r="AA2" s="389"/>
      <c r="AB2" s="391">
        <v>0.36399999999999999</v>
      </c>
    </row>
    <row r="3" spans="1:28" ht="94.5">
      <c r="A3" s="56" t="s">
        <v>99</v>
      </c>
      <c r="B3" s="57">
        <v>9482.1</v>
      </c>
      <c r="C3" s="65" t="s">
        <v>101</v>
      </c>
      <c r="D3" s="58" t="s">
        <v>88</v>
      </c>
      <c r="E3" s="64" t="s">
        <v>22</v>
      </c>
      <c r="F3" s="61" cm="1">
        <f t="array" ref="F3">_xlfn.XLOOKUP(1,(Таблица2[[#This Row],[Тип]]=коэф_произв[Тип])*(Таблица2[[#This Row],[Высота]]=коэф_произв[Значение])*('Таблица объектов'!E$1=коэф_произв[Характеристика]),коэф_произв[Коэффициент],"",0)</f>
        <v>1</v>
      </c>
      <c r="G3" s="59" t="s">
        <v>8</v>
      </c>
      <c r="H3" s="61" cm="1">
        <f t="array" ref="H3">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1</v>
      </c>
      <c r="I3" s="59" t="s">
        <v>35</v>
      </c>
      <c r="J3" s="61" cm="1">
        <f t="array" ref="J3">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3" s="59" t="s">
        <v>13</v>
      </c>
      <c r="L3" s="61" cm="1">
        <f t="array" ref="L3">_xlfn.XLOOKUP(1,(Таблица2[[#This Row],[Тип]]=коэф_произв[Тип])*(Таблица2[[#This Row],[Полы]]=коэф_произв[Значение])*('Таблица объектов'!K$1=коэф_произв[Характеристика]),коэф_произв[Коэффициент],"",0)</f>
        <v>1</v>
      </c>
      <c r="M3" s="59" t="s">
        <v>17</v>
      </c>
      <c r="N3" s="61" cm="1">
        <f t="array" ref="N3">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3" s="59"/>
      <c r="P3" s="61" t="str" cm="1">
        <f t="array" ref="P3">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 s="58"/>
      <c r="R3" s="61" t="str" cm="1">
        <f t="array" ref="R3">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 s="59"/>
      <c r="T3" s="61" t="str" cm="1">
        <f t="array" ref="T3">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v>
      </c>
      <c r="V3"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3" s="69">
        <f>Таблица2[[#This Row],[Площадь, м2]]*Таблица2[[#This Row],[Капитальность]]</f>
        <v>3792.84</v>
      </c>
      <c r="X3" s="403">
        <f t="shared" ref="X3:X38" si="0">IF(AB3&lt;4%,5,IF(AB3&lt;9%,4.5,IF(AB3&lt;14%,4,IF(AB3&lt;24%,3.5,IF(AB3&lt;40%,3,IF(AB3&lt;60%,2.5,IF(AB3&lt;80%,2,1)))))))</f>
        <v>5</v>
      </c>
      <c r="Y3" s="62">
        <f>X3*Таблица2[[#This Row],[Площадь, м2]]</f>
        <v>47410.5</v>
      </c>
      <c r="Z3" s="389">
        <f>Y3*Таблица2[[#This Row],[Капитальность]]</f>
        <v>18964.2</v>
      </c>
      <c r="AA3" s="389"/>
      <c r="AB3" s="391">
        <v>0.01</v>
      </c>
    </row>
    <row r="4" spans="1:28" ht="85.5">
      <c r="A4" s="56" t="s">
        <v>99</v>
      </c>
      <c r="B4" s="57">
        <v>10520</v>
      </c>
      <c r="C4" s="65" t="s">
        <v>102</v>
      </c>
      <c r="D4" s="58" t="s">
        <v>88</v>
      </c>
      <c r="E4" s="64" t="s">
        <v>5</v>
      </c>
      <c r="F4" s="61" cm="1">
        <f t="array" ref="F4">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 s="59" t="s">
        <v>9</v>
      </c>
      <c r="H4" s="61" cm="1">
        <f t="array" ref="H4">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4" s="59" t="s">
        <v>35</v>
      </c>
      <c r="J4" s="61" cm="1">
        <f t="array" ref="J4">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4" s="59" t="s">
        <v>13</v>
      </c>
      <c r="L4" s="61" cm="1">
        <f t="array" ref="L4">_xlfn.XLOOKUP(1,(Таблица2[[#This Row],[Тип]]=коэф_произв[Тип])*(Таблица2[[#This Row],[Полы]]=коэф_произв[Значение])*('Таблица объектов'!K$1=коэф_произв[Характеристика]),коэф_произв[Коэффициент],"",0)</f>
        <v>1</v>
      </c>
      <c r="M4" s="59" t="s">
        <v>17</v>
      </c>
      <c r="N4" s="61" cm="1">
        <f t="array" ref="N4">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4" s="59"/>
      <c r="P4" s="61" t="str" cm="1">
        <f t="array" ref="P4">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 s="58"/>
      <c r="R4" s="61" t="str" cm="1">
        <f t="array" ref="R4">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4" s="59"/>
      <c r="T4" s="61" t="str" cm="1">
        <f t="array" ref="T4">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4"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0.28800000000000003</v>
      </c>
      <c r="V4"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4" s="69">
        <f>Таблица2[[#This Row],[Площадь, м2]]*Таблица2[[#This Row],[Капитальность]]</f>
        <v>3029.76</v>
      </c>
      <c r="X4" s="403">
        <f t="shared" si="0"/>
        <v>5</v>
      </c>
      <c r="Y4" s="62">
        <f>X4*Таблица2[[#This Row],[Площадь, м2]]</f>
        <v>52600</v>
      </c>
      <c r="Z4" s="389">
        <f>Y4*Таблица2[[#This Row],[Капитальность]]</f>
        <v>15148.800000000001</v>
      </c>
      <c r="AA4" s="389"/>
      <c r="AB4" s="391">
        <v>0.01</v>
      </c>
    </row>
    <row r="5" spans="1:28" ht="71.25">
      <c r="A5" s="56" t="s">
        <v>99</v>
      </c>
      <c r="B5" s="57">
        <v>155.9</v>
      </c>
      <c r="C5" s="65" t="s">
        <v>102</v>
      </c>
      <c r="D5" s="58" t="s">
        <v>87</v>
      </c>
      <c r="E5" s="64" t="s">
        <v>69</v>
      </c>
      <c r="F5" s="61" cm="1">
        <f t="array" ref="F5">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5" s="59"/>
      <c r="H5" s="61" t="str" cm="1">
        <f t="array" ref="H5">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5" s="59" t="s">
        <v>57</v>
      </c>
      <c r="J5" s="61" cm="1">
        <f t="array" ref="J5">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5" s="59"/>
      <c r="L5" s="61" t="str" cm="1">
        <f t="array" ref="L5">_xlfn.XLOOKUP(1,(Таблица2[[#This Row],[Тип]]=коэф_произв[Тип])*(Таблица2[[#This Row],[Полы]]=коэф_произв[Значение])*('Таблица объектов'!K$1=коэф_произв[Характеристика]),коэф_произв[Коэффициент],"",0)</f>
        <v/>
      </c>
      <c r="M5" s="59" t="s">
        <v>23</v>
      </c>
      <c r="N5" s="61" cm="1">
        <f t="array" ref="N5">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5" s="59" t="s">
        <v>54</v>
      </c>
      <c r="P5" s="61" cm="1">
        <f t="array" ref="P5">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0.9</v>
      </c>
      <c r="Q5" s="58" t="s">
        <v>58</v>
      </c>
      <c r="R5" s="61" cm="1">
        <f t="array" ref="R5">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5" s="59" t="s">
        <v>64</v>
      </c>
      <c r="T5" s="61" cm="1">
        <f t="array" ref="T5">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5"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0.32318999999999998</v>
      </c>
      <c r="V5"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4</v>
      </c>
      <c r="W5" s="69">
        <f>Таблица2[[#This Row],[Площадь, м2]]*Таблица2[[#This Row],[Капитальность]]</f>
        <v>50.385320999999998</v>
      </c>
      <c r="X5" s="403">
        <f t="shared" si="0"/>
        <v>3</v>
      </c>
      <c r="Y5" s="62">
        <f>X5*Таблица2[[#This Row],[Площадь, м2]]</f>
        <v>467.70000000000005</v>
      </c>
      <c r="Z5" s="389">
        <f>Y5*Таблица2[[#This Row],[Капитальность]]</f>
        <v>151.15596300000001</v>
      </c>
      <c r="AA5" s="389"/>
      <c r="AB5" s="391">
        <v>0.39900000000000002</v>
      </c>
    </row>
    <row r="6" spans="1:28" ht="71.25">
      <c r="A6" s="56" t="s">
        <v>99</v>
      </c>
      <c r="B6" s="57">
        <v>189.4</v>
      </c>
      <c r="C6" s="65" t="s">
        <v>102</v>
      </c>
      <c r="D6" s="58" t="s">
        <v>88</v>
      </c>
      <c r="E6" s="64" t="s">
        <v>4</v>
      </c>
      <c r="F6" s="61" cm="1">
        <f t="array" ref="F6">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6" s="59" t="s">
        <v>9</v>
      </c>
      <c r="H6" s="61" cm="1">
        <f t="array" ref="H6">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6" s="59" t="s">
        <v>38</v>
      </c>
      <c r="J6" s="61" cm="1">
        <f t="array" ref="J6">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6" s="59" t="s">
        <v>12</v>
      </c>
      <c r="L6" s="61" cm="1">
        <f t="array" ref="L6">_xlfn.XLOOKUP(1,(Таблица2[[#This Row],[Тип]]=коэф_произв[Тип])*(Таблица2[[#This Row],[Полы]]=коэф_произв[Значение])*('Таблица объектов'!K$1=коэф_произв[Характеристика]),коэф_произв[Коэффициент],"",0)</f>
        <v>0.9</v>
      </c>
      <c r="M6" s="59" t="s">
        <v>23</v>
      </c>
      <c r="N6" s="61" cm="1">
        <f t="array" ref="N6">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6" s="59"/>
      <c r="P6" s="61" t="str" cm="1">
        <f t="array" ref="P6">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6" s="58"/>
      <c r="R6" s="61" t="str" cm="1">
        <f t="array" ref="R6">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6" s="59"/>
      <c r="T6" s="61" t="str" cm="1">
        <f t="array" ref="T6">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6"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0.43740000000000007</v>
      </c>
      <c r="V6"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6" s="69">
        <f>Таблица2[[#This Row],[Площадь, м2]]*Таблица2[[#This Row],[Капитальность]]</f>
        <v>82.843560000000011</v>
      </c>
      <c r="X6" s="403">
        <f t="shared" si="0"/>
        <v>3</v>
      </c>
      <c r="Y6" s="62">
        <f>X6*Таблица2[[#This Row],[Площадь, м2]]</f>
        <v>568.20000000000005</v>
      </c>
      <c r="Z6" s="389">
        <f>Y6*Таблица2[[#This Row],[Капитальность]]</f>
        <v>248.53068000000005</v>
      </c>
      <c r="AA6" s="389"/>
      <c r="AB6" s="391">
        <v>0.36899999999999999</v>
      </c>
    </row>
    <row r="7" spans="1:28" ht="85.5">
      <c r="A7" s="56" t="s">
        <v>103</v>
      </c>
      <c r="B7" s="57">
        <v>4736.5</v>
      </c>
      <c r="C7" s="65" t="s">
        <v>104</v>
      </c>
      <c r="D7" s="58" t="s">
        <v>88</v>
      </c>
      <c r="E7" s="64" t="s">
        <v>22</v>
      </c>
      <c r="F7" s="61" cm="1">
        <f t="array" ref="F7">_xlfn.XLOOKUP(1,(Таблица2[[#This Row],[Тип]]=коэф_произв[Тип])*(Таблица2[[#This Row],[Высота]]=коэф_произв[Значение])*('Таблица объектов'!E$1=коэф_произв[Характеристика]),коэф_произв[Коэффициент],"",0)</f>
        <v>1</v>
      </c>
      <c r="G7" s="59" t="s">
        <v>8</v>
      </c>
      <c r="H7" s="61" cm="1">
        <f t="array" ref="H7">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1</v>
      </c>
      <c r="I7" s="59" t="s">
        <v>35</v>
      </c>
      <c r="J7" s="61" cm="1">
        <f t="array" ref="J7">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7" s="59" t="s">
        <v>13</v>
      </c>
      <c r="L7" s="61" cm="1">
        <f t="array" ref="L7">_xlfn.XLOOKUP(1,(Таблица2[[#This Row],[Тип]]=коэф_произв[Тип])*(Таблица2[[#This Row],[Полы]]=коэф_произв[Значение])*('Таблица объектов'!K$1=коэф_произв[Характеристика]),коэф_произв[Коэффициент],"",0)</f>
        <v>1</v>
      </c>
      <c r="M7" s="59" t="s">
        <v>17</v>
      </c>
      <c r="N7" s="61" cm="1">
        <f t="array" ref="N7">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7" s="59"/>
      <c r="P7" s="61" t="str" cm="1">
        <f t="array" ref="P7">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7" s="58"/>
      <c r="R7" s="61" t="str" cm="1">
        <f t="array" ref="R7">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7" s="59"/>
      <c r="T7" s="61" t="str" cm="1">
        <f t="array" ref="T7">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7"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v>
      </c>
      <c r="V7"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7" s="69">
        <f>Таблица2[[#This Row],[Площадь, м2]]*Таблица2[[#This Row],[Капитальность]]</f>
        <v>1894.6000000000001</v>
      </c>
      <c r="X7" s="403">
        <f t="shared" si="0"/>
        <v>5</v>
      </c>
      <c r="Y7" s="62">
        <f>X7*Таблица2[[#This Row],[Площадь, м2]]</f>
        <v>23682.5</v>
      </c>
      <c r="Z7" s="389">
        <f>Y7*Таблица2[[#This Row],[Капитальность]]</f>
        <v>9473</v>
      </c>
      <c r="AA7" s="389"/>
      <c r="AB7" s="391">
        <v>5.0000000000000001E-3</v>
      </c>
    </row>
    <row r="8" spans="1:28" ht="85.5">
      <c r="A8" s="56" t="s">
        <v>103</v>
      </c>
      <c r="B8" s="57">
        <v>14304</v>
      </c>
      <c r="C8" s="65" t="s">
        <v>105</v>
      </c>
      <c r="D8" s="58" t="s">
        <v>88</v>
      </c>
      <c r="E8" s="64" t="s">
        <v>22</v>
      </c>
      <c r="F8" s="61" cm="1">
        <f t="array" ref="F8">_xlfn.XLOOKUP(1,(Таблица2[[#This Row],[Тип]]=коэф_произв[Тип])*(Таблица2[[#This Row],[Высота]]=коэф_произв[Значение])*('Таблица объектов'!E$1=коэф_произв[Характеристика]),коэф_произв[Коэффициент],"",0)</f>
        <v>1</v>
      </c>
      <c r="G8" s="59" t="s">
        <v>8</v>
      </c>
      <c r="H8" s="61" cm="1">
        <f t="array" ref="H8">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1</v>
      </c>
      <c r="I8" s="59" t="s">
        <v>35</v>
      </c>
      <c r="J8" s="61" cm="1">
        <f t="array" ref="J8">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8" s="59" t="s">
        <v>13</v>
      </c>
      <c r="L8" s="61" cm="1">
        <f t="array" ref="L8">_xlfn.XLOOKUP(1,(Таблица2[[#This Row],[Тип]]=коэф_произв[Тип])*(Таблица2[[#This Row],[Полы]]=коэф_произв[Значение])*('Таблица объектов'!K$1=коэф_произв[Характеристика]),коэф_произв[Коэффициент],"",0)</f>
        <v>1</v>
      </c>
      <c r="M8" s="59" t="s">
        <v>17</v>
      </c>
      <c r="N8" s="61" cm="1">
        <f t="array" ref="N8">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8" s="59"/>
      <c r="P8" s="61" t="str" cm="1">
        <f t="array" ref="P8">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8" s="58"/>
      <c r="R8" s="61" t="str" cm="1">
        <f t="array" ref="R8">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8" s="59"/>
      <c r="T8" s="61" t="str" cm="1">
        <f t="array" ref="T8">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8"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v>
      </c>
      <c r="V8"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8" s="69">
        <f>Таблица2[[#This Row],[Площадь, м2]]*Таблица2[[#This Row],[Капитальность]]</f>
        <v>5721.6</v>
      </c>
      <c r="X8" s="403">
        <f t="shared" si="0"/>
        <v>5</v>
      </c>
      <c r="Y8" s="62">
        <f>X8*Таблица2[[#This Row],[Площадь, м2]]</f>
        <v>71520</v>
      </c>
      <c r="Z8" s="389">
        <f>Y8*Таблица2[[#This Row],[Капитальность]]</f>
        <v>28608</v>
      </c>
      <c r="AA8" s="389"/>
      <c r="AB8" s="391">
        <v>3.0000000000000001E-3</v>
      </c>
    </row>
    <row r="9" spans="1:28" ht="78.75">
      <c r="A9" s="56" t="s">
        <v>103</v>
      </c>
      <c r="B9" s="57">
        <v>949.5</v>
      </c>
      <c r="C9" s="65" t="s">
        <v>105</v>
      </c>
      <c r="D9" s="58" t="s">
        <v>87</v>
      </c>
      <c r="E9" s="64" t="s">
        <v>70</v>
      </c>
      <c r="F9" s="61" cm="1">
        <f t="array" ref="F9">_xlfn.XLOOKUP(1,(Таблица2[[#This Row],[Тип]]=коэф_произв[Тип])*(Таблица2[[#This Row],[Высота]]=коэф_произв[Значение])*('Таблица объектов'!E$1=коэф_произв[Характеристика]),коэф_произв[Коэффициент],"",0)</f>
        <v>0.7</v>
      </c>
      <c r="G9" s="59"/>
      <c r="H9" s="61" t="str" cm="1">
        <f t="array" ref="H9">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9" s="59" t="s">
        <v>57</v>
      </c>
      <c r="J9" s="61" cm="1">
        <f t="array" ref="J9">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9" s="59"/>
      <c r="L9" s="61" t="str" cm="1">
        <f t="array" ref="L9">_xlfn.XLOOKUP(1,(Таблица2[[#This Row],[Тип]]=коэф_произв[Тип])*(Таблица2[[#This Row],[Полы]]=коэф_произв[Значение])*('Таблица объектов'!K$1=коэф_произв[Характеристика]),коэф_произв[Коэффициент],"",0)</f>
        <v/>
      </c>
      <c r="M9" s="59" t="s">
        <v>23</v>
      </c>
      <c r="N9" s="61" cm="1">
        <f t="array" ref="N9">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9" s="59" t="s">
        <v>53</v>
      </c>
      <c r="P9" s="61" cm="1">
        <f t="array" ref="P9">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1</v>
      </c>
      <c r="Q9" s="58" t="s">
        <v>58</v>
      </c>
      <c r="R9" s="61" cm="1">
        <f t="array" ref="R9">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9" s="59" t="s">
        <v>65</v>
      </c>
      <c r="T9" s="61" cm="1">
        <f t="array" ref="T9">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0.8</v>
      </c>
      <c r="U9"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0.4788</v>
      </c>
      <c r="V9"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9" s="69">
        <f>Таблица2[[#This Row],[Площадь, м2]]*Таблица2[[#This Row],[Капитальность]]</f>
        <v>454.62060000000002</v>
      </c>
      <c r="X9" s="403">
        <f t="shared" si="0"/>
        <v>5</v>
      </c>
      <c r="Y9" s="62">
        <f>X9*Таблица2[[#This Row],[Площадь, м2]]</f>
        <v>4747.5</v>
      </c>
      <c r="Z9" s="389">
        <f>Y9*Таблица2[[#This Row],[Капитальность]]</f>
        <v>2273.1030000000001</v>
      </c>
      <c r="AA9" s="389"/>
      <c r="AB9" s="391">
        <v>1E-3</v>
      </c>
    </row>
    <row r="10" spans="1:28" ht="71.25">
      <c r="A10" s="56" t="s">
        <v>106</v>
      </c>
      <c r="B10" s="57">
        <v>4393.3999999999996</v>
      </c>
      <c r="C10" s="65" t="s">
        <v>107</v>
      </c>
      <c r="D10" s="58" t="s">
        <v>87</v>
      </c>
      <c r="E10" s="64" t="s">
        <v>70</v>
      </c>
      <c r="F10" s="61" cm="1">
        <f t="array" ref="F10">_xlfn.XLOOKUP(1,(Таблица2[[#This Row],[Тип]]=коэф_произв[Тип])*(Таблица2[[#This Row],[Высота]]=коэф_произв[Значение])*('Таблица объектов'!E$1=коэф_произв[Характеристика]),коэф_произв[Коэффициент],"",0)</f>
        <v>0.7</v>
      </c>
      <c r="G10" s="59"/>
      <c r="H10" s="61" t="str" cm="1">
        <f t="array" ref="H10">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10" s="59" t="s">
        <v>57</v>
      </c>
      <c r="J10" s="61" cm="1">
        <f t="array" ref="J10">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10" s="59"/>
      <c r="L10" s="61" t="str" cm="1">
        <f t="array" ref="L10">_xlfn.XLOOKUP(1,(Таблица2[[#This Row],[Тип]]=коэф_произв[Тип])*(Таблица2[[#This Row],[Полы]]=коэф_произв[Значение])*('Таблица объектов'!K$1=коэф_произв[Характеристика]),коэф_произв[Коэффициент],"",0)</f>
        <v/>
      </c>
      <c r="M10" s="59" t="s">
        <v>23</v>
      </c>
      <c r="N10" s="61" cm="1">
        <f t="array" ref="N10">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10" s="59" t="s">
        <v>52</v>
      </c>
      <c r="P10" s="61" cm="1">
        <f t="array" ref="P10">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0.8</v>
      </c>
      <c r="Q10" s="58" t="s">
        <v>58</v>
      </c>
      <c r="R10" s="61" cm="1">
        <f t="array" ref="R10">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10" s="59" t="s">
        <v>64</v>
      </c>
      <c r="T10" s="61" cm="1">
        <f t="array" ref="T10">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10"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0.33515999999999996</v>
      </c>
      <c r="V10"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10" s="69">
        <f>Таблица2[[#This Row],[Площадь, м2]]*Таблица2[[#This Row],[Капитальность]]</f>
        <v>1472.4919439999996</v>
      </c>
      <c r="X10" s="403">
        <f t="shared" si="0"/>
        <v>2.5</v>
      </c>
      <c r="Y10" s="62">
        <f>X10*Таблица2[[#This Row],[Площадь, м2]]</f>
        <v>10983.5</v>
      </c>
      <c r="Z10" s="389">
        <f>Y10*Таблица2[[#This Row],[Капитальность]]</f>
        <v>3681.2298599999995</v>
      </c>
      <c r="AA10" s="389"/>
      <c r="AB10" s="391">
        <v>0.46200000000000002</v>
      </c>
    </row>
    <row r="11" spans="1:28" ht="71.25">
      <c r="A11" s="56" t="s">
        <v>106</v>
      </c>
      <c r="B11" s="57">
        <v>11110.699999999999</v>
      </c>
      <c r="C11" s="65" t="s">
        <v>108</v>
      </c>
      <c r="D11" s="58" t="s">
        <v>88</v>
      </c>
      <c r="E11" s="64" t="s">
        <v>5</v>
      </c>
      <c r="F11" s="61" cm="1">
        <f t="array" ref="F11">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11" s="59" t="s">
        <v>40</v>
      </c>
      <c r="H11" s="61" cm="1">
        <f t="array" ref="H11">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11" s="59" t="s">
        <v>36</v>
      </c>
      <c r="J11" s="61" cm="1">
        <f t="array" ref="J11">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11" s="59" t="s">
        <v>12</v>
      </c>
      <c r="L11" s="61" cm="1">
        <f t="array" ref="L11">_xlfn.XLOOKUP(1,(Таблица2[[#This Row],[Тип]]=коэф_произв[Тип])*(Таблица2[[#This Row],[Полы]]=коэф_произв[Значение])*('Таблица объектов'!K$1=коэф_произв[Характеристика]),коэф_произв[Коэффициент],"",0)</f>
        <v>0.9</v>
      </c>
      <c r="M11" s="59" t="s">
        <v>23</v>
      </c>
      <c r="N11" s="61" cm="1">
        <f t="array" ref="N11">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11" s="59"/>
      <c r="P11" s="61" t="str" cm="1">
        <f t="array" ref="P11">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11" s="58"/>
      <c r="R11" s="61" t="str" cm="1">
        <f t="array" ref="R11">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11" s="59"/>
      <c r="T11" s="61" t="str" cm="1">
        <f t="array" ref="T11">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11"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0.43091999999999997</v>
      </c>
      <c r="V11"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11" s="69">
        <f>Таблица2[[#This Row],[Площадь, м2]]*Таблица2[[#This Row],[Капитальность]]</f>
        <v>4787.8228439999993</v>
      </c>
      <c r="X11" s="403">
        <f t="shared" si="0"/>
        <v>2.5</v>
      </c>
      <c r="Y11" s="62">
        <f>X11*Таблица2[[#This Row],[Площадь, м2]]</f>
        <v>27776.749999999996</v>
      </c>
      <c r="Z11" s="389">
        <f>Y11*Таблица2[[#This Row],[Капитальность]]</f>
        <v>11969.557109999998</v>
      </c>
      <c r="AA11" s="389"/>
      <c r="AB11" s="391">
        <v>0.49199999999999999</v>
      </c>
    </row>
    <row r="12" spans="1:28" ht="71.25">
      <c r="A12" s="56" t="s">
        <v>106</v>
      </c>
      <c r="B12" s="57">
        <v>41.6</v>
      </c>
      <c r="C12" s="65" t="s">
        <v>115</v>
      </c>
      <c r="D12" s="58" t="s">
        <v>87</v>
      </c>
      <c r="E12" s="64" t="s">
        <v>69</v>
      </c>
      <c r="F12" s="61" cm="1">
        <f t="array" ref="F12">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12" s="59"/>
      <c r="H12" s="61" t="str" cm="1">
        <f t="array" ref="H12">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12" s="59" t="s">
        <v>57</v>
      </c>
      <c r="J12" s="61" cm="1">
        <f t="array" ref="J12">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12" s="59"/>
      <c r="L12" s="61" t="str" cm="1">
        <f t="array" ref="L12">_xlfn.XLOOKUP(1,(Таблица2[[#This Row],[Тип]]=коэф_произв[Тип])*(Таблица2[[#This Row],[Полы]]=коэф_произв[Значение])*('Таблица объектов'!K$1=коэф_произв[Характеристика]),коэф_произв[Коэффициент],"",0)</f>
        <v/>
      </c>
      <c r="M12" s="59" t="s">
        <v>17</v>
      </c>
      <c r="N12" s="61" cm="1">
        <f t="array" ref="N12">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12" s="59" t="s">
        <v>52</v>
      </c>
      <c r="P12" s="61" cm="1">
        <f t="array" ref="P12">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0.8</v>
      </c>
      <c r="Q12" s="58" t="s">
        <v>60</v>
      </c>
      <c r="R12" s="61" cm="1">
        <f t="array" ref="R12">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v>
      </c>
      <c r="S12" s="59" t="s">
        <v>63</v>
      </c>
      <c r="T12" s="61" cm="1">
        <f t="array" ref="T12">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0.5</v>
      </c>
      <c r="U12"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0.17280000000000001</v>
      </c>
      <c r="V12"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4</v>
      </c>
      <c r="W12" s="69">
        <f>Таблица2[[#This Row],[Площадь, м2]]*Таблица2[[#This Row],[Капитальность]]</f>
        <v>7.1884800000000002</v>
      </c>
      <c r="X12" s="403">
        <f t="shared" si="0"/>
        <v>2.5</v>
      </c>
      <c r="Y12" s="62">
        <f>X12*Таблица2[[#This Row],[Площадь, м2]]</f>
        <v>104</v>
      </c>
      <c r="Z12" s="389">
        <f>Y12*Таблица2[[#This Row],[Капитальность]]</f>
        <v>17.9712</v>
      </c>
      <c r="AA12" s="389"/>
      <c r="AB12" s="391">
        <v>0.55500000000000005</v>
      </c>
    </row>
    <row r="13" spans="1:28" ht="71.25">
      <c r="A13" s="56" t="s">
        <v>106</v>
      </c>
      <c r="B13" s="57">
        <v>58.5</v>
      </c>
      <c r="C13" s="65" t="s">
        <v>102</v>
      </c>
      <c r="D13" s="58" t="s">
        <v>88</v>
      </c>
      <c r="E13" s="64" t="s">
        <v>4</v>
      </c>
      <c r="F13" s="61" cm="1">
        <f t="array" ref="F13">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13" s="59" t="s">
        <v>9</v>
      </c>
      <c r="H13" s="61" cm="1">
        <f t="array" ref="H13">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13" s="59" t="s">
        <v>36</v>
      </c>
      <c r="J13" s="61" cm="1">
        <f t="array" ref="J13">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13" s="59" t="s">
        <v>12</v>
      </c>
      <c r="L13" s="61" cm="1">
        <f t="array" ref="L13">_xlfn.XLOOKUP(1,(Таблица2[[#This Row],[Тип]]=коэф_произв[Тип])*(Таблица2[[#This Row],[Полы]]=коэф_произв[Значение])*('Таблица объектов'!K$1=коэф_произв[Характеристика]),коэф_произв[Коэффициент],"",0)</f>
        <v>0.9</v>
      </c>
      <c r="M13" s="59" t="s">
        <v>17</v>
      </c>
      <c r="N13" s="61" cm="1">
        <f t="array" ref="N13">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13" s="59"/>
      <c r="P13" s="61" t="str" cm="1">
        <f t="array" ref="P13">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13" s="58"/>
      <c r="R13" s="61" t="str" cm="1">
        <f t="array" ref="R13">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13" s="59"/>
      <c r="T13" s="61" t="str" cm="1">
        <f t="array" ref="T13">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13"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0.27216000000000001</v>
      </c>
      <c r="V13"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13" s="69">
        <f>Таблица2[[#This Row],[Площадь, м2]]*Таблица2[[#This Row],[Капитальность]]</f>
        <v>15.92136</v>
      </c>
      <c r="X13" s="403">
        <f t="shared" si="0"/>
        <v>2.5</v>
      </c>
      <c r="Y13" s="62">
        <f>X13*Таблица2[[#This Row],[Площадь, м2]]</f>
        <v>146.25</v>
      </c>
      <c r="Z13" s="389">
        <f>Y13*Таблица2[[#This Row],[Капитальность]]</f>
        <v>39.803400000000003</v>
      </c>
      <c r="AA13" s="389"/>
      <c r="AB13" s="391">
        <v>0.5</v>
      </c>
    </row>
    <row r="14" spans="1:28" ht="71.25">
      <c r="A14" s="56" t="s">
        <v>106</v>
      </c>
      <c r="B14" s="57">
        <v>130.9</v>
      </c>
      <c r="C14" s="65" t="s">
        <v>102</v>
      </c>
      <c r="D14" s="58" t="s">
        <v>87</v>
      </c>
      <c r="E14" s="64" t="s">
        <v>70</v>
      </c>
      <c r="F14" s="61" cm="1">
        <f t="array" ref="F14">_xlfn.XLOOKUP(1,(Таблица2[[#This Row],[Тип]]=коэф_произв[Тип])*(Таблица2[[#This Row],[Высота]]=коэф_произв[Значение])*('Таблица объектов'!E$1=коэф_произв[Характеристика]),коэф_произв[Коэффициент],"",0)</f>
        <v>0.7</v>
      </c>
      <c r="G14" s="59"/>
      <c r="H14" s="61" t="str" cm="1">
        <f t="array" ref="H14">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14" s="59" t="s">
        <v>57</v>
      </c>
      <c r="J14" s="61" cm="1">
        <f t="array" ref="J14">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14" s="59"/>
      <c r="L14" s="61" t="str" cm="1">
        <f t="array" ref="L14">_xlfn.XLOOKUP(1,(Таблица2[[#This Row],[Тип]]=коэф_произв[Тип])*(Таблица2[[#This Row],[Полы]]=коэф_произв[Значение])*('Таблица объектов'!K$1=коэф_произв[Характеристика]),коэф_произв[Коэффициент],"",0)</f>
        <v/>
      </c>
      <c r="M14" s="59" t="s">
        <v>23</v>
      </c>
      <c r="N14" s="61" cm="1">
        <f t="array" ref="N14">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14" s="59" t="s">
        <v>52</v>
      </c>
      <c r="P14" s="61" cm="1">
        <f t="array" ref="P14">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0.8</v>
      </c>
      <c r="Q14" s="58" t="s">
        <v>58</v>
      </c>
      <c r="R14" s="61" cm="1">
        <f t="array" ref="R14">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14" s="59" t="s">
        <v>64</v>
      </c>
      <c r="T14" s="61" cm="1">
        <f t="array" ref="T14">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14"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0.33515999999999996</v>
      </c>
      <c r="V14"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14" s="69">
        <f>Таблица2[[#This Row],[Площадь, м2]]*Таблица2[[#This Row],[Капитальность]]</f>
        <v>43.872443999999994</v>
      </c>
      <c r="X14" s="403">
        <f t="shared" si="0"/>
        <v>2.5</v>
      </c>
      <c r="Y14" s="62">
        <f>X14*Таблица2[[#This Row],[Площадь, м2]]</f>
        <v>327.25</v>
      </c>
      <c r="Z14" s="389">
        <f>Y14*Таблица2[[#This Row],[Капитальность]]</f>
        <v>109.68110999999999</v>
      </c>
      <c r="AA14" s="389"/>
      <c r="AB14" s="391">
        <v>0.42699999999999999</v>
      </c>
    </row>
    <row r="15" spans="1:28" ht="71.25">
      <c r="A15" s="56" t="s">
        <v>106</v>
      </c>
      <c r="B15" s="57">
        <v>18.189999999999998</v>
      </c>
      <c r="C15" s="65" t="s">
        <v>109</v>
      </c>
      <c r="D15" s="58" t="s">
        <v>87</v>
      </c>
      <c r="E15" s="64" t="s">
        <v>70</v>
      </c>
      <c r="F15" s="61" cm="1">
        <f t="array" ref="F15">_xlfn.XLOOKUP(1,(Таблица2[[#This Row],[Тип]]=коэф_произв[Тип])*(Таблица2[[#This Row],[Высота]]=коэф_произв[Значение])*('Таблица объектов'!E$1=коэф_произв[Характеристика]),коэф_произв[Коэффициент],"",0)</f>
        <v>0.7</v>
      </c>
      <c r="G15" s="59"/>
      <c r="H15" s="61" t="str" cm="1">
        <f t="array" ref="H15">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15" s="59" t="s">
        <v>58</v>
      </c>
      <c r="J15" s="61" cm="1">
        <f t="array" ref="J15">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0.9</v>
      </c>
      <c r="K15" s="59"/>
      <c r="L15" s="61" t="str" cm="1">
        <f t="array" ref="L15">_xlfn.XLOOKUP(1,(Таблица2[[#This Row],[Тип]]=коэф_произв[Тип])*(Таблица2[[#This Row],[Полы]]=коэф_произв[Значение])*('Таблица объектов'!K$1=коэф_произв[Характеристика]),коэф_произв[Коэффициент],"",0)</f>
        <v/>
      </c>
      <c r="M15" s="59" t="s">
        <v>17</v>
      </c>
      <c r="N15" s="61" cm="1">
        <f t="array" ref="N15">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15" s="59" t="s">
        <v>52</v>
      </c>
      <c r="P15" s="61" cm="1">
        <f t="array" ref="P15">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0.8</v>
      </c>
      <c r="Q15" s="58" t="s">
        <v>58</v>
      </c>
      <c r="R15" s="61" cm="1">
        <f t="array" ref="R15">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15" s="59" t="s">
        <v>63</v>
      </c>
      <c r="T15" s="61" cm="1">
        <f t="array" ref="T15">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0.5</v>
      </c>
      <c r="U15"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0.19152000000000002</v>
      </c>
      <c r="V15"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4</v>
      </c>
      <c r="W15" s="69">
        <f>Таблица2[[#This Row],[Площадь, м2]]*Таблица2[[#This Row],[Капитальность]]</f>
        <v>3.4837487999999999</v>
      </c>
      <c r="X15" s="403">
        <f t="shared" si="0"/>
        <v>2.5</v>
      </c>
      <c r="Y15" s="62">
        <f>X15*Таблица2[[#This Row],[Площадь, м2]]</f>
        <v>45.474999999999994</v>
      </c>
      <c r="Z15" s="389">
        <f>Y15*Таблица2[[#This Row],[Капитальность]]</f>
        <v>8.7093720000000001</v>
      </c>
      <c r="AA15" s="389"/>
      <c r="AB15" s="391">
        <v>0.42699999999999999</v>
      </c>
    </row>
    <row r="16" spans="1:28" ht="71.25">
      <c r="A16" s="56" t="s">
        <v>106</v>
      </c>
      <c r="B16" s="57">
        <v>289.3</v>
      </c>
      <c r="C16" s="65" t="s">
        <v>102</v>
      </c>
      <c r="D16" s="58" t="s">
        <v>88</v>
      </c>
      <c r="E16" s="64" t="s">
        <v>5</v>
      </c>
      <c r="F16" s="61" cm="1">
        <f t="array" ref="F16">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16" s="59" t="s">
        <v>40</v>
      </c>
      <c r="H16" s="61" cm="1">
        <f t="array" ref="H16">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16" s="59" t="s">
        <v>36</v>
      </c>
      <c r="J16" s="61" cm="1">
        <f t="array" ref="J16">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16" s="59" t="s">
        <v>12</v>
      </c>
      <c r="L16" s="61" cm="1">
        <f t="array" ref="L16">_xlfn.XLOOKUP(1,(Таблица2[[#This Row],[Тип]]=коэф_произв[Тип])*(Таблица2[[#This Row],[Полы]]=коэф_произв[Значение])*('Таблица объектов'!K$1=коэф_произв[Характеристика]),коэф_произв[Коэффициент],"",0)</f>
        <v>0.9</v>
      </c>
      <c r="M16" s="59" t="s">
        <v>17</v>
      </c>
      <c r="N16" s="61" cm="1">
        <f t="array" ref="N16">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16" s="59"/>
      <c r="P16" s="61" t="str" cm="1">
        <f t="array" ref="P16">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16" s="58"/>
      <c r="R16" s="61" t="str" cm="1">
        <f t="array" ref="R16">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16" s="59"/>
      <c r="T16" s="61" t="str" cm="1">
        <f t="array" ref="T16">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16"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0.38304000000000005</v>
      </c>
      <c r="V16"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16" s="69">
        <f>Таблица2[[#This Row],[Площадь, м2]]*Таблица2[[#This Row],[Капитальность]]</f>
        <v>110.81347200000002</v>
      </c>
      <c r="X16" s="403">
        <f t="shared" si="0"/>
        <v>2.5</v>
      </c>
      <c r="Y16" s="62">
        <f>X16*Таблица2[[#This Row],[Площадь, м2]]</f>
        <v>723.25</v>
      </c>
      <c r="Z16" s="389">
        <f>Y16*Таблица2[[#This Row],[Капитальность]]</f>
        <v>277.03368000000006</v>
      </c>
      <c r="AA16" s="389"/>
      <c r="AB16" s="391">
        <v>0.46500000000000002</v>
      </c>
    </row>
    <row r="17" spans="1:28" ht="31.5">
      <c r="A17" s="56" t="s">
        <v>106</v>
      </c>
      <c r="B17" s="57">
        <v>13.774999999999999</v>
      </c>
      <c r="C17" s="65" t="s">
        <v>110</v>
      </c>
      <c r="D17" s="58" t="s">
        <v>116</v>
      </c>
      <c r="E17" s="64"/>
      <c r="F17" s="61" t="str" cm="1">
        <f t="array" ref="F17">_xlfn.XLOOKUP(1,(Таблица2[[#This Row],[Тип]]=коэф_произв[Тип])*(Таблица2[[#This Row],[Высота]]=коэф_произв[Значение])*('Таблица объектов'!E$1=коэф_произв[Характеристика]),коэф_произв[Коэффициент],"",0)</f>
        <v/>
      </c>
      <c r="G17" s="59"/>
      <c r="H17" s="61" t="str" cm="1">
        <f t="array" ref="H17">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17" s="59"/>
      <c r="J17" s="61" t="str" cm="1">
        <f t="array" ref="J17">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17" s="59"/>
      <c r="L17" s="61" t="str" cm="1">
        <f t="array" ref="L17">_xlfn.XLOOKUP(1,(Таблица2[[#This Row],[Тип]]=коэф_произв[Тип])*(Таблица2[[#This Row],[Полы]]=коэф_произв[Значение])*('Таблица объектов'!K$1=коэф_произв[Характеристика]),коэф_произв[Коэффициент],"",0)</f>
        <v/>
      </c>
      <c r="M17" s="59"/>
      <c r="N17" s="61" t="str" cm="1">
        <f t="array" ref="N17">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17" s="59"/>
      <c r="P17" s="61" t="str" cm="1">
        <f t="array" ref="P17">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17" s="58"/>
      <c r="R17" s="61" t="str" cm="1">
        <f t="array" ref="R17">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17" s="59"/>
      <c r="T17" s="61" t="str" cm="1">
        <f t="array" ref="T17">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17"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17"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17" s="69">
        <f>Таблица2[[#This Row],[Площадь, м2]]*Таблица2[[#This Row],[Капитальность]]</f>
        <v>0.68874999999999997</v>
      </c>
      <c r="X17" s="403">
        <f t="shared" si="0"/>
        <v>2.5</v>
      </c>
      <c r="Y17" s="62">
        <f>X17*Таблица2[[#This Row],[Площадь, м2]]</f>
        <v>34.4375</v>
      </c>
      <c r="Z17" s="389">
        <f>Y17*Таблица2[[#This Row],[Капитальность]]</f>
        <v>1.721875</v>
      </c>
      <c r="AA17" s="389"/>
      <c r="AB17" s="391">
        <v>0.5</v>
      </c>
    </row>
    <row r="18" spans="1:28" ht="71.25">
      <c r="A18" s="56" t="s">
        <v>106</v>
      </c>
      <c r="B18" s="57">
        <v>289.7</v>
      </c>
      <c r="C18" s="65" t="s">
        <v>102</v>
      </c>
      <c r="D18" s="58" t="s">
        <v>88</v>
      </c>
      <c r="E18" s="64" t="s">
        <v>5</v>
      </c>
      <c r="F18" s="61" cm="1">
        <f t="array" ref="F18">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18" s="59" t="s">
        <v>40</v>
      </c>
      <c r="H18" s="61" cm="1">
        <f t="array" ref="H18">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18" s="59" t="s">
        <v>36</v>
      </c>
      <c r="J18" s="61" cm="1">
        <f t="array" ref="J18">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18" s="59" t="s">
        <v>12</v>
      </c>
      <c r="L18" s="61" cm="1">
        <f t="array" ref="L18">_xlfn.XLOOKUP(1,(Таблица2[[#This Row],[Тип]]=коэф_произв[Тип])*(Таблица2[[#This Row],[Полы]]=коэф_произв[Значение])*('Таблица объектов'!K$1=коэф_произв[Характеристика]),коэф_произв[Коэффициент],"",0)</f>
        <v>0.9</v>
      </c>
      <c r="M18" s="59" t="s">
        <v>17</v>
      </c>
      <c r="N18" s="61" cm="1">
        <f t="array" ref="N18">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18" s="59"/>
      <c r="P18" s="61" t="str" cm="1">
        <f t="array" ref="P18">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18" s="58"/>
      <c r="R18" s="61" t="str" cm="1">
        <f t="array" ref="R18">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18" s="59"/>
      <c r="T18" s="61" t="str" cm="1">
        <f t="array" ref="T18">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18"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0.38304000000000005</v>
      </c>
      <c r="V18"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18" s="69">
        <f>Таблица2[[#This Row],[Площадь, м2]]*Таблица2[[#This Row],[Капитальность]]</f>
        <v>110.966688</v>
      </c>
      <c r="X18" s="403">
        <f t="shared" si="0"/>
        <v>2.5</v>
      </c>
      <c r="Y18" s="62">
        <f>X18*Таблица2[[#This Row],[Площадь, м2]]</f>
        <v>724.25</v>
      </c>
      <c r="Z18" s="389">
        <f>Y18*Таблица2[[#This Row],[Капитальность]]</f>
        <v>277.41672000000005</v>
      </c>
      <c r="AA18" s="389"/>
      <c r="AB18" s="391">
        <v>0.50600000000000001</v>
      </c>
    </row>
    <row r="19" spans="1:28" ht="31.5">
      <c r="A19" s="56" t="s">
        <v>106</v>
      </c>
      <c r="B19" s="57">
        <v>17.849999999999998</v>
      </c>
      <c r="C19" s="65" t="s">
        <v>111</v>
      </c>
      <c r="D19" s="58" t="s">
        <v>116</v>
      </c>
      <c r="E19" s="64"/>
      <c r="F19" s="61" t="str" cm="1">
        <f t="array" ref="F19">_xlfn.XLOOKUP(1,(Таблица2[[#This Row],[Тип]]=коэф_произв[Тип])*(Таблица2[[#This Row],[Высота]]=коэф_произв[Значение])*('Таблица объектов'!E$1=коэф_произв[Характеристика]),коэф_произв[Коэффициент],"",0)</f>
        <v/>
      </c>
      <c r="G19" s="59"/>
      <c r="H19" s="61" t="str" cm="1">
        <f t="array" ref="H19">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19" s="59"/>
      <c r="J19" s="61" t="str" cm="1">
        <f t="array" ref="J19">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19" s="59"/>
      <c r="L19" s="61" t="str" cm="1">
        <f t="array" ref="L19">_xlfn.XLOOKUP(1,(Таблица2[[#This Row],[Тип]]=коэф_произв[Тип])*(Таблица2[[#This Row],[Полы]]=коэф_произв[Значение])*('Таблица объектов'!K$1=коэф_произв[Характеристика]),коэф_произв[Коэффициент],"",0)</f>
        <v/>
      </c>
      <c r="M19" s="59"/>
      <c r="N19" s="61" t="str" cm="1">
        <f t="array" ref="N19">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19" s="59"/>
      <c r="P19" s="61" t="str" cm="1">
        <f t="array" ref="P19">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19" s="58"/>
      <c r="R19" s="61" t="str" cm="1">
        <f t="array" ref="R19">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19" s="59"/>
      <c r="T19" s="61" t="str" cm="1">
        <f t="array" ref="T19">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19"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19"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19" s="69">
        <f>Таблица2[[#This Row],[Площадь, м2]]*Таблица2[[#This Row],[Капитальность]]</f>
        <v>0.89249999999999996</v>
      </c>
      <c r="X19" s="403">
        <f t="shared" si="0"/>
        <v>2.5</v>
      </c>
      <c r="Y19" s="62">
        <f>X19*Таблица2[[#This Row],[Площадь, м2]]</f>
        <v>44.624999999999993</v>
      </c>
      <c r="Z19" s="389">
        <f>Y19*Таблица2[[#This Row],[Капитальность]]</f>
        <v>2.2312499999999997</v>
      </c>
      <c r="AA19" s="389"/>
      <c r="AB19" s="391">
        <v>0.47899999999999998</v>
      </c>
    </row>
    <row r="20" spans="1:28" ht="31.5">
      <c r="A20" s="56" t="s">
        <v>106</v>
      </c>
      <c r="B20" s="57">
        <v>18.53</v>
      </c>
      <c r="C20" s="65" t="s">
        <v>112</v>
      </c>
      <c r="D20" s="58" t="s">
        <v>116</v>
      </c>
      <c r="E20" s="64"/>
      <c r="F20" s="61" t="str" cm="1">
        <f t="array" ref="F20">_xlfn.XLOOKUP(1,(Таблица2[[#This Row],[Тип]]=коэф_произв[Тип])*(Таблица2[[#This Row],[Высота]]=коэф_произв[Значение])*('Таблица объектов'!E$1=коэф_произв[Характеристика]),коэф_произв[Коэффициент],"",0)</f>
        <v/>
      </c>
      <c r="G20" s="59"/>
      <c r="H20" s="61" t="str" cm="1">
        <f t="array" ref="H20">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0" s="59"/>
      <c r="J20" s="61" t="str" cm="1">
        <f t="array" ref="J20">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0" s="59"/>
      <c r="L20" s="61" t="str" cm="1">
        <f t="array" ref="L20">_xlfn.XLOOKUP(1,(Таблица2[[#This Row],[Тип]]=коэф_произв[Тип])*(Таблица2[[#This Row],[Полы]]=коэф_произв[Значение])*('Таблица объектов'!K$1=коэф_произв[Характеристика]),коэф_произв[Коэффициент],"",0)</f>
        <v/>
      </c>
      <c r="M20" s="59"/>
      <c r="N20" s="61" t="str" cm="1">
        <f t="array" ref="N20">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0" s="59"/>
      <c r="P20" s="61" t="str" cm="1">
        <f t="array" ref="P20">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0" s="58"/>
      <c r="R20" s="61" t="str" cm="1">
        <f t="array" ref="R20">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0" s="59"/>
      <c r="T20" s="61" t="str" cm="1">
        <f t="array" ref="T20">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0"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0"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0" s="69">
        <f>Таблица2[[#This Row],[Площадь, м2]]*Таблица2[[#This Row],[Капитальность]]</f>
        <v>0.9265000000000001</v>
      </c>
      <c r="X20" s="403">
        <f t="shared" si="0"/>
        <v>2.5</v>
      </c>
      <c r="Y20" s="62">
        <f>X20*Таблица2[[#This Row],[Площадь, м2]]</f>
        <v>46.325000000000003</v>
      </c>
      <c r="Z20" s="389">
        <f>Y20*Таблица2[[#This Row],[Капитальность]]</f>
        <v>2.3162500000000001</v>
      </c>
      <c r="AA20" s="389"/>
      <c r="AB20" s="391">
        <v>0.502</v>
      </c>
    </row>
    <row r="21" spans="1:28" ht="31.5">
      <c r="A21" s="56" t="s">
        <v>106</v>
      </c>
      <c r="B21" s="57">
        <v>27.37</v>
      </c>
      <c r="C21" s="65" t="s">
        <v>113</v>
      </c>
      <c r="D21" s="58" t="s">
        <v>116</v>
      </c>
      <c r="E21" s="64"/>
      <c r="F21" s="61" t="str" cm="1">
        <f t="array" ref="F21">_xlfn.XLOOKUP(1,(Таблица2[[#This Row],[Тип]]=коэф_произв[Тип])*(Таблица2[[#This Row],[Высота]]=коэф_произв[Значение])*('Таблица объектов'!E$1=коэф_произв[Характеристика]),коэф_произв[Коэффициент],"",0)</f>
        <v/>
      </c>
      <c r="G21" s="59"/>
      <c r="H21" s="61" t="str" cm="1">
        <f t="array" ref="H21">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1" s="59"/>
      <c r="J21" s="61" t="str" cm="1">
        <f t="array" ref="J21">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1" s="59"/>
      <c r="L21" s="61" t="str" cm="1">
        <f t="array" ref="L21">_xlfn.XLOOKUP(1,(Таблица2[[#This Row],[Тип]]=коэф_произв[Тип])*(Таблица2[[#This Row],[Полы]]=коэф_произв[Значение])*('Таблица объектов'!K$1=коэф_произв[Характеристика]),коэф_произв[Коэффициент],"",0)</f>
        <v/>
      </c>
      <c r="M21" s="59"/>
      <c r="N21" s="61" t="str" cm="1">
        <f t="array" ref="N21">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1" s="59"/>
      <c r="P21" s="61" t="str" cm="1">
        <f t="array" ref="P21">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1" s="58"/>
      <c r="R21" s="61" t="str" cm="1">
        <f t="array" ref="R21">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1" s="59"/>
      <c r="T21" s="61" t="str" cm="1">
        <f t="array" ref="T21">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1"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1"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1" s="69">
        <f>Таблица2[[#This Row],[Площадь, м2]]*Таблица2[[#This Row],[Капитальность]]</f>
        <v>1.3685</v>
      </c>
      <c r="X21" s="403">
        <f t="shared" si="0"/>
        <v>2</v>
      </c>
      <c r="Y21" s="62">
        <f>X21*Таблица2[[#This Row],[Площадь, м2]]</f>
        <v>54.74</v>
      </c>
      <c r="Z21" s="389">
        <f>Y21*Таблица2[[#This Row],[Капитальность]]</f>
        <v>2.7370000000000001</v>
      </c>
      <c r="AA21" s="389"/>
      <c r="AB21" s="391">
        <v>0.626</v>
      </c>
    </row>
    <row r="22" spans="1:28" ht="31.5">
      <c r="A22" s="56" t="s">
        <v>106</v>
      </c>
      <c r="B22" s="57">
        <v>81</v>
      </c>
      <c r="C22" s="65" t="s">
        <v>110</v>
      </c>
      <c r="D22" s="58" t="s">
        <v>116</v>
      </c>
      <c r="E22" s="64"/>
      <c r="F22" s="61" t="str" cm="1">
        <f t="array" ref="F22">_xlfn.XLOOKUP(1,(Таблица2[[#This Row],[Тип]]=коэф_произв[Тип])*(Таблица2[[#This Row],[Высота]]=коэф_произв[Значение])*('Таблица объектов'!E$1=коэф_произв[Характеристика]),коэф_произв[Коэффициент],"",0)</f>
        <v/>
      </c>
      <c r="G22" s="59"/>
      <c r="H22" s="61" t="str" cm="1">
        <f t="array" ref="H22">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2" s="59"/>
      <c r="J22" s="61" t="str" cm="1">
        <f t="array" ref="J22">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2" s="59"/>
      <c r="L22" s="61" t="str" cm="1">
        <f t="array" ref="L22">_xlfn.XLOOKUP(1,(Таблица2[[#This Row],[Тип]]=коэф_произв[Тип])*(Таблица2[[#This Row],[Полы]]=коэф_произв[Значение])*('Таблица объектов'!K$1=коэф_произв[Характеристика]),коэф_произв[Коэффициент],"",0)</f>
        <v/>
      </c>
      <c r="M22" s="59"/>
      <c r="N22" s="61" t="str" cm="1">
        <f t="array" ref="N22">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2" s="59"/>
      <c r="P22" s="61" t="str" cm="1">
        <f t="array" ref="P22">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2" s="58"/>
      <c r="R22" s="61" t="str" cm="1">
        <f t="array" ref="R22">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2" s="59"/>
      <c r="T22" s="61" t="str" cm="1">
        <f t="array" ref="T22">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2"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2"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2" s="69">
        <f>Таблица2[[#This Row],[Площадь, м2]]*Таблица2[[#This Row],[Капитальность]]</f>
        <v>4.05</v>
      </c>
      <c r="X22" s="403">
        <f t="shared" si="0"/>
        <v>4</v>
      </c>
      <c r="Y22" s="62">
        <f>X22*Таблица2[[#This Row],[Площадь, м2]]</f>
        <v>324</v>
      </c>
      <c r="Z22" s="389">
        <f>Y22*Таблица2[[#This Row],[Капитальность]]</f>
        <v>16.2</v>
      </c>
      <c r="AA22" s="389"/>
      <c r="AB22" s="391">
        <v>0.1</v>
      </c>
    </row>
    <row r="23" spans="1:28" ht="31.5">
      <c r="A23" s="56" t="s">
        <v>106</v>
      </c>
      <c r="B23" s="57">
        <v>50.4</v>
      </c>
      <c r="C23" s="65" t="s">
        <v>110</v>
      </c>
      <c r="D23" s="58" t="s">
        <v>116</v>
      </c>
      <c r="E23" s="64"/>
      <c r="F23" s="61" t="str" cm="1">
        <f t="array" ref="F23">_xlfn.XLOOKUP(1,(Таблица2[[#This Row],[Тип]]=коэф_произв[Тип])*(Таблица2[[#This Row],[Высота]]=коэф_произв[Значение])*('Таблица объектов'!E$1=коэф_произв[Характеристика]),коэф_произв[Коэффициент],"",0)</f>
        <v/>
      </c>
      <c r="G23" s="59"/>
      <c r="H23" s="61" t="str" cm="1">
        <f t="array" ref="H23">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3" s="59"/>
      <c r="J23" s="61" t="str" cm="1">
        <f t="array" ref="J23">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3" s="59"/>
      <c r="L23" s="61" t="str" cm="1">
        <f t="array" ref="L23">_xlfn.XLOOKUP(1,(Таблица2[[#This Row],[Тип]]=коэф_произв[Тип])*(Таблица2[[#This Row],[Полы]]=коэф_произв[Значение])*('Таблица объектов'!K$1=коэф_произв[Характеристика]),коэф_произв[Коэффициент],"",0)</f>
        <v/>
      </c>
      <c r="M23" s="59"/>
      <c r="N23" s="61" t="str" cm="1">
        <f t="array" ref="N23">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3" s="59"/>
      <c r="P23" s="61" t="str" cm="1">
        <f t="array" ref="P23">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3" s="58"/>
      <c r="R23" s="61" t="str" cm="1">
        <f t="array" ref="R23">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3" s="59"/>
      <c r="T23" s="61" t="str" cm="1">
        <f t="array" ref="T23">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3"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3"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3" s="69">
        <f>Таблица2[[#This Row],[Площадь, м2]]*Таблица2[[#This Row],[Капитальность]]</f>
        <v>2.52</v>
      </c>
      <c r="X23" s="403">
        <f t="shared" si="0"/>
        <v>4</v>
      </c>
      <c r="Y23" s="62">
        <f>X23*Таблица2[[#This Row],[Площадь, м2]]</f>
        <v>201.6</v>
      </c>
      <c r="Z23" s="389">
        <f>Y23*Таблица2[[#This Row],[Капитальность]]</f>
        <v>10.08</v>
      </c>
      <c r="AA23" s="389"/>
      <c r="AB23" s="391">
        <v>0.1</v>
      </c>
    </row>
    <row r="24" spans="1:28" ht="31.5">
      <c r="A24" s="56" t="s">
        <v>106</v>
      </c>
      <c r="B24" s="57">
        <v>49.5</v>
      </c>
      <c r="C24" s="65" t="s">
        <v>110</v>
      </c>
      <c r="D24" s="58" t="s">
        <v>116</v>
      </c>
      <c r="E24" s="64"/>
      <c r="F24" s="61" t="str" cm="1">
        <f t="array" ref="F24">_xlfn.XLOOKUP(1,(Таблица2[[#This Row],[Тип]]=коэф_произв[Тип])*(Таблица2[[#This Row],[Высота]]=коэф_произв[Значение])*('Таблица объектов'!E$1=коэф_произв[Характеристика]),коэф_произв[Коэффициент],"",0)</f>
        <v/>
      </c>
      <c r="G24" s="59"/>
      <c r="H24" s="61" t="str" cm="1">
        <f t="array" ref="H24">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4" s="59"/>
      <c r="J24" s="61" t="str" cm="1">
        <f t="array" ref="J24">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4" s="59"/>
      <c r="L24" s="61" t="str" cm="1">
        <f t="array" ref="L24">_xlfn.XLOOKUP(1,(Таблица2[[#This Row],[Тип]]=коэф_произв[Тип])*(Таблица2[[#This Row],[Полы]]=коэф_произв[Значение])*('Таблица объектов'!K$1=коэф_произв[Характеристика]),коэф_произв[Коэффициент],"",0)</f>
        <v/>
      </c>
      <c r="M24" s="59"/>
      <c r="N24" s="61" t="str" cm="1">
        <f t="array" ref="N24">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4" s="59"/>
      <c r="P24" s="61" t="str" cm="1">
        <f t="array" ref="P24">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4" s="58"/>
      <c r="R24" s="61" t="str" cm="1">
        <f t="array" ref="R24">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4" s="59"/>
      <c r="T24" s="61" t="str" cm="1">
        <f t="array" ref="T24">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4"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4"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4" s="69">
        <f>Таблица2[[#This Row],[Площадь, м2]]*Таблица2[[#This Row],[Капитальность]]</f>
        <v>2.4750000000000001</v>
      </c>
      <c r="X24" s="403">
        <f t="shared" si="0"/>
        <v>4</v>
      </c>
      <c r="Y24" s="62">
        <f>X24*Таблица2[[#This Row],[Площадь, м2]]</f>
        <v>198</v>
      </c>
      <c r="Z24" s="389">
        <f>Y24*Таблица2[[#This Row],[Капитальность]]</f>
        <v>9.9</v>
      </c>
      <c r="AA24" s="389"/>
      <c r="AB24" s="391">
        <v>0.1</v>
      </c>
    </row>
    <row r="25" spans="1:28" ht="31.5">
      <c r="A25" s="56" t="s">
        <v>106</v>
      </c>
      <c r="B25" s="57">
        <v>161.1</v>
      </c>
      <c r="C25" s="65" t="s">
        <v>110</v>
      </c>
      <c r="D25" s="58" t="s">
        <v>116</v>
      </c>
      <c r="E25" s="64"/>
      <c r="F25" s="61" t="str" cm="1">
        <f t="array" ref="F25">_xlfn.XLOOKUP(1,(Таблица2[[#This Row],[Тип]]=коэф_произв[Тип])*(Таблица2[[#This Row],[Высота]]=коэф_произв[Значение])*('Таблица объектов'!E$1=коэф_произв[Характеристика]),коэф_произв[Коэффициент],"",0)</f>
        <v/>
      </c>
      <c r="G25" s="59"/>
      <c r="H25" s="61" t="str" cm="1">
        <f t="array" ref="H25">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5" s="59"/>
      <c r="J25" s="61" t="str" cm="1">
        <f t="array" ref="J25">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5" s="59"/>
      <c r="L25" s="61" t="str" cm="1">
        <f t="array" ref="L25">_xlfn.XLOOKUP(1,(Таблица2[[#This Row],[Тип]]=коэф_произв[Тип])*(Таблица2[[#This Row],[Полы]]=коэф_произв[Значение])*('Таблица объектов'!K$1=коэф_произв[Характеристика]),коэф_произв[Коэффициент],"",0)</f>
        <v/>
      </c>
      <c r="M25" s="59"/>
      <c r="N25" s="61" t="str" cm="1">
        <f t="array" ref="N25">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5" s="59"/>
      <c r="P25" s="61" t="str" cm="1">
        <f t="array" ref="P25">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5" s="58"/>
      <c r="R25" s="61" t="str" cm="1">
        <f t="array" ref="R25">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5" s="59"/>
      <c r="T25" s="61" t="str" cm="1">
        <f t="array" ref="T25">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5"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5"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5" s="69">
        <f>Таблица2[[#This Row],[Площадь, м2]]*Таблица2[[#This Row],[Капитальность]]</f>
        <v>8.0549999999999997</v>
      </c>
      <c r="X25" s="403">
        <f t="shared" si="0"/>
        <v>3</v>
      </c>
      <c r="Y25" s="62">
        <f>X25*Таблица2[[#This Row],[Площадь, м2]]</f>
        <v>483.29999999999995</v>
      </c>
      <c r="Z25" s="389">
        <f>Y25*Таблица2[[#This Row],[Капитальность]]</f>
        <v>24.164999999999999</v>
      </c>
      <c r="AA25" s="389"/>
      <c r="AB25" s="391">
        <v>0.25</v>
      </c>
    </row>
    <row r="26" spans="1:28" ht="31.5">
      <c r="A26" s="56" t="s">
        <v>106</v>
      </c>
      <c r="B26" s="57">
        <v>37.4</v>
      </c>
      <c r="C26" s="65" t="s">
        <v>110</v>
      </c>
      <c r="D26" s="58" t="s">
        <v>116</v>
      </c>
      <c r="E26" s="64"/>
      <c r="F26" s="61" t="str" cm="1">
        <f t="array" ref="F26">_xlfn.XLOOKUP(1,(Таблица2[[#This Row],[Тип]]=коэф_произв[Тип])*(Таблица2[[#This Row],[Высота]]=коэф_произв[Значение])*('Таблица объектов'!E$1=коэф_произв[Характеристика]),коэф_произв[Коэффициент],"",0)</f>
        <v/>
      </c>
      <c r="G26" s="59"/>
      <c r="H26" s="61" t="str" cm="1">
        <f t="array" ref="H26">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6" s="59"/>
      <c r="J26" s="61" t="str" cm="1">
        <f t="array" ref="J26">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6" s="59"/>
      <c r="L26" s="61" t="str" cm="1">
        <f t="array" ref="L26">_xlfn.XLOOKUP(1,(Таблица2[[#This Row],[Тип]]=коэф_произв[Тип])*(Таблица2[[#This Row],[Полы]]=коэф_произв[Значение])*('Таблица объектов'!K$1=коэф_произв[Характеристика]),коэф_произв[Коэффициент],"",0)</f>
        <v/>
      </c>
      <c r="M26" s="59"/>
      <c r="N26" s="61" t="str" cm="1">
        <f t="array" ref="N26">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6" s="59"/>
      <c r="P26" s="61" t="str" cm="1">
        <f t="array" ref="P26">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6" s="58"/>
      <c r="R26" s="61" t="str" cm="1">
        <f t="array" ref="R26">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6" s="59"/>
      <c r="T26" s="61" t="str" cm="1">
        <f t="array" ref="T26">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6"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6"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6" s="69">
        <f>Таблица2[[#This Row],[Площадь, м2]]*Таблица2[[#This Row],[Капитальность]]</f>
        <v>1.87</v>
      </c>
      <c r="X26" s="403">
        <f t="shared" si="0"/>
        <v>3</v>
      </c>
      <c r="Y26" s="62">
        <f>X26*Таблица2[[#This Row],[Площадь, м2]]</f>
        <v>112.19999999999999</v>
      </c>
      <c r="Z26" s="389">
        <f>Y26*Таблица2[[#This Row],[Капитальность]]</f>
        <v>5.6099999999999994</v>
      </c>
      <c r="AA26" s="389"/>
      <c r="AB26" s="391">
        <v>0.25</v>
      </c>
    </row>
    <row r="27" spans="1:28" ht="31.5">
      <c r="A27" s="56" t="s">
        <v>106</v>
      </c>
      <c r="B27" s="57">
        <v>53.8</v>
      </c>
      <c r="C27" s="65" t="s">
        <v>110</v>
      </c>
      <c r="D27" s="58" t="s">
        <v>116</v>
      </c>
      <c r="E27" s="64"/>
      <c r="F27" s="61" t="str" cm="1">
        <f t="array" ref="F27">_xlfn.XLOOKUP(1,(Таблица2[[#This Row],[Тип]]=коэф_произв[Тип])*(Таблица2[[#This Row],[Высота]]=коэф_произв[Значение])*('Таблица объектов'!E$1=коэф_произв[Характеристика]),коэф_произв[Коэффициент],"",0)</f>
        <v/>
      </c>
      <c r="G27" s="59"/>
      <c r="H27" s="61" t="str" cm="1">
        <f t="array" ref="H27">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7" s="59"/>
      <c r="J27" s="61" t="str" cm="1">
        <f t="array" ref="J27">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7" s="59"/>
      <c r="L27" s="61" t="str" cm="1">
        <f t="array" ref="L27">_xlfn.XLOOKUP(1,(Таблица2[[#This Row],[Тип]]=коэф_произв[Тип])*(Таблица2[[#This Row],[Полы]]=коэф_произв[Значение])*('Таблица объектов'!K$1=коэф_произв[Характеристика]),коэф_произв[Коэффициент],"",0)</f>
        <v/>
      </c>
      <c r="M27" s="59"/>
      <c r="N27" s="61" t="str" cm="1">
        <f t="array" ref="N27">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7" s="59"/>
      <c r="P27" s="61" t="str" cm="1">
        <f t="array" ref="P27">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7" s="58"/>
      <c r="R27" s="61" t="str" cm="1">
        <f t="array" ref="R27">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7" s="59"/>
      <c r="T27" s="61" t="str" cm="1">
        <f t="array" ref="T27">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7"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7"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7" s="69">
        <f>Таблица2[[#This Row],[Площадь, м2]]*Таблица2[[#This Row],[Капитальность]]</f>
        <v>2.69</v>
      </c>
      <c r="X27" s="403">
        <f t="shared" si="0"/>
        <v>3</v>
      </c>
      <c r="Y27" s="62">
        <f>X27*Таблица2[[#This Row],[Площадь, м2]]</f>
        <v>161.39999999999998</v>
      </c>
      <c r="Z27" s="389">
        <f>Y27*Таблица2[[#This Row],[Капитальность]]</f>
        <v>8.0699999999999985</v>
      </c>
      <c r="AA27" s="389"/>
      <c r="AB27" s="391">
        <v>0.25</v>
      </c>
    </row>
    <row r="28" spans="1:28" ht="31.5">
      <c r="A28" s="56" t="s">
        <v>106</v>
      </c>
      <c r="B28" s="57">
        <v>82.6</v>
      </c>
      <c r="C28" s="65" t="s">
        <v>110</v>
      </c>
      <c r="D28" s="58" t="s">
        <v>116</v>
      </c>
      <c r="E28" s="64"/>
      <c r="F28" s="61" t="str" cm="1">
        <f t="array" ref="F28">_xlfn.XLOOKUP(1,(Таблица2[[#This Row],[Тип]]=коэф_произв[Тип])*(Таблица2[[#This Row],[Высота]]=коэф_произв[Значение])*('Таблица объектов'!E$1=коэф_произв[Характеристика]),коэф_произв[Коэффициент],"",0)</f>
        <v/>
      </c>
      <c r="G28" s="59"/>
      <c r="H28" s="61" t="str" cm="1">
        <f t="array" ref="H28">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8" s="59"/>
      <c r="J28" s="61" t="str" cm="1">
        <f t="array" ref="J28">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8" s="59"/>
      <c r="L28" s="61" t="str" cm="1">
        <f t="array" ref="L28">_xlfn.XLOOKUP(1,(Таблица2[[#This Row],[Тип]]=коэф_произв[Тип])*(Таблица2[[#This Row],[Полы]]=коэф_произв[Значение])*('Таблица объектов'!K$1=коэф_произв[Характеристика]),коэф_произв[Коэффициент],"",0)</f>
        <v/>
      </c>
      <c r="M28" s="59"/>
      <c r="N28" s="61" t="str" cm="1">
        <f t="array" ref="N28">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8" s="59"/>
      <c r="P28" s="61" t="str" cm="1">
        <f t="array" ref="P28">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8" s="58"/>
      <c r="R28" s="61" t="str" cm="1">
        <f t="array" ref="R28">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8" s="59"/>
      <c r="T28" s="61" t="str" cm="1">
        <f t="array" ref="T28">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8"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8"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8" s="69">
        <f>Таблица2[[#This Row],[Площадь, м2]]*Таблица2[[#This Row],[Капитальность]]</f>
        <v>4.13</v>
      </c>
      <c r="X28" s="403">
        <f t="shared" si="0"/>
        <v>3</v>
      </c>
      <c r="Y28" s="62">
        <f>X28*Таблица2[[#This Row],[Площадь, м2]]</f>
        <v>247.79999999999998</v>
      </c>
      <c r="Z28" s="389">
        <f>Y28*Таблица2[[#This Row],[Капитальность]]</f>
        <v>12.39</v>
      </c>
      <c r="AA28" s="389"/>
      <c r="AB28" s="391">
        <v>0.3</v>
      </c>
    </row>
    <row r="29" spans="1:28" ht="31.5">
      <c r="A29" s="56" t="s">
        <v>106</v>
      </c>
      <c r="B29" s="57">
        <v>4.9399999999999995</v>
      </c>
      <c r="C29" s="65" t="s">
        <v>112</v>
      </c>
      <c r="D29" s="58" t="s">
        <v>116</v>
      </c>
      <c r="E29" s="64"/>
      <c r="F29" s="61" t="str" cm="1">
        <f t="array" ref="F29">_xlfn.XLOOKUP(1,(Таблица2[[#This Row],[Тип]]=коэф_произв[Тип])*(Таблица2[[#This Row],[Высота]]=коэф_произв[Значение])*('Таблица объектов'!E$1=коэф_произв[Характеристика]),коэф_произв[Коэффициент],"",0)</f>
        <v/>
      </c>
      <c r="G29" s="59"/>
      <c r="H29" s="61" t="str" cm="1">
        <f t="array" ref="H29">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29" s="59"/>
      <c r="J29" s="61" t="str" cm="1">
        <f t="array" ref="J29">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29" s="59"/>
      <c r="L29" s="61" t="str" cm="1">
        <f t="array" ref="L29">_xlfn.XLOOKUP(1,(Таблица2[[#This Row],[Тип]]=коэф_произв[Тип])*(Таблица2[[#This Row],[Полы]]=коэф_произв[Значение])*('Таблица объектов'!K$1=коэф_произв[Характеристика]),коэф_произв[Коэффициент],"",0)</f>
        <v/>
      </c>
      <c r="M29" s="59"/>
      <c r="N29" s="61" t="str" cm="1">
        <f t="array" ref="N29">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29" s="59"/>
      <c r="P29" s="61" t="str" cm="1">
        <f t="array" ref="P29">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29" s="58"/>
      <c r="R29" s="61" t="str" cm="1">
        <f t="array" ref="R29">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29" s="59"/>
      <c r="T29" s="61" t="str" cm="1">
        <f t="array" ref="T29">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29"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29"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29" s="69">
        <f>Таблица2[[#This Row],[Площадь, м2]]*Таблица2[[#This Row],[Капитальность]]</f>
        <v>0.247</v>
      </c>
      <c r="X29" s="403">
        <f t="shared" si="0"/>
        <v>3.5</v>
      </c>
      <c r="Y29" s="62">
        <f>X29*Таблица2[[#This Row],[Площадь, м2]]</f>
        <v>17.29</v>
      </c>
      <c r="Z29" s="389">
        <f>Y29*Таблица2[[#This Row],[Капитальность]]</f>
        <v>0.86450000000000005</v>
      </c>
      <c r="AA29" s="389"/>
      <c r="AB29" s="391">
        <v>0.2</v>
      </c>
    </row>
    <row r="30" spans="1:28" ht="85.5">
      <c r="A30" s="56" t="s">
        <v>106</v>
      </c>
      <c r="B30" s="57">
        <v>158.07999999999998</v>
      </c>
      <c r="C30" s="65" t="s">
        <v>114</v>
      </c>
      <c r="D30" s="58" t="s">
        <v>88</v>
      </c>
      <c r="E30" s="64" t="s">
        <v>4</v>
      </c>
      <c r="F30" s="61" cm="1">
        <f t="array" ref="F30">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30" s="59" t="s">
        <v>9</v>
      </c>
      <c r="H30" s="61" cm="1">
        <f t="array" ref="H30">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30" s="59" t="s">
        <v>35</v>
      </c>
      <c r="J30" s="61" cm="1">
        <f t="array" ref="J30">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30" s="59" t="s">
        <v>11</v>
      </c>
      <c r="L30" s="61" cm="1">
        <f t="array" ref="L30">_xlfn.XLOOKUP(1,(Таблица2[[#This Row],[Тип]]=коэф_произв[Тип])*(Таблица2[[#This Row],[Полы]]=коэф_произв[Значение])*('Таблица объектов'!K$1=коэф_произв[Характеристика]),коэф_произв[Коэффициент],"",0)</f>
        <v>0.8</v>
      </c>
      <c r="M30" s="59" t="s">
        <v>17</v>
      </c>
      <c r="N30" s="61" cm="1">
        <f t="array" ref="N30">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30" s="59"/>
      <c r="P30" s="61" t="str" cm="1">
        <f t="array" ref="P30">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0" s="58"/>
      <c r="R30" s="61" t="str" cm="1">
        <f t="array" ref="R30">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0" s="59"/>
      <c r="T30" s="61" t="str" cm="1">
        <f t="array" ref="T30">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0"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0.17280000000000004</v>
      </c>
      <c r="V30"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30" s="69">
        <f>Таблица2[[#This Row],[Площадь, м2]]*Таблица2[[#This Row],[Капитальность]]</f>
        <v>27.316224000000002</v>
      </c>
      <c r="X30" s="403">
        <f t="shared" si="0"/>
        <v>2.5</v>
      </c>
      <c r="Y30" s="62">
        <f>X30*Таблица2[[#This Row],[Площадь, м2]]</f>
        <v>395.19999999999993</v>
      </c>
      <c r="Z30" s="389">
        <f>Y30*Таблица2[[#This Row],[Капитальность]]</f>
        <v>68.290559999999999</v>
      </c>
      <c r="AA30" s="389"/>
      <c r="AB30" s="391">
        <v>0.56599999999999995</v>
      </c>
    </row>
    <row r="31" spans="1:28" ht="78.75">
      <c r="A31" s="56" t="s">
        <v>117</v>
      </c>
      <c r="B31" s="57">
        <v>1576.1</v>
      </c>
      <c r="C31" s="65" t="s">
        <v>118</v>
      </c>
      <c r="D31" s="58" t="s">
        <v>88</v>
      </c>
      <c r="E31" s="64" t="s">
        <v>5</v>
      </c>
      <c r="F31" s="61" cm="1">
        <f t="array" ref="F31">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31" s="59" t="s">
        <v>40</v>
      </c>
      <c r="H31" s="61" cm="1">
        <f t="array" ref="H31">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31" s="59" t="s">
        <v>38</v>
      </c>
      <c r="J31" s="61" cm="1">
        <f t="array" ref="J31">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31" s="59" t="s">
        <v>12</v>
      </c>
      <c r="L31" s="61" cm="1">
        <f t="array" ref="L31">_xlfn.XLOOKUP(1,(Таблица2[[#This Row],[Тип]]=коэф_произв[Тип])*(Таблица2[[#This Row],[Полы]]=коэф_произв[Значение])*('Таблица объектов'!K$1=коэф_произв[Характеристика]),коэф_произв[Коэффициент],"",0)</f>
        <v>0.9</v>
      </c>
      <c r="M31" s="59" t="s">
        <v>23</v>
      </c>
      <c r="N31" s="61" cm="1">
        <f t="array" ref="N31">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31" s="59"/>
      <c r="P31" s="61" t="str" cm="1">
        <f t="array" ref="P31">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1" s="58"/>
      <c r="R31" s="61" t="str" cm="1">
        <f t="array" ref="R31">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1" s="59"/>
      <c r="T31" s="61" t="str" cm="1">
        <f t="array" ref="T31">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1"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0.61560000000000004</v>
      </c>
      <c r="V31"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2</v>
      </c>
      <c r="W31" s="69">
        <f>Таблица2[[#This Row],[Площадь, м2]]*Таблица2[[#This Row],[Капитальность]]</f>
        <v>970.24716000000001</v>
      </c>
      <c r="X31" s="403">
        <f t="shared" si="0"/>
        <v>3</v>
      </c>
      <c r="Y31" s="62">
        <f>X31*Таблица2[[#This Row],[Площадь, м2]]</f>
        <v>4728.2999999999993</v>
      </c>
      <c r="Z31" s="389">
        <f>Y31*Таблица2[[#This Row],[Капитальность]]</f>
        <v>2910.7414799999997</v>
      </c>
      <c r="AA31" s="389"/>
      <c r="AB31" s="391">
        <v>0.33700000000000002</v>
      </c>
    </row>
    <row r="32" spans="1:28" ht="78.75">
      <c r="A32" s="56" t="s">
        <v>117</v>
      </c>
      <c r="B32" s="57">
        <v>221.2</v>
      </c>
      <c r="C32" s="65" t="s">
        <v>118</v>
      </c>
      <c r="D32" s="58" t="s">
        <v>87</v>
      </c>
      <c r="E32" s="64" t="s">
        <v>49</v>
      </c>
      <c r="F32" s="61" cm="1">
        <f t="array" ref="F32">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32" s="59"/>
      <c r="H32" s="61" t="str" cm="1">
        <f t="array" ref="H32">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32" s="59" t="s">
        <v>58</v>
      </c>
      <c r="J32" s="61" cm="1">
        <f t="array" ref="J32">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0.9</v>
      </c>
      <c r="K32" s="59"/>
      <c r="L32" s="61" t="str" cm="1">
        <f t="array" ref="L32">_xlfn.XLOOKUP(1,(Таблица2[[#This Row],[Тип]]=коэф_произв[Тип])*(Таблица2[[#This Row],[Полы]]=коэф_произв[Значение])*('Таблица объектов'!K$1=коэф_произв[Характеристика]),коэф_произв[Коэффициент],"",0)</f>
        <v/>
      </c>
      <c r="M32" s="59" t="s">
        <v>23</v>
      </c>
      <c r="N32" s="61" cm="1">
        <f t="array" ref="N32">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32" s="59" t="s">
        <v>54</v>
      </c>
      <c r="P32" s="61" cm="1">
        <f t="array" ref="P32">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0.9</v>
      </c>
      <c r="Q32" s="58" t="s">
        <v>58</v>
      </c>
      <c r="R32" s="61" cm="1">
        <f t="array" ref="R32">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32" s="59" t="s">
        <v>64</v>
      </c>
      <c r="T32" s="61" cm="1">
        <f t="array" ref="T32">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32"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0.38782800000000001</v>
      </c>
      <c r="V32"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32" s="69">
        <f>Таблица2[[#This Row],[Площадь, м2]]*Таблица2[[#This Row],[Капитальность]]</f>
        <v>85.787553599999995</v>
      </c>
      <c r="X32" s="403">
        <f t="shared" si="0"/>
        <v>3</v>
      </c>
      <c r="Y32" s="62">
        <f>X32*Таблица2[[#This Row],[Площадь, м2]]</f>
        <v>663.59999999999991</v>
      </c>
      <c r="Z32" s="389">
        <f>Y32*Таблица2[[#This Row],[Капитальность]]</f>
        <v>257.36266079999996</v>
      </c>
      <c r="AA32" s="389"/>
      <c r="AB32" s="391">
        <v>0.33700000000000002</v>
      </c>
    </row>
    <row r="33" spans="1:28" ht="71.25">
      <c r="A33" s="56" t="s">
        <v>117</v>
      </c>
      <c r="B33" s="57">
        <v>1281.5</v>
      </c>
      <c r="C33" s="65" t="s">
        <v>119</v>
      </c>
      <c r="D33" s="58" t="s">
        <v>88</v>
      </c>
      <c r="E33" s="64" t="s">
        <v>4</v>
      </c>
      <c r="F33" s="61" cm="1">
        <f t="array" ref="F33">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33" s="59" t="s">
        <v>9</v>
      </c>
      <c r="H33" s="61" cm="1">
        <f t="array" ref="H33">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33" s="67" t="s">
        <v>38</v>
      </c>
      <c r="J33" s="70">
        <v>0.85</v>
      </c>
      <c r="K33" s="59" t="s">
        <v>12</v>
      </c>
      <c r="L33" s="61" cm="1">
        <f t="array" ref="L33">_xlfn.XLOOKUP(1,(Таблица2[[#This Row],[Тип]]=коэф_произв[Тип])*(Таблица2[[#This Row],[Полы]]=коэф_произв[Значение])*('Таблица объектов'!K$1=коэф_произв[Характеристика]),коэф_произв[Коэффициент],"",0)</f>
        <v>0.9</v>
      </c>
      <c r="M33" s="59" t="s">
        <v>17</v>
      </c>
      <c r="N33" s="61" cm="1">
        <f t="array" ref="N33">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33" s="59"/>
      <c r="P33" s="61" t="str" cm="1">
        <f t="array" ref="P33">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3" s="58"/>
      <c r="R33" s="61" t="str" cm="1">
        <f t="array" ref="R33">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3" s="59"/>
      <c r="T33" s="61" t="str" cm="1">
        <f t="array" ref="T33">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3"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0.33048000000000005</v>
      </c>
      <c r="V33"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33" s="69">
        <f>Таблица2[[#This Row],[Площадь, м2]]*Таблица2[[#This Row],[Капитальность]]</f>
        <v>423.51012000000009</v>
      </c>
      <c r="X33" s="403">
        <f t="shared" si="0"/>
        <v>5</v>
      </c>
      <c r="Y33" s="62">
        <f>X33*Таблица2[[#This Row],[Площадь, м2]]</f>
        <v>6407.5</v>
      </c>
      <c r="Z33" s="389">
        <f>Y33*Таблица2[[#This Row],[Капитальность]]</f>
        <v>2117.5506000000005</v>
      </c>
      <c r="AA33" s="389"/>
      <c r="AB33" s="391">
        <v>8.9999999999999993E-3</v>
      </c>
    </row>
    <row r="34" spans="1:28" ht="71.25">
      <c r="A34" s="56" t="s">
        <v>117</v>
      </c>
      <c r="B34" s="57">
        <v>857.3</v>
      </c>
      <c r="C34" s="65" t="s">
        <v>119</v>
      </c>
      <c r="D34" s="58" t="s">
        <v>88</v>
      </c>
      <c r="E34" s="64" t="s">
        <v>5</v>
      </c>
      <c r="F34" s="61" cm="1">
        <f t="array" ref="F34">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34" s="59" t="s">
        <v>9</v>
      </c>
      <c r="H34" s="61" cm="1">
        <f t="array" ref="H34">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34" s="59" t="s">
        <v>36</v>
      </c>
      <c r="J34" s="61" cm="1">
        <f t="array" ref="J34">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34" s="59" t="s">
        <v>12</v>
      </c>
      <c r="L34" s="61" cm="1">
        <f t="array" ref="L34">_xlfn.XLOOKUP(1,(Таблица2[[#This Row],[Тип]]=коэф_произв[Тип])*(Таблица2[[#This Row],[Полы]]=коэф_произв[Значение])*('Таблица объектов'!K$1=коэф_произв[Характеристика]),коэф_произв[Коэффициент],"",0)</f>
        <v>0.9</v>
      </c>
      <c r="M34" s="59" t="s">
        <v>17</v>
      </c>
      <c r="N34" s="61" cm="1">
        <f t="array" ref="N34">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34" s="59"/>
      <c r="P34" s="61" t="str" cm="1">
        <f t="array" ref="P34">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4" s="58"/>
      <c r="R34" s="61" t="str" cm="1">
        <f t="array" ref="R34">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4" s="59"/>
      <c r="T34" s="61" t="str" cm="1">
        <f t="array" ref="T34">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4"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0.36288000000000004</v>
      </c>
      <c r="V34"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34" s="69">
        <f>Таблица2[[#This Row],[Площадь, м2]]*Таблица2[[#This Row],[Капитальность]]</f>
        <v>311.09702400000003</v>
      </c>
      <c r="X34" s="403">
        <f t="shared" si="0"/>
        <v>5</v>
      </c>
      <c r="Y34" s="62">
        <f>X34*Таблица2[[#This Row],[Площадь, м2]]</f>
        <v>4286.5</v>
      </c>
      <c r="Z34" s="389">
        <f>Y34*Таблица2[[#This Row],[Капитальность]]</f>
        <v>1555.4851200000001</v>
      </c>
      <c r="AA34" s="389"/>
      <c r="AB34" s="391">
        <v>8.9999999999999993E-3</v>
      </c>
    </row>
    <row r="35" spans="1:28" ht="71.25">
      <c r="A35" s="56" t="s">
        <v>117</v>
      </c>
      <c r="B35" s="57">
        <v>2380.9</v>
      </c>
      <c r="C35" s="65" t="s">
        <v>119</v>
      </c>
      <c r="D35" s="58" t="s">
        <v>88</v>
      </c>
      <c r="E35" s="64" t="s">
        <v>5</v>
      </c>
      <c r="F35" s="61" cm="1">
        <f t="array" ref="F35">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35" s="59" t="s">
        <v>9</v>
      </c>
      <c r="H35" s="61" cm="1">
        <f t="array" ref="H35">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35" s="67" t="s">
        <v>38</v>
      </c>
      <c r="J35" s="70">
        <v>0.85</v>
      </c>
      <c r="K35" s="59" t="s">
        <v>12</v>
      </c>
      <c r="L35" s="61" cm="1">
        <f t="array" ref="L35">_xlfn.XLOOKUP(1,(Таблица2[[#This Row],[Тип]]=коэф_произв[Тип])*(Таблица2[[#This Row],[Полы]]=коэф_произв[Значение])*('Таблица объектов'!K$1=коэф_произв[Характеристика]),коэф_произв[Коэффициент],"",0)</f>
        <v>0.9</v>
      </c>
      <c r="M35" s="59" t="s">
        <v>17</v>
      </c>
      <c r="N35" s="61" cm="1">
        <f t="array" ref="N35">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35" s="59"/>
      <c r="P35" s="61" t="str" cm="1">
        <f t="array" ref="P35">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5" s="58"/>
      <c r="R35" s="61" t="str" cm="1">
        <f t="array" ref="R35">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5" s="59"/>
      <c r="T35" s="61" t="str" cm="1">
        <f t="array" ref="T35">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5"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0.44064000000000009</v>
      </c>
      <c r="V35"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35" s="69">
        <f>Таблица2[[#This Row],[Площадь, м2]]*Таблица2[[#This Row],[Капитальность]]</f>
        <v>1049.1197760000002</v>
      </c>
      <c r="X35" s="403">
        <f t="shared" si="0"/>
        <v>5</v>
      </c>
      <c r="Y35" s="62">
        <f>X35*Таблица2[[#This Row],[Площадь, м2]]</f>
        <v>11904.5</v>
      </c>
      <c r="Z35" s="389">
        <f>Y35*Таблица2[[#This Row],[Капитальность]]</f>
        <v>5245.5988800000014</v>
      </c>
      <c r="AA35" s="389"/>
      <c r="AB35" s="391">
        <v>8.9999999999999993E-3</v>
      </c>
    </row>
    <row r="36" spans="1:28" ht="85.5">
      <c r="A36" s="56" t="s">
        <v>117</v>
      </c>
      <c r="B36" s="57">
        <v>138.69999999999999</v>
      </c>
      <c r="C36" s="65" t="s">
        <v>120</v>
      </c>
      <c r="D36" s="58" t="s">
        <v>88</v>
      </c>
      <c r="E36" s="64" t="s">
        <v>4</v>
      </c>
      <c r="F36" s="61" cm="1">
        <f t="array" ref="F36">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36" s="59" t="s">
        <v>9</v>
      </c>
      <c r="H36" s="61" cm="1">
        <f t="array" ref="H36">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36" s="59" t="s">
        <v>35</v>
      </c>
      <c r="J36" s="61" cm="1">
        <f t="array" ref="J36">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36" s="59" t="s">
        <v>13</v>
      </c>
      <c r="L36" s="61" cm="1">
        <f t="array" ref="L36">_xlfn.XLOOKUP(1,(Таблица2[[#This Row],[Тип]]=коэф_произв[Тип])*(Таблица2[[#This Row],[Полы]]=коэф_произв[Значение])*('Таблица объектов'!K$1=коэф_произв[Характеристика]),коэф_произв[Коэффициент],"",0)</f>
        <v>1</v>
      </c>
      <c r="M36" s="59" t="s">
        <v>17</v>
      </c>
      <c r="N36" s="61" cm="1">
        <f t="array" ref="N36">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36" s="59"/>
      <c r="P36" s="61" t="str" cm="1">
        <f t="array" ref="P36">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6" s="58"/>
      <c r="R36" s="61" t="str" cm="1">
        <f t="array" ref="R36">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6" s="59"/>
      <c r="T36" s="61" t="str" cm="1">
        <f t="array" ref="T36">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6"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0.21600000000000003</v>
      </c>
      <c r="V36"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36" s="69">
        <f>Таблица2[[#This Row],[Площадь, м2]]*Таблица2[[#This Row],[Капитальность]]</f>
        <v>29.959200000000003</v>
      </c>
      <c r="X36" s="403">
        <f t="shared" si="0"/>
        <v>4</v>
      </c>
      <c r="Y36" s="62">
        <f>X36*Таблица2[[#This Row],[Площадь, м2]]</f>
        <v>554.79999999999995</v>
      </c>
      <c r="Z36" s="389">
        <f>Y36*Таблица2[[#This Row],[Капитальность]]</f>
        <v>119.83680000000001</v>
      </c>
      <c r="AA36" s="389"/>
      <c r="AB36" s="391">
        <v>0.1</v>
      </c>
    </row>
    <row r="37" spans="1:28" ht="31.5">
      <c r="A37" s="56" t="s">
        <v>117</v>
      </c>
      <c r="B37" s="57">
        <v>24.8</v>
      </c>
      <c r="C37" s="65" t="s">
        <v>110</v>
      </c>
      <c r="D37" s="58" t="s">
        <v>116</v>
      </c>
      <c r="E37" s="64"/>
      <c r="F37" s="61" t="str" cm="1">
        <f t="array" ref="F37">_xlfn.XLOOKUP(1,(Таблица2[[#This Row],[Тип]]=коэф_произв[Тип])*(Таблица2[[#This Row],[Высота]]=коэф_произв[Значение])*('Таблица объектов'!E$1=коэф_произв[Характеристика]),коэф_произв[Коэффициент],"",0)</f>
        <v/>
      </c>
      <c r="G37" s="59"/>
      <c r="H37" s="61" t="str" cm="1">
        <f t="array" ref="H37">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37" s="59"/>
      <c r="J37" s="61" t="str" cm="1">
        <f t="array" ref="J37">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37" s="59"/>
      <c r="L37" s="61" t="str" cm="1">
        <f t="array" ref="L37">_xlfn.XLOOKUP(1,(Таблица2[[#This Row],[Тип]]=коэф_произв[Тип])*(Таблица2[[#This Row],[Полы]]=коэф_произв[Значение])*('Таблица объектов'!K$1=коэф_произв[Характеристика]),коэф_произв[Коэффициент],"",0)</f>
        <v/>
      </c>
      <c r="M37" s="59"/>
      <c r="N37" s="61" t="str" cm="1">
        <f t="array" ref="N37">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37" s="59"/>
      <c r="P37" s="61" t="str" cm="1">
        <f t="array" ref="P37">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7" s="58"/>
      <c r="R37" s="61" t="str" cm="1">
        <f t="array" ref="R37">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7" s="59"/>
      <c r="T37" s="61" t="str" cm="1">
        <f t="array" ref="T37">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7"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37"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37" s="69">
        <f>Таблица2[[#This Row],[Площадь, м2]]*Таблица2[[#This Row],[Капитальность]]</f>
        <v>1.2400000000000002</v>
      </c>
      <c r="X37" s="403">
        <f t="shared" si="0"/>
        <v>3.5</v>
      </c>
      <c r="Y37" s="62">
        <f>X37*Таблица2[[#This Row],[Площадь, м2]]</f>
        <v>86.8</v>
      </c>
      <c r="Z37" s="389">
        <f>Y37*Таблица2[[#This Row],[Капитальность]]</f>
        <v>4.34</v>
      </c>
      <c r="AA37" s="389"/>
      <c r="AB37" s="391">
        <v>0.2</v>
      </c>
    </row>
    <row r="38" spans="1:28" ht="71.25">
      <c r="A38" s="56" t="s">
        <v>117</v>
      </c>
      <c r="B38" s="57">
        <v>24.82</v>
      </c>
      <c r="C38" s="65" t="s">
        <v>121</v>
      </c>
      <c r="D38" s="58" t="s">
        <v>87</v>
      </c>
      <c r="E38" s="64" t="s">
        <v>69</v>
      </c>
      <c r="F38" s="61" cm="1">
        <f t="array" ref="F38">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38" s="59"/>
      <c r="H38" s="61" t="str" cm="1">
        <f t="array" ref="H38">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38" s="59" t="s">
        <v>56</v>
      </c>
      <c r="J38" s="61" cm="1">
        <f t="array" ref="J38">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0.8</v>
      </c>
      <c r="K38" s="59"/>
      <c r="L38" s="61" t="str" cm="1">
        <f t="array" ref="L38">_xlfn.XLOOKUP(1,(Таблица2[[#This Row],[Тип]]=коэф_произв[Тип])*(Таблица2[[#This Row],[Полы]]=коэф_произв[Значение])*('Таблица объектов'!K$1=коэф_произв[Характеристика]),коэф_произв[Коэффициент],"",0)</f>
        <v/>
      </c>
      <c r="M38" s="59" t="s">
        <v>17</v>
      </c>
      <c r="N38" s="61" cm="1">
        <f t="array" ref="N38">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38" s="59" t="s">
        <v>54</v>
      </c>
      <c r="P38" s="61" cm="1">
        <f t="array" ref="P38">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0.9</v>
      </c>
      <c r="Q38" s="58" t="s">
        <v>60</v>
      </c>
      <c r="R38" s="61" cm="1">
        <f t="array" ref="R38">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v>
      </c>
      <c r="S38" s="59" t="s">
        <v>64</v>
      </c>
      <c r="T38" s="61" cm="1">
        <f t="array" ref="T38">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38"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0.21772800000000006</v>
      </c>
      <c r="V38"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4</v>
      </c>
      <c r="W38" s="69">
        <f>Таблица2[[#This Row],[Площадь, м2]]*Таблица2[[#This Row],[Капитальность]]</f>
        <v>5.4040089600000014</v>
      </c>
      <c r="X38" s="403">
        <f t="shared" si="0"/>
        <v>3.5</v>
      </c>
      <c r="Y38" s="62">
        <f>X38*Таблица2[[#This Row],[Площадь, м2]]</f>
        <v>86.87</v>
      </c>
      <c r="Z38" s="389">
        <f>Y38*Таблица2[[#This Row],[Капитальность]]</f>
        <v>18.914031360000006</v>
      </c>
      <c r="AA38" s="389"/>
      <c r="AB38" s="391">
        <v>0.2</v>
      </c>
    </row>
    <row r="39" spans="1:28" ht="71.25">
      <c r="A39" s="56" t="s">
        <v>123</v>
      </c>
      <c r="B39" s="57">
        <v>2700</v>
      </c>
      <c r="C39" s="65" t="s">
        <v>102</v>
      </c>
      <c r="D39" s="58" t="s">
        <v>88</v>
      </c>
      <c r="E39" s="64" t="s">
        <v>4</v>
      </c>
      <c r="F39" s="61" cm="1">
        <f t="array" ref="F39">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39" s="59" t="s">
        <v>40</v>
      </c>
      <c r="H39" s="61" cm="1">
        <f t="array" ref="H39">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39" s="59" t="s">
        <v>36</v>
      </c>
      <c r="J39" s="61" cm="1">
        <f t="array" ref="J39">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39" s="59" t="s">
        <v>12</v>
      </c>
      <c r="L39" s="61" cm="1">
        <f t="array" ref="L39">_xlfn.XLOOKUP(1,(Таблица2[[#This Row],[Тип]]=коэф_произв[Тип])*(Таблица2[[#This Row],[Полы]]=коэф_произв[Значение])*('Таблица объектов'!K$1=коэф_произв[Характеристика]),коэф_произв[Коэффициент],"",0)</f>
        <v>0.9</v>
      </c>
      <c r="M39" s="59" t="s">
        <v>23</v>
      </c>
      <c r="N39" s="61" cm="1">
        <f t="array" ref="N39">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39" s="59"/>
      <c r="P39" s="61" t="str" cm="1">
        <f t="array" ref="P39">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39" s="58"/>
      <c r="R39" s="61" t="str" cm="1">
        <f t="array" ref="R39">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39" s="59"/>
      <c r="T39" s="61" t="str" cm="1">
        <f t="array" ref="T39">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39"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0.32318999999999998</v>
      </c>
      <c r="V39"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39" s="69">
        <f>Таблица2[[#This Row],[Площадь, м2]]*Таблица2[[#This Row],[Капитальность]]</f>
        <v>872.61299999999994</v>
      </c>
      <c r="Z39" s="389">
        <f>Y39*Таблица2[[#This Row],[Капитальность]]</f>
        <v>0</v>
      </c>
      <c r="AA39" s="389"/>
    </row>
    <row r="40" spans="1:28" ht="71.25">
      <c r="A40" s="56" t="s">
        <v>124</v>
      </c>
      <c r="B40" s="57">
        <v>360</v>
      </c>
      <c r="C40" s="65" t="s">
        <v>125</v>
      </c>
      <c r="D40" s="58" t="s">
        <v>87</v>
      </c>
      <c r="E40" s="64" t="s">
        <v>49</v>
      </c>
      <c r="F40" s="61" cm="1">
        <f t="array" ref="F40">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0" s="59"/>
      <c r="H40" s="61" t="str" cm="1">
        <f t="array" ref="H40">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40" s="59" t="s">
        <v>57</v>
      </c>
      <c r="J40" s="61" cm="1">
        <f t="array" ref="J40">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40" s="59"/>
      <c r="L40" s="61" t="str" cm="1">
        <f t="array" ref="L40">_xlfn.XLOOKUP(1,(Таблица2[[#This Row],[Тип]]=коэф_произв[Тип])*(Таблица2[[#This Row],[Полы]]=коэф_произв[Значение])*('Таблица объектов'!K$1=коэф_произв[Характеристика]),коэф_произв[Коэффициент],"",0)</f>
        <v/>
      </c>
      <c r="M40" s="59" t="s">
        <v>23</v>
      </c>
      <c r="N40" s="61" cm="1">
        <f t="array" ref="N40">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40" s="59" t="s">
        <v>54</v>
      </c>
      <c r="P40" s="61" cm="1">
        <f t="array" ref="P40">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0.9</v>
      </c>
      <c r="Q40" s="58" t="s">
        <v>58</v>
      </c>
      <c r="R40" s="61" cm="1">
        <f t="array" ref="R40">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40" s="59" t="s">
        <v>64</v>
      </c>
      <c r="T40" s="61" cm="1">
        <f t="array" ref="T40">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40"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0.43091999999999997</v>
      </c>
      <c r="V40"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40" s="69">
        <f>Таблица2[[#This Row],[Площадь, м2]]*Таблица2[[#This Row],[Капитальность]]</f>
        <v>155.13119999999998</v>
      </c>
      <c r="Z40" s="389">
        <f>Y40*Таблица2[[#This Row],[Капитальность]]</f>
        <v>0</v>
      </c>
      <c r="AA40" s="389"/>
    </row>
    <row r="41" spans="1:28" ht="71.25">
      <c r="A41" s="56" t="s">
        <v>124</v>
      </c>
      <c r="B41" s="57">
        <v>5523.8</v>
      </c>
      <c r="C41" s="65" t="s">
        <v>119</v>
      </c>
      <c r="D41" s="58" t="s">
        <v>88</v>
      </c>
      <c r="E41" s="64" t="s">
        <v>5</v>
      </c>
      <c r="F41" s="61" cm="1">
        <f t="array" ref="F41">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1" s="59" t="s">
        <v>8</v>
      </c>
      <c r="H41" s="61" cm="1">
        <f t="array" ref="H41">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1</v>
      </c>
      <c r="I41" s="59" t="s">
        <v>36</v>
      </c>
      <c r="J41" s="61" cm="1">
        <f t="array" ref="J41">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41" s="59" t="s">
        <v>12</v>
      </c>
      <c r="L41" s="61" cm="1">
        <f t="array" ref="L41">_xlfn.XLOOKUP(1,(Таблица2[[#This Row],[Тип]]=коэф_произв[Тип])*(Таблица2[[#This Row],[Полы]]=коэф_произв[Значение])*('Таблица объектов'!K$1=коэф_произв[Характеристика]),коэф_произв[Коэффициент],"",0)</f>
        <v>0.9</v>
      </c>
      <c r="M41" s="59" t="s">
        <v>17</v>
      </c>
      <c r="N41" s="61" cm="1">
        <f t="array" ref="N41">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41" s="59"/>
      <c r="P41" s="61" t="str" cm="1">
        <f t="array" ref="P41">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1" s="58"/>
      <c r="R41" s="61" t="str" cm="1">
        <f t="array" ref="R41">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41" s="59"/>
      <c r="T41" s="61" t="str" cm="1">
        <f t="array" ref="T41">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41"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0.4032</v>
      </c>
      <c r="V41"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41" s="69">
        <f>Таблица2[[#This Row],[Площадь, м2]]*Таблица2[[#This Row],[Капитальность]]</f>
        <v>2227.19616</v>
      </c>
      <c r="Z41" s="389">
        <f>Y41*Таблица2[[#This Row],[Капитальность]]</f>
        <v>0</v>
      </c>
      <c r="AA41" s="389"/>
    </row>
    <row r="42" spans="1:28" ht="71.25">
      <c r="A42" s="56" t="s">
        <v>124</v>
      </c>
      <c r="B42" s="57">
        <v>1112.2</v>
      </c>
      <c r="C42" s="65" t="s">
        <v>119</v>
      </c>
      <c r="D42" s="58" t="s">
        <v>88</v>
      </c>
      <c r="E42" s="64" t="s">
        <v>4</v>
      </c>
      <c r="F42" s="61" cm="1">
        <f t="array" ref="F42">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42" s="59" t="s">
        <v>40</v>
      </c>
      <c r="H42" s="61" cm="1">
        <f t="array" ref="H42">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42" s="59" t="s">
        <v>36</v>
      </c>
      <c r="J42" s="61" cm="1">
        <f t="array" ref="J42">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42" s="59" t="s">
        <v>12</v>
      </c>
      <c r="L42" s="61" cm="1">
        <f t="array" ref="L42">_xlfn.XLOOKUP(1,(Таблица2[[#This Row],[Тип]]=коэф_произв[Тип])*(Таблица2[[#This Row],[Полы]]=коэф_произв[Значение])*('Таблица объектов'!K$1=коэф_произв[Характеристика]),коэф_произв[Коэффициент],"",0)</f>
        <v>0.9</v>
      </c>
      <c r="M42" s="59" t="s">
        <v>17</v>
      </c>
      <c r="N42" s="61" cm="1">
        <f t="array" ref="N42">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42" s="59"/>
      <c r="P42" s="61" t="str" cm="1">
        <f t="array" ref="P42">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2" s="58"/>
      <c r="R42" s="61" t="str" cm="1">
        <f t="array" ref="R42">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42" s="59"/>
      <c r="T42" s="61" t="str" cm="1">
        <f t="array" ref="T42">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42"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0.28727999999999998</v>
      </c>
      <c r="V42"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42" s="69">
        <f>Таблица2[[#This Row],[Площадь, м2]]*Таблица2[[#This Row],[Капитальность]]</f>
        <v>319.51281599999999</v>
      </c>
      <c r="Z42" s="389">
        <f>Y42*Таблица2[[#This Row],[Капитальность]]</f>
        <v>0</v>
      </c>
      <c r="AA42" s="389"/>
    </row>
    <row r="43" spans="1:28" ht="71.25">
      <c r="A43" s="56" t="s">
        <v>126</v>
      </c>
      <c r="B43" s="57">
        <v>1390</v>
      </c>
      <c r="C43" s="65" t="s">
        <v>125</v>
      </c>
      <c r="D43" s="58" t="s">
        <v>87</v>
      </c>
      <c r="E43" s="64" t="s">
        <v>49</v>
      </c>
      <c r="F43" s="61" cm="1">
        <f t="array" ref="F43">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3" s="59"/>
      <c r="H43" s="61" t="str" cm="1">
        <f t="array" ref="H43">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43" s="59" t="s">
        <v>57</v>
      </c>
      <c r="J43" s="61" cm="1">
        <f t="array" ref="J43">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43" s="59"/>
      <c r="L43" s="61" t="str" cm="1">
        <f t="array" ref="L43">_xlfn.XLOOKUP(1,(Таблица2[[#This Row],[Тип]]=коэф_произв[Тип])*(Таблица2[[#This Row],[Полы]]=коэф_произв[Значение])*('Таблица объектов'!K$1=коэф_произв[Характеристика]),коэф_произв[Коэффициент],"",0)</f>
        <v/>
      </c>
      <c r="M43" s="59" t="s">
        <v>23</v>
      </c>
      <c r="N43" s="61" cm="1">
        <f t="array" ref="N43">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43" s="59" t="s">
        <v>52</v>
      </c>
      <c r="P43" s="61" cm="1">
        <f t="array" ref="P43">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0.8</v>
      </c>
      <c r="Q43" s="58" t="s">
        <v>58</v>
      </c>
      <c r="R43" s="61" cm="1">
        <f t="array" ref="R43">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43" s="59" t="s">
        <v>64</v>
      </c>
      <c r="T43" s="61" cm="1">
        <f t="array" ref="T43">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43"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0.38303999999999999</v>
      </c>
      <c r="V43"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43" s="69">
        <f>Таблица2[[#This Row],[Площадь, м2]]*Таблица2[[#This Row],[Капитальность]]</f>
        <v>532.42560000000003</v>
      </c>
      <c r="Z43" s="389">
        <f>Y43*Таблица2[[#This Row],[Капитальность]]</f>
        <v>0</v>
      </c>
      <c r="AA43" s="389"/>
    </row>
    <row r="44" spans="1:28" ht="71.25">
      <c r="A44" s="56" t="s">
        <v>126</v>
      </c>
      <c r="B44" s="57">
        <v>1947.1</v>
      </c>
      <c r="C44" s="65" t="s">
        <v>119</v>
      </c>
      <c r="D44" s="58" t="s">
        <v>88</v>
      </c>
      <c r="E44" s="64" t="s">
        <v>5</v>
      </c>
      <c r="F44" s="61" cm="1">
        <f t="array" ref="F44">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4" s="59" t="s">
        <v>8</v>
      </c>
      <c r="H44" s="61" cm="1">
        <f t="array" ref="H44">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1</v>
      </c>
      <c r="I44" s="59" t="s">
        <v>38</v>
      </c>
      <c r="J44" s="61" cm="1">
        <f t="array" ref="J44">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44" s="59" t="s">
        <v>12</v>
      </c>
      <c r="L44" s="61" cm="1">
        <f t="array" ref="L44">_xlfn.XLOOKUP(1,(Таблица2[[#This Row],[Тип]]=коэф_произв[Тип])*(Таблица2[[#This Row],[Полы]]=коэф_произв[Значение])*('Таблица объектов'!K$1=коэф_произв[Характеристика]),коэф_произв[Коэффициент],"",0)</f>
        <v>0.9</v>
      </c>
      <c r="M44" s="59" t="s">
        <v>17</v>
      </c>
      <c r="N44" s="61" cm="1">
        <f t="array" ref="N44">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44" s="59"/>
      <c r="P44" s="61" t="str" cm="1">
        <f t="array" ref="P44">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4" s="58"/>
      <c r="R44" s="61" t="str" cm="1">
        <f t="array" ref="R44">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44" s="59"/>
      <c r="T44" s="61" t="str" cm="1">
        <f t="array" ref="T44">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44"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0.57600000000000007</v>
      </c>
      <c r="V44"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2</v>
      </c>
      <c r="W44" s="69">
        <f>Таблица2[[#This Row],[Площадь, м2]]*Таблица2[[#This Row],[Капитальность]]</f>
        <v>1121.5296000000001</v>
      </c>
      <c r="Z44" s="389">
        <f>Y44*Таблица2[[#This Row],[Капитальность]]</f>
        <v>0</v>
      </c>
      <c r="AA44" s="389"/>
    </row>
    <row r="45" spans="1:28" ht="71.25">
      <c r="A45" s="56" t="s">
        <v>127</v>
      </c>
      <c r="B45" s="57">
        <v>877.7</v>
      </c>
      <c r="C45" s="65" t="s">
        <v>125</v>
      </c>
      <c r="D45" s="58" t="s">
        <v>87</v>
      </c>
      <c r="E45" s="64" t="s">
        <v>49</v>
      </c>
      <c r="F45" s="61" cm="1">
        <f t="array" ref="F45">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5" s="59"/>
      <c r="H45" s="61" t="str" cm="1">
        <f t="array" ref="H45">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45" s="59" t="s">
        <v>58</v>
      </c>
      <c r="J45" s="61" cm="1">
        <f t="array" ref="J45">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0.9</v>
      </c>
      <c r="K45" s="59"/>
      <c r="L45" s="61" t="str" cm="1">
        <f t="array" ref="L45">_xlfn.XLOOKUP(1,(Таблица2[[#This Row],[Тип]]=коэф_произв[Тип])*(Таблица2[[#This Row],[Полы]]=коэф_произв[Значение])*('Таблица объектов'!K$1=коэф_произв[Характеристика]),коэф_произв[Коэффициент],"",0)</f>
        <v/>
      </c>
      <c r="M45" s="59" t="s">
        <v>23</v>
      </c>
      <c r="N45" s="61" cm="1">
        <f t="array" ref="N45">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45" s="59"/>
      <c r="P45" s="61" t="str" cm="1">
        <f t="array" ref="P45">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5" s="58" t="s">
        <v>58</v>
      </c>
      <c r="R45" s="61" cm="1">
        <f t="array" ref="R45">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45" s="59" t="s">
        <v>64</v>
      </c>
      <c r="T45" s="61" cm="1">
        <f t="array" ref="T45">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45"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0.43091999999999997</v>
      </c>
      <c r="V45"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45" s="69">
        <f>Таблица2[[#This Row],[Площадь, м2]]*Таблица2[[#This Row],[Капитальность]]</f>
        <v>378.21848399999999</v>
      </c>
      <c r="Z45" s="389">
        <f>Y45*Таблица2[[#This Row],[Капитальность]]</f>
        <v>0</v>
      </c>
      <c r="AA45" s="389"/>
    </row>
    <row r="46" spans="1:28" ht="85.5">
      <c r="A46" s="56" t="s">
        <v>127</v>
      </c>
      <c r="B46" s="57">
        <v>4822.3</v>
      </c>
      <c r="C46" s="65" t="s">
        <v>102</v>
      </c>
      <c r="D46" s="58" t="s">
        <v>88</v>
      </c>
      <c r="E46" s="64" t="s">
        <v>5</v>
      </c>
      <c r="F46" s="61" cm="1">
        <f t="array" ref="F46">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6" s="59" t="s">
        <v>9</v>
      </c>
      <c r="H46" s="61" cm="1">
        <f t="array" ref="H46">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46" s="59" t="s">
        <v>35</v>
      </c>
      <c r="J46" s="61" cm="1">
        <f t="array" ref="J46">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46" s="59" t="s">
        <v>12</v>
      </c>
      <c r="L46" s="61" cm="1">
        <f t="array" ref="L46">_xlfn.XLOOKUP(1,(Таблица2[[#This Row],[Тип]]=коэф_произв[Тип])*(Таблица2[[#This Row],[Полы]]=коэф_произв[Значение])*('Таблица объектов'!K$1=коэф_произв[Характеристика]),коэф_произв[Коэффициент],"",0)</f>
        <v>0.9</v>
      </c>
      <c r="M46" s="59" t="s">
        <v>17</v>
      </c>
      <c r="N46" s="61" cm="1">
        <f t="array" ref="N46">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46" s="59"/>
      <c r="P46" s="61" t="str" cm="1">
        <f t="array" ref="P46">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6" s="58"/>
      <c r="R46" s="61" t="str" cm="1">
        <f t="array" ref="R46">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46" s="59"/>
      <c r="T46" s="61" t="str" cm="1">
        <f t="array" ref="T46">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46"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0.25920000000000004</v>
      </c>
      <c r="V46"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46" s="69">
        <f>Таблица2[[#This Row],[Площадь, м2]]*Таблица2[[#This Row],[Капитальность]]</f>
        <v>1249.9401600000003</v>
      </c>
      <c r="Z46" s="389">
        <f>Y46*Таблица2[[#This Row],[Капитальность]]</f>
        <v>0</v>
      </c>
      <c r="AA46" s="389"/>
    </row>
    <row r="47" spans="1:28" ht="57">
      <c r="A47" s="56" t="s">
        <v>128</v>
      </c>
      <c r="B47" s="57">
        <v>74.8</v>
      </c>
      <c r="C47" s="65" t="s">
        <v>125</v>
      </c>
      <c r="D47" s="58" t="s">
        <v>87</v>
      </c>
      <c r="E47" s="64" t="s">
        <v>69</v>
      </c>
      <c r="F47" s="61" cm="1">
        <f t="array" ref="F47">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47" s="59"/>
      <c r="H47" s="61" t="str" cm="1">
        <f t="array" ref="H47">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47" s="59" t="s">
        <v>57</v>
      </c>
      <c r="J47" s="61" cm="1">
        <f t="array" ref="J47">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47" s="59"/>
      <c r="L47" s="61" t="str" cm="1">
        <f t="array" ref="L47">_xlfn.XLOOKUP(1,(Таблица2[[#This Row],[Тип]]=коэф_произв[Тип])*(Таблица2[[#This Row],[Полы]]=коэф_произв[Значение])*('Таблица объектов'!K$1=коэф_произв[Характеристика]),коэф_произв[Коэффициент],"",0)</f>
        <v/>
      </c>
      <c r="M47" s="59" t="s">
        <v>23</v>
      </c>
      <c r="N47" s="61" cm="1">
        <f t="array" ref="N47">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47" s="59" t="s">
        <v>53</v>
      </c>
      <c r="P47" s="61" cm="1">
        <f t="array" ref="P47">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1</v>
      </c>
      <c r="Q47" s="58" t="s">
        <v>58</v>
      </c>
      <c r="R47" s="61" cm="1">
        <f t="array" ref="R47">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47" s="59" t="s">
        <v>65</v>
      </c>
      <c r="T47" s="61" cm="1">
        <f t="array" ref="T47">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0.8</v>
      </c>
      <c r="U47"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0.41040000000000004</v>
      </c>
      <c r="V47"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3</v>
      </c>
      <c r="W47" s="69">
        <f>Таблица2[[#This Row],[Площадь, м2]]*Таблица2[[#This Row],[Капитальность]]</f>
        <v>30.697920000000003</v>
      </c>
      <c r="Z47" s="389">
        <f>Y47*Таблица2[[#This Row],[Капитальность]]</f>
        <v>0</v>
      </c>
      <c r="AA47" s="389"/>
    </row>
    <row r="48" spans="1:28" ht="71.25">
      <c r="A48" s="56" t="s">
        <v>128</v>
      </c>
      <c r="B48" s="57">
        <v>1561.2</v>
      </c>
      <c r="C48" s="65" t="s">
        <v>119</v>
      </c>
      <c r="D48" s="58" t="s">
        <v>88</v>
      </c>
      <c r="E48" s="64" t="s">
        <v>5</v>
      </c>
      <c r="F48" s="61" cm="1">
        <f t="array" ref="F48">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48" s="59" t="s">
        <v>40</v>
      </c>
      <c r="H48" s="61" cm="1">
        <f t="array" ref="H48">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48" s="59" t="s">
        <v>36</v>
      </c>
      <c r="J48" s="61" cm="1">
        <f t="array" ref="J48">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48" s="59" t="s">
        <v>12</v>
      </c>
      <c r="L48" s="61" cm="1">
        <f t="array" ref="L48">_xlfn.XLOOKUP(1,(Таблица2[[#This Row],[Тип]]=коэф_произв[Тип])*(Таблица2[[#This Row],[Полы]]=коэф_произв[Значение])*('Таблица объектов'!K$1=коэф_произв[Характеристика]),коэф_произв[Коэффициент],"",0)</f>
        <v>0.9</v>
      </c>
      <c r="M48" s="59" t="s">
        <v>23</v>
      </c>
      <c r="N48" s="61" cm="1">
        <f t="array" ref="N48">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48" s="59"/>
      <c r="P48" s="61" t="str" cm="1">
        <f t="array" ref="P48">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8" s="58"/>
      <c r="R48" s="61" t="str" cm="1">
        <f t="array" ref="R48">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48" s="59"/>
      <c r="T48" s="61" t="str" cm="1">
        <f t="array" ref="T48">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48"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0.43091999999999997</v>
      </c>
      <c r="V48"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48" s="69">
        <f>Таблица2[[#This Row],[Площадь, м2]]*Таблица2[[#This Row],[Капитальность]]</f>
        <v>672.75230399999998</v>
      </c>
      <c r="Z48" s="389">
        <f>Y48*Таблица2[[#This Row],[Капитальность]]</f>
        <v>0</v>
      </c>
      <c r="AA48" s="389"/>
    </row>
    <row r="49" spans="1:27" ht="71.25">
      <c r="A49" s="56" t="s">
        <v>128</v>
      </c>
      <c r="B49" s="57">
        <v>840</v>
      </c>
      <c r="C49" s="65" t="s">
        <v>119</v>
      </c>
      <c r="D49" s="58" t="s">
        <v>88</v>
      </c>
      <c r="E49" s="64" t="s">
        <v>4</v>
      </c>
      <c r="F49" s="61" cm="1">
        <f t="array" ref="F49">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49" s="59" t="s">
        <v>9</v>
      </c>
      <c r="H49" s="61" cm="1">
        <f t="array" ref="H49">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49" s="59" t="s">
        <v>36</v>
      </c>
      <c r="J49" s="61" cm="1">
        <f t="array" ref="J49">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49" s="59" t="s">
        <v>12</v>
      </c>
      <c r="L49" s="61" cm="1">
        <f t="array" ref="L49">_xlfn.XLOOKUP(1,(Таблица2[[#This Row],[Тип]]=коэф_произв[Тип])*(Таблица2[[#This Row],[Полы]]=коэф_произв[Значение])*('Таблица объектов'!K$1=коэф_произв[Характеристика]),коэф_произв[Коэффициент],"",0)</f>
        <v>0.9</v>
      </c>
      <c r="M49" s="59" t="s">
        <v>23</v>
      </c>
      <c r="N49" s="61" cm="1">
        <f t="array" ref="N49">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0.9</v>
      </c>
      <c r="O49" s="59"/>
      <c r="P49" s="61" t="str" cm="1">
        <f t="array" ref="P49">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49" s="58"/>
      <c r="R49" s="61" t="str" cm="1">
        <f t="array" ref="R49">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49" s="59"/>
      <c r="T49" s="61" t="str" cm="1">
        <f t="array" ref="T49">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49"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0.30617999999999995</v>
      </c>
      <c r="V49"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49" s="69">
        <f>Таблица2[[#This Row],[Площадь, м2]]*Таблица2[[#This Row],[Капитальность]]</f>
        <v>257.19119999999998</v>
      </c>
      <c r="Z49" s="389">
        <f>Y49*Таблица2[[#This Row],[Капитальность]]</f>
        <v>0</v>
      </c>
      <c r="AA49" s="389"/>
    </row>
    <row r="50" spans="1:27" ht="71.25">
      <c r="A50" s="56" t="s">
        <v>303</v>
      </c>
      <c r="B50" s="57">
        <v>110</v>
      </c>
      <c r="C50" s="65" t="s">
        <v>125</v>
      </c>
      <c r="D50" s="58" t="s">
        <v>87</v>
      </c>
      <c r="E50" s="64" t="s">
        <v>70</v>
      </c>
      <c r="F50" s="61" cm="1">
        <f t="array" ref="F50">_xlfn.XLOOKUP(1,(Таблица2[[#This Row],[Тип]]=коэф_произв[Тип])*(Таблица2[[#This Row],[Высота]]=коэф_произв[Значение])*('Таблица объектов'!E$1=коэф_произв[Характеристика]),коэф_произв[Коэффициент],"",0)</f>
        <v>0.7</v>
      </c>
      <c r="G50" s="59"/>
      <c r="H50" s="61" t="str" cm="1">
        <f t="array" ref="H50">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50" s="59" t="s">
        <v>56</v>
      </c>
      <c r="J50" s="61" cm="1">
        <f t="array" ref="J50">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0.8</v>
      </c>
      <c r="K50" s="59"/>
      <c r="L50" s="61" t="str" cm="1">
        <f t="array" ref="L50">_xlfn.XLOOKUP(1,(Таблица2[[#This Row],[Тип]]=коэф_произв[Тип])*(Таблица2[[#This Row],[Полы]]=коэф_произв[Значение])*('Таблица объектов'!K$1=коэф_произв[Характеристика]),коэф_произв[Коэффициент],"",0)</f>
        <v/>
      </c>
      <c r="M50" s="59" t="s">
        <v>17</v>
      </c>
      <c r="N50" s="61" cm="1">
        <f t="array" ref="N50">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0" s="59" t="s">
        <v>54</v>
      </c>
      <c r="P50" s="61" cm="1">
        <f t="array" ref="P50">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0.9</v>
      </c>
      <c r="Q50" s="58" t="s">
        <v>60</v>
      </c>
      <c r="R50" s="61" cm="1">
        <f t="array" ref="R50">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v>
      </c>
      <c r="S50" s="59" t="s">
        <v>64</v>
      </c>
      <c r="T50" s="61" cm="1">
        <f t="array" ref="T50">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50"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0.25401600000000008</v>
      </c>
      <c r="V50"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4</v>
      </c>
      <c r="W50" s="69">
        <f>Таблица2[[#This Row],[Площадь, м2]]*Таблица2[[#This Row],[Капитальность]]</f>
        <v>27.941760000000009</v>
      </c>
      <c r="Z50" s="389">
        <f>Y50*Таблица2[[#This Row],[Капитальность]]</f>
        <v>0</v>
      </c>
      <c r="AA50" s="389"/>
    </row>
    <row r="51" spans="1:27" ht="85.5">
      <c r="A51" s="56" t="s">
        <v>303</v>
      </c>
      <c r="B51" s="57">
        <v>1300</v>
      </c>
      <c r="C51" s="65" t="s">
        <v>119</v>
      </c>
      <c r="D51" s="58" t="s">
        <v>88</v>
      </c>
      <c r="E51" s="64" t="s">
        <v>22</v>
      </c>
      <c r="F51" s="61" cm="1">
        <f t="array" ref="F51">_xlfn.XLOOKUP(1,(Таблица2[[#This Row],[Тип]]=коэф_произв[Тип])*(Таблица2[[#This Row],[Высота]]=коэф_произв[Значение])*('Таблица объектов'!E$1=коэф_произв[Характеристика]),коэф_произв[Коэффициент],"",0)</f>
        <v>1</v>
      </c>
      <c r="G51" s="59" t="s">
        <v>9</v>
      </c>
      <c r="H51" s="61" cm="1">
        <f t="array" ref="H51">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51" s="59" t="s">
        <v>35</v>
      </c>
      <c r="J51" s="61" cm="1">
        <f t="array" ref="J51">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51" s="59" t="s">
        <v>12</v>
      </c>
      <c r="L51" s="61" cm="1">
        <f t="array" ref="L51">_xlfn.XLOOKUP(1,(Таблица2[[#This Row],[Тип]]=коэф_произв[Тип])*(Таблица2[[#This Row],[Полы]]=коэф_произв[Значение])*('Таблица объектов'!K$1=коэф_произв[Характеристика]),коэф_произв[Коэффициент],"",0)</f>
        <v>0.9</v>
      </c>
      <c r="M51" s="59" t="s">
        <v>17</v>
      </c>
      <c r="N51" s="61" cm="1">
        <f t="array" ref="N51">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1" s="59"/>
      <c r="P51" s="61" t="str" cm="1">
        <f t="array" ref="P51">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51" s="58"/>
      <c r="R51" s="61" t="str" cm="1">
        <f t="array" ref="R51">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51" s="59"/>
      <c r="T51" s="61" t="str" cm="1">
        <f t="array" ref="T51">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51"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0.32400000000000007</v>
      </c>
      <c r="V51"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51" s="69">
        <f>Таблица2[[#This Row],[Площадь, м2]]*Таблица2[[#This Row],[Капитальность]]</f>
        <v>421.2000000000001</v>
      </c>
      <c r="Z51" s="389">
        <f>Y51*Таблица2[[#This Row],[Капитальность]]</f>
        <v>0</v>
      </c>
      <c r="AA51" s="389"/>
    </row>
    <row r="52" spans="1:27" ht="85.5">
      <c r="A52" s="56" t="s">
        <v>303</v>
      </c>
      <c r="B52" s="57">
        <v>460</v>
      </c>
      <c r="C52" s="65" t="s">
        <v>119</v>
      </c>
      <c r="D52" s="58" t="s">
        <v>88</v>
      </c>
      <c r="E52" s="64" t="s">
        <v>5</v>
      </c>
      <c r="F52" s="61" cm="1">
        <f t="array" ref="F52">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52" s="59" t="s">
        <v>9</v>
      </c>
      <c r="H52" s="61" cm="1">
        <f t="array" ref="H52">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52" s="59" t="s">
        <v>35</v>
      </c>
      <c r="J52" s="61" cm="1">
        <f t="array" ref="J52">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52" s="59" t="s">
        <v>12</v>
      </c>
      <c r="L52" s="61" cm="1">
        <f t="array" ref="L52">_xlfn.XLOOKUP(1,(Таблица2[[#This Row],[Тип]]=коэф_произв[Тип])*(Таблица2[[#This Row],[Полы]]=коэф_произв[Значение])*('Таблица объектов'!K$1=коэф_произв[Характеристика]),коэф_произв[Коэффициент],"",0)</f>
        <v>0.9</v>
      </c>
      <c r="M52" s="59" t="s">
        <v>17</v>
      </c>
      <c r="N52" s="61" cm="1">
        <f t="array" ref="N52">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2" s="59"/>
      <c r="P52" s="61" t="str" cm="1">
        <f t="array" ref="P52">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52" s="58"/>
      <c r="R52" s="61" t="str" cm="1">
        <f t="array" ref="R52">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52" s="59"/>
      <c r="T52" s="61" t="str" cm="1">
        <f t="array" ref="T52">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52"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0.25920000000000004</v>
      </c>
      <c r="V52"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52" s="69">
        <f>Таблица2[[#This Row],[Площадь, м2]]*Таблица2[[#This Row],[Капитальность]]</f>
        <v>119.23200000000001</v>
      </c>
      <c r="Z52" s="389">
        <f>Y52*Таблица2[[#This Row],[Капитальность]]</f>
        <v>0</v>
      </c>
      <c r="AA52" s="389"/>
    </row>
    <row r="53" spans="1:27" ht="71.25">
      <c r="A53" s="56" t="s">
        <v>150</v>
      </c>
      <c r="B53" s="57">
        <v>500</v>
      </c>
      <c r="C53" s="65" t="s">
        <v>125</v>
      </c>
      <c r="D53" s="58" t="s">
        <v>87</v>
      </c>
      <c r="E53" s="64" t="s">
        <v>70</v>
      </c>
      <c r="F53" s="61" cm="1">
        <f t="array" ref="F53">_xlfn.XLOOKUP(1,(Таблица2[[#This Row],[Тип]]=коэф_произв[Тип])*(Таблица2[[#This Row],[Высота]]=коэф_произв[Значение])*('Таблица объектов'!E$1=коэф_произв[Характеристика]),коэф_произв[Коэффициент],"",0)</f>
        <v>0.7</v>
      </c>
      <c r="G53" s="59"/>
      <c r="H53" s="61" t="str" cm="1">
        <f t="array" ref="H53">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53" s="59" t="s">
        <v>57</v>
      </c>
      <c r="J53" s="61" cm="1">
        <f t="array" ref="J53">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1</v>
      </c>
      <c r="K53" s="59"/>
      <c r="L53" s="61" t="str" cm="1">
        <f t="array" ref="L53">_xlfn.XLOOKUP(1,(Таблица2[[#This Row],[Тип]]=коэф_произв[Тип])*(Таблица2[[#This Row],[Полы]]=коэф_произв[Значение])*('Таблица объектов'!K$1=коэф_произв[Характеристика]),коэф_произв[Коэффициент],"",0)</f>
        <v/>
      </c>
      <c r="M53" s="59" t="s">
        <v>17</v>
      </c>
      <c r="N53" s="61" cm="1">
        <f t="array" ref="N53">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3" s="59" t="s">
        <v>52</v>
      </c>
      <c r="P53" s="61" cm="1">
        <f t="array" ref="P53">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0.8</v>
      </c>
      <c r="Q53" s="58" t="s">
        <v>58</v>
      </c>
      <c r="R53" s="61" cm="1">
        <f t="array" ref="R53">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53" s="59" t="s">
        <v>64</v>
      </c>
      <c r="T53" s="61" cm="1">
        <f t="array" ref="T53">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53"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0.29791999999999996</v>
      </c>
      <c r="V53"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4</v>
      </c>
      <c r="W53" s="69">
        <f>Таблица2[[#This Row],[Площадь, м2]]*Таблица2[[#This Row],[Капитальность]]</f>
        <v>148.95999999999998</v>
      </c>
      <c r="Z53" s="389">
        <f>Y53*Таблица2[[#This Row],[Капитальность]]</f>
        <v>0</v>
      </c>
      <c r="AA53" s="389"/>
    </row>
    <row r="54" spans="1:27" ht="71.25">
      <c r="A54" s="56" t="s">
        <v>150</v>
      </c>
      <c r="B54" s="57">
        <v>700</v>
      </c>
      <c r="C54" s="65" t="s">
        <v>119</v>
      </c>
      <c r="D54" s="58" t="s">
        <v>88</v>
      </c>
      <c r="E54" s="64" t="s">
        <v>22</v>
      </c>
      <c r="F54" s="61" cm="1">
        <f t="array" ref="F54">_xlfn.XLOOKUP(1,(Таблица2[[#This Row],[Тип]]=коэф_произв[Тип])*(Таблица2[[#This Row],[Высота]]=коэф_произв[Значение])*('Таблица объектов'!E$1=коэф_произв[Характеристика]),коэф_произв[Коэффициент],"",0)</f>
        <v>1</v>
      </c>
      <c r="G54" s="59" t="s">
        <v>40</v>
      </c>
      <c r="H54" s="61" cm="1">
        <f t="array" ref="H54">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0.95</v>
      </c>
      <c r="I54" s="59" t="s">
        <v>36</v>
      </c>
      <c r="J54" s="61" cm="1">
        <f t="array" ref="J54">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0.7</v>
      </c>
      <c r="K54" s="59" t="s">
        <v>12</v>
      </c>
      <c r="L54" s="61" cm="1">
        <f t="array" ref="L54">_xlfn.XLOOKUP(1,(Таблица2[[#This Row],[Тип]]=коэф_произв[Тип])*(Таблица2[[#This Row],[Полы]]=коэф_произв[Значение])*('Таблица объектов'!K$1=коэф_произв[Характеристика]),коэф_произв[Коэффициент],"",0)</f>
        <v>0.9</v>
      </c>
      <c r="M54" s="59" t="s">
        <v>17</v>
      </c>
      <c r="N54" s="61" cm="1">
        <f t="array" ref="N54">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4" s="59"/>
      <c r="P54" s="61" t="str" cm="1">
        <f t="array" ref="P54">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54" s="58"/>
      <c r="R54" s="61" t="str" cm="1">
        <f t="array" ref="R54">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54" s="59"/>
      <c r="T54" s="61" t="str" cm="1">
        <f t="array" ref="T54">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54" s="61">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0.4788</v>
      </c>
      <c r="V54" s="61"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54" s="69">
        <f>Таблица2[[#This Row],[Площадь, м2]]*Таблица2[[#This Row],[Капитальность]]</f>
        <v>335.16</v>
      </c>
      <c r="Z54" s="389">
        <f>Y54*Таблица2[[#This Row],[Капитальность]]</f>
        <v>0</v>
      </c>
      <c r="AA54" s="389"/>
    </row>
    <row r="55" spans="1:27" ht="85.5">
      <c r="A55" s="272" t="s">
        <v>150</v>
      </c>
      <c r="B55" s="273">
        <v>122</v>
      </c>
      <c r="C55" s="65" t="s">
        <v>119</v>
      </c>
      <c r="D55" s="274" t="s">
        <v>88</v>
      </c>
      <c r="E55" s="275" t="s">
        <v>4</v>
      </c>
      <c r="F55" s="276" cm="1">
        <f t="array" ref="F55">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55" s="277" t="s">
        <v>9</v>
      </c>
      <c r="H55" s="276" cm="1">
        <f t="array" ref="H55">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55" s="277" t="s">
        <v>35</v>
      </c>
      <c r="J55" s="276" cm="1">
        <f t="array" ref="J55">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0.5</v>
      </c>
      <c r="K55" s="277" t="s">
        <v>12</v>
      </c>
      <c r="L55" s="276" cm="1">
        <f t="array" ref="L55">_xlfn.XLOOKUP(1,(Таблица2[[#This Row],[Тип]]=коэф_произв[Тип])*(Таблица2[[#This Row],[Полы]]=коэф_произв[Значение])*('Таблица объектов'!K$1=коэф_произв[Характеристика]),коэф_произв[Коэффициент],"",0)</f>
        <v>0.9</v>
      </c>
      <c r="M55" s="277" t="s">
        <v>17</v>
      </c>
      <c r="N55" s="276" cm="1">
        <f t="array" ref="N55">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5" s="277"/>
      <c r="P55" s="276" t="str" cm="1">
        <f t="array" ref="P55">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55" s="274"/>
      <c r="R55" s="276" t="str" cm="1">
        <f t="array" ref="R55">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55" s="277"/>
      <c r="T55" s="276" t="str" cm="1">
        <f t="array" ref="T55">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55" s="276">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0.19440000000000004</v>
      </c>
      <c r="V55" s="276"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4</v>
      </c>
      <c r="W55" s="69">
        <f>Таблица2[[#This Row],[Площадь, м2]]*Таблица2[[#This Row],[Капитальность]]</f>
        <v>23.716800000000006</v>
      </c>
      <c r="Z55" s="389">
        <f>Y55*Таблица2[[#This Row],[Капитальность]]</f>
        <v>0</v>
      </c>
      <c r="AA55" s="389"/>
    </row>
    <row r="56" spans="1:27" ht="15.75">
      <c r="A56" s="272" t="s">
        <v>150</v>
      </c>
      <c r="B56" s="273">
        <v>85</v>
      </c>
      <c r="C56" s="65" t="s">
        <v>110</v>
      </c>
      <c r="D56" s="274" t="s">
        <v>116</v>
      </c>
      <c r="E56" s="275"/>
      <c r="F56" s="276" t="str" cm="1">
        <f t="array" ref="F56">_xlfn.XLOOKUP(1,(Таблица2[[#This Row],[Тип]]=коэф_произв[Тип])*(Таблица2[[#This Row],[Высота]]=коэф_произв[Значение])*('Таблица объектов'!E$1=коэф_произв[Характеристика]),коэф_произв[Коэффициент],"",0)</f>
        <v/>
      </c>
      <c r="G56" s="277"/>
      <c r="H56" s="276" t="str" cm="1">
        <f t="array" ref="H56">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56" s="277"/>
      <c r="J56" s="276" t="str" cm="1">
        <f t="array" ref="J56">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
      </c>
      <c r="K56" s="277"/>
      <c r="L56" s="276" t="str" cm="1">
        <f t="array" ref="L56">_xlfn.XLOOKUP(1,(Таблица2[[#This Row],[Тип]]=коэф_произв[Тип])*(Таблица2[[#This Row],[Полы]]=коэф_произв[Значение])*('Таблица объектов'!K$1=коэф_произв[Характеристика]),коэф_произв[Коэффициент],"",0)</f>
        <v/>
      </c>
      <c r="M56" s="277"/>
      <c r="N56" s="276" t="str" cm="1">
        <f t="array" ref="N56">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
      </c>
      <c r="O56" s="277"/>
      <c r="P56" s="276" t="str" cm="1">
        <f t="array" ref="P56">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56" s="274"/>
      <c r="R56" s="276" t="str" cm="1">
        <f t="array" ref="R56">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56" s="277"/>
      <c r="T56" s="276" t="str" cm="1">
        <f t="array" ref="T56">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56" s="276">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0.05</v>
      </c>
      <c r="V56" s="276"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прочие</v>
      </c>
      <c r="W56" s="69">
        <f>Таблица2[[#This Row],[Площадь, м2]]*Таблица2[[#This Row],[Капитальность]]</f>
        <v>4.25</v>
      </c>
      <c r="Z56" s="389">
        <f>Y56*Таблица2[[#This Row],[Капитальность]]</f>
        <v>0</v>
      </c>
      <c r="AA56" s="389"/>
    </row>
    <row r="57" spans="1:27" ht="71.25">
      <c r="A57" s="272" t="s">
        <v>149</v>
      </c>
      <c r="B57" s="273">
        <v>23.1</v>
      </c>
      <c r="C57" s="65" t="s">
        <v>125</v>
      </c>
      <c r="D57" s="274" t="s">
        <v>87</v>
      </c>
      <c r="E57" s="275" t="s">
        <v>69</v>
      </c>
      <c r="F57" s="276" cm="1">
        <f t="array" ref="F57">_xlfn.XLOOKUP(1,(Таблица2[[#This Row],[Тип]]=коэф_произв[Тип])*(Таблица2[[#This Row],[Высота]]=коэф_произв[Значение])*('Таблица объектов'!E$1=коэф_произв[Характеристика]),коэф_произв[Коэффициент],"",0)</f>
        <v>0.6</v>
      </c>
      <c r="G57" s="277"/>
      <c r="H57" s="276" t="str" cm="1">
        <f t="array" ref="H57">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
      </c>
      <c r="I57" s="277" t="s">
        <v>56</v>
      </c>
      <c r="J57" s="276" cm="1">
        <f t="array" ref="J57">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0.8</v>
      </c>
      <c r="K57" s="277"/>
      <c r="L57" s="276" t="str" cm="1">
        <f t="array" ref="L57">_xlfn.XLOOKUP(1,(Таблица2[[#This Row],[Тип]]=коэф_произв[Тип])*(Таблица2[[#This Row],[Полы]]=коэф_произв[Значение])*('Таблица объектов'!K$1=коэф_произв[Характеристика]),коэф_произв[Коэффициент],"",0)</f>
        <v/>
      </c>
      <c r="M57" s="277" t="s">
        <v>17</v>
      </c>
      <c r="N57" s="276" cm="1">
        <f t="array" ref="N57">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7" s="277" t="s">
        <v>54</v>
      </c>
      <c r="P57" s="276" cm="1">
        <f t="array" ref="P57">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0.9</v>
      </c>
      <c r="Q57" s="274" t="s">
        <v>58</v>
      </c>
      <c r="R57" s="276" cm="1">
        <f t="array" ref="R57">_xlfn.XLOOKUP(1,(Таблица2[[#This Row],[Тип]]=коэф_произв[Тип])*(Таблица2[[#This Row],[Планировка]]=коэф_произв[Значение])*('Таблица объектов'!Q$1=коэф_произв[Характеристика]),коэф_произв[Коэффициент],"",0)</f>
        <v>0.95</v>
      </c>
      <c r="S57" s="277" t="s">
        <v>64</v>
      </c>
      <c r="T57" s="276" cm="1">
        <f t="array" ref="T57">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0.7</v>
      </c>
      <c r="U57" s="276">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0.22982399999999997</v>
      </c>
      <c r="V57" s="276"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гражд класс 4</v>
      </c>
      <c r="W57" s="69">
        <f>Таблица2[[#This Row],[Площадь, м2]]*Таблица2[[#This Row],[Капитальность]]</f>
        <v>5.3089344000000001</v>
      </c>
      <c r="Z57" s="389">
        <f>Y57*Таблица2[[#This Row],[Капитальность]]</f>
        <v>0</v>
      </c>
      <c r="AA57" s="389"/>
    </row>
    <row r="58" spans="1:27" ht="63">
      <c r="A58" s="272" t="s">
        <v>149</v>
      </c>
      <c r="B58" s="273">
        <v>1776.9</v>
      </c>
      <c r="C58" s="65" t="s">
        <v>119</v>
      </c>
      <c r="D58" s="274" t="s">
        <v>88</v>
      </c>
      <c r="E58" s="275" t="s">
        <v>5</v>
      </c>
      <c r="F58" s="276" cm="1">
        <f t="array" ref="F58">_xlfn.XLOOKUP(1,(Таблица2[[#This Row],[Тип]]=коэф_произв[Тип])*(Таблица2[[#This Row],[Высота]]=коэф_произв[Значение])*('Таблица объектов'!E$1=коэф_произв[Характеристика]),коэф_произв[Коэффициент],"",0)</f>
        <v>0.8</v>
      </c>
      <c r="G58" s="277" t="s">
        <v>9</v>
      </c>
      <c r="H58" s="276" cm="1">
        <f t="array" ref="H58">_xlfn.XLOOKUP(1,(Таблица2[[#This Row],[Тип]]=коэф_произв[Тип])*(Таблица2[[#This Row],[Наличие / Возможность кран-балки]]=коэф_произв[Значение])*('Таблица объектов'!G$1=коэф_произв[Характеристика]),коэф_произв[Коэффициент],"",0)</f>
        <v>0.9</v>
      </c>
      <c r="I58" s="277" t="s">
        <v>37</v>
      </c>
      <c r="J58" s="276" cm="1">
        <f t="array" ref="J58">_xlfn.XLOOKUP(1,(Таблица2[[#This Row],[Тип]]=коэф_произв[Тип])*(Таблица2[[#This Row],[Конструкция]]=коэф_произв[Значение])*('Таблица объектов'!I$1=коэф_произв[Характеристика]),коэф_произв[Коэффициент],"",0)</f>
        <v>0.8</v>
      </c>
      <c r="K58" s="277" t="s">
        <v>13</v>
      </c>
      <c r="L58" s="276" cm="1">
        <f t="array" ref="L58">_xlfn.XLOOKUP(1,(Таблица2[[#This Row],[Тип]]=коэф_произв[Тип])*(Таблица2[[#This Row],[Полы]]=коэф_произв[Значение])*('Таблица объектов'!K$1=коэф_произв[Характеристика]),коэф_произв[Коэффициент],"",0)</f>
        <v>1</v>
      </c>
      <c r="M58" s="277" t="s">
        <v>17</v>
      </c>
      <c r="N58" s="276" cm="1">
        <f t="array" ref="N58">_xlfn.XLOOKUP(1,(Таблица2[[#This Row],[Тип]]=коэф_произв[Тип])*(Таблица2[[#This Row],[Инженерное оснащение]]=коэф_произв[Значение])*('Таблица объектов'!M$1=коэф_произв[Характеристика]),коэф_произв[Коэффициент],"",0)</f>
        <v>0.8</v>
      </c>
      <c r="O58" s="277"/>
      <c r="P58" s="276" t="str" cm="1">
        <f t="array" ref="P58">_xlfn.XLOOKUP(1,(Таблица2[[#This Row],[Тип]]=коэф_произв[Тип])*(Таблица2[[#This Row],[Архитектура]]=коэф_произв[Значение])*('Таблица объектов'!O$1=коэф_произв[Характеристика]),коэф_произв[Коэффициент],"",0)</f>
        <v/>
      </c>
      <c r="Q58" s="274"/>
      <c r="R58" s="276" t="str" cm="1">
        <f t="array" ref="R58">_xlfn.XLOOKUP(1,(Таблица2[[#This Row],[Тип]]=коэф_произв[Тип])*(Таблица2[[#This Row],[Планировка]]=коэф_произв[Значение])*('Таблица объектов'!Q$1=коэф_произв[Характеристика]),коэф_произв[Коэффициент],"",0)</f>
        <v/>
      </c>
      <c r="S58" s="277"/>
      <c r="T58" s="276" t="str" cm="1">
        <f t="array" ref="T58">_xlfn.XLOOKUP(1,(Таблица2[[#This Row],[Тип]]=коэф_произв[Тип])*(Таблица2[[#This Row],[Уровень отделки]]=коэф_произв[Значение])*('Таблица объектов'!S$1=коэф_произв[Характеристика]),коэф_произв[Коэффициент],"",0)</f>
        <v/>
      </c>
      <c r="U58" s="276">
        <f>IF(Таблица2[[#This Row],[Тип]]="прочие",0.05,PRODUCT(Таблица2[[#This Row],[Уровень отделки коэф.]],Таблица2[[#This Row],[Планировка коэф.]],Таблица2[[#This Row],[Архитектура коэф.]],Таблица2[[#This Row],[Инженерное оснащение коэф.]],Таблица2[[#This Row],[Полы коэф.]],Таблица2[[#This Row],[Конструкция коэф.]],Таблица2[[#This Row],[Наличие / Возможность кран-балки коэф.]],Таблица2[[#This Row],[Высота коэф.]]))</f>
        <v>0.46080000000000015</v>
      </c>
      <c r="V58" s="276" t="str">
        <f>IF(Таблица2[[#This Row],[Тип]]="произв",IF(Таблица2[[#This Row],[Капитальность]]&lt;0.33,"произв класс 4",IF(Таблица2[[#This Row],[Капитальность]]&lt;0.55,"произв класс 3",IF(Таблица2[[#This Row],[Капитальность]]&lt;0.77,"произв класс 2","произв класс 1"))),IF(Таблица2[[#This Row],[Тип]]="гражд",IF(Таблица2[[#This Row],[Капитальность]]&lt;0.33,"гражд класс 4",IF(Таблица2[[#This Row],[Капитальность]]&lt;0.55,"гражд класс 3",IF(Таблица2[[#This Row],[Капитальность]]&lt;0.77,"гражд класс 2","гражд класс 1"))),"прочие"))</f>
        <v>произв класс 3</v>
      </c>
      <c r="W58" s="69">
        <f>Таблица2[[#This Row],[Площадь, м2]]*Таблица2[[#This Row],[Капитальность]]</f>
        <v>818.79552000000035</v>
      </c>
      <c r="Z58" s="389">
        <f>Y58*Таблица2[[#This Row],[Капитальность]]</f>
        <v>0</v>
      </c>
      <c r="AA58" s="389"/>
    </row>
    <row r="59" spans="1:27" ht="15.75">
      <c r="A59" s="171"/>
      <c r="B59" s="172"/>
      <c r="C59" s="173"/>
      <c r="D59" s="174"/>
      <c r="E59" s="175"/>
      <c r="F59" s="176"/>
      <c r="G59" s="177"/>
      <c r="H59" s="176"/>
      <c r="I59" s="177"/>
      <c r="J59" s="176"/>
      <c r="K59" s="177"/>
      <c r="L59" s="176"/>
      <c r="M59" s="177"/>
      <c r="N59" s="176"/>
      <c r="O59" s="177"/>
      <c r="P59" s="176"/>
      <c r="Q59" s="174"/>
      <c r="R59" s="176"/>
      <c r="S59" s="177"/>
      <c r="T59" s="176"/>
      <c r="U59" s="176"/>
      <c r="V59" s="176"/>
    </row>
    <row r="60" spans="1:27" ht="15.75">
      <c r="A60" s="171"/>
      <c r="B60" s="172"/>
      <c r="C60" s="173"/>
      <c r="D60" s="174"/>
      <c r="E60" s="175"/>
      <c r="F60" s="176"/>
      <c r="G60" s="177"/>
      <c r="H60" s="176"/>
      <c r="I60" s="177"/>
      <c r="J60" s="176"/>
      <c r="K60" s="177"/>
      <c r="L60" s="176"/>
      <c r="M60" s="177"/>
      <c r="N60" s="176"/>
      <c r="O60" s="177"/>
      <c r="P60" s="176"/>
      <c r="Q60" s="174"/>
      <c r="R60" s="176"/>
      <c r="S60" s="177"/>
      <c r="T60" s="176"/>
      <c r="U60" s="176"/>
      <c r="V60" s="176"/>
    </row>
    <row r="61" spans="1:27" ht="15.75">
      <c r="A61" s="171"/>
      <c r="B61" s="172"/>
      <c r="C61" s="173"/>
      <c r="D61" s="174"/>
      <c r="E61" s="175"/>
      <c r="F61" s="176"/>
      <c r="G61" s="177"/>
      <c r="H61" s="176"/>
      <c r="I61" s="177"/>
      <c r="J61" s="176"/>
      <c r="K61" s="177"/>
      <c r="L61" s="176"/>
      <c r="M61" s="177"/>
      <c r="N61" s="176"/>
      <c r="O61" s="177"/>
      <c r="P61" s="176"/>
      <c r="Q61" s="174"/>
      <c r="R61" s="176"/>
      <c r="S61" s="177"/>
      <c r="T61" s="176"/>
      <c r="U61" s="176"/>
      <c r="V61" s="176"/>
    </row>
    <row r="62" spans="1:27" ht="15.75">
      <c r="A62" s="171"/>
      <c r="B62" s="172"/>
      <c r="C62" s="173"/>
      <c r="D62" s="174"/>
      <c r="E62" s="175"/>
      <c r="F62" s="176"/>
      <c r="G62" s="177"/>
      <c r="H62" s="176"/>
      <c r="I62" s="177"/>
      <c r="J62" s="176"/>
      <c r="K62" s="177"/>
      <c r="L62" s="176"/>
      <c r="M62" s="177"/>
      <c r="N62" s="176"/>
      <c r="O62" s="177"/>
      <c r="P62" s="176"/>
      <c r="Q62" s="174"/>
      <c r="R62" s="176"/>
      <c r="S62" s="177"/>
      <c r="T62" s="176"/>
      <c r="U62" s="176"/>
      <c r="V62" s="176"/>
    </row>
    <row r="63" spans="1:27" ht="15.75">
      <c r="A63" s="171"/>
      <c r="B63" s="172"/>
      <c r="C63" s="173"/>
      <c r="D63" s="174"/>
      <c r="E63" s="175"/>
      <c r="F63" s="176"/>
      <c r="G63" s="177"/>
      <c r="H63" s="176"/>
      <c r="I63" s="177"/>
      <c r="J63" s="176"/>
      <c r="K63" s="177"/>
      <c r="L63" s="176"/>
      <c r="M63" s="177"/>
      <c r="N63" s="176"/>
      <c r="O63" s="177"/>
      <c r="P63" s="176"/>
      <c r="Q63" s="174"/>
      <c r="R63" s="176"/>
      <c r="S63" s="177"/>
      <c r="T63" s="176"/>
      <c r="U63" s="176"/>
      <c r="V63" s="176"/>
    </row>
    <row r="64" spans="1:27" ht="15.75">
      <c r="A64" s="171"/>
      <c r="B64" s="172"/>
      <c r="C64" s="173"/>
      <c r="D64" s="174"/>
      <c r="E64" s="175"/>
      <c r="F64" s="176"/>
      <c r="G64" s="177"/>
      <c r="H64" s="176"/>
      <c r="I64" s="177"/>
      <c r="J64" s="176"/>
      <c r="K64" s="177"/>
      <c r="L64" s="176"/>
      <c r="M64" s="177"/>
      <c r="N64" s="176"/>
      <c r="O64" s="177"/>
      <c r="P64" s="176"/>
      <c r="Q64" s="174"/>
      <c r="R64" s="176"/>
      <c r="S64" s="177"/>
      <c r="T64" s="176"/>
      <c r="U64" s="176"/>
      <c r="V64" s="176"/>
    </row>
    <row r="66" spans="1:11" ht="28.5">
      <c r="A66" s="444" t="s">
        <v>650</v>
      </c>
      <c r="B66" s="445" t="s">
        <v>132</v>
      </c>
      <c r="C66" s="445" t="s">
        <v>131</v>
      </c>
      <c r="D66" s="445" t="s">
        <v>130</v>
      </c>
      <c r="E66" s="445" t="s">
        <v>129</v>
      </c>
      <c r="F66" s="445" t="s">
        <v>136</v>
      </c>
      <c r="G66" s="445" t="s">
        <v>135</v>
      </c>
      <c r="H66" s="445" t="s">
        <v>134</v>
      </c>
      <c r="I66" s="445" t="s">
        <v>133</v>
      </c>
      <c r="J66" s="446" t="s">
        <v>116</v>
      </c>
      <c r="K66" s="68" t="s">
        <v>652</v>
      </c>
    </row>
    <row r="67" spans="1:11">
      <c r="A67" s="58" t="s">
        <v>99</v>
      </c>
      <c r="B67" s="178" cm="1">
        <f t="array" ref="B67">SUMIFS(Площадь,Объект_оценки_аналог,$A67,Класс,B$66)</f>
        <v>11633.8</v>
      </c>
      <c r="C67" s="178" cm="1">
        <f t="array" ref="C67">SUMIFS(Площадь,Объект_оценки_аналог,$A67,Класс,C$66)</f>
        <v>9671.5</v>
      </c>
      <c r="D67" s="178" cm="1">
        <f t="array" ref="D67">SUMIFS(Площадь,Объект_оценки_аналог,$A67,Класс,D$66)</f>
        <v>0</v>
      </c>
      <c r="E67" s="178" cm="1">
        <f t="array" ref="E67">SUMIFS(Площадь,Объект_оценки_аналог,$A67,Класс,E$66)</f>
        <v>0</v>
      </c>
      <c r="F67" s="178" cm="1">
        <f t="array" ref="F67">SUMIFS(Площадь,Объект_оценки_аналог,$A67,Класс,F$66)</f>
        <v>155.9</v>
      </c>
      <c r="G67" s="178" cm="1">
        <f t="array" ref="G67">SUMIFS(Площадь,Объект_оценки_аналог,$A67,Класс,G$66)</f>
        <v>0</v>
      </c>
      <c r="H67" s="178" cm="1">
        <f t="array" ref="H67">SUMIFS(Площадь,Объект_оценки_аналог,$A67,Класс,H$66)</f>
        <v>0</v>
      </c>
      <c r="I67" s="178" cm="1">
        <f t="array" ref="I67">SUMIFS(Площадь,Объект_оценки_аналог,$A67,Класс,I$66)</f>
        <v>0</v>
      </c>
      <c r="J67" s="178" cm="1">
        <f t="array" ref="J67">SUMIFS(Площадь,Объект_оценки_аналог,$A67,Класс,J$66)</f>
        <v>0</v>
      </c>
      <c r="K67" s="72">
        <f>SUM(B67:J67)</f>
        <v>21461.200000000001</v>
      </c>
    </row>
    <row r="68" spans="1:11">
      <c r="A68" s="58" t="s">
        <v>103</v>
      </c>
      <c r="B68" s="178" cm="1">
        <f t="array" ref="B68">SUMIFS(Площадь,Объект_оценки_аналог,$A68,Класс,B$66)</f>
        <v>0</v>
      </c>
      <c r="C68" s="178" cm="1">
        <f t="array" ref="C68">SUMIFS(Площадь,Объект_оценки_аналог,$A68,Класс,C$66)</f>
        <v>19040.5</v>
      </c>
      <c r="D68" s="178" cm="1">
        <f t="array" ref="D68">SUMIFS(Площадь,Объект_оценки_аналог,$A68,Класс,D$66)</f>
        <v>0</v>
      </c>
      <c r="E68" s="178" cm="1">
        <f t="array" ref="E68">SUMIFS(Площадь,Объект_оценки_аналог,$A68,Класс,E$66)</f>
        <v>0</v>
      </c>
      <c r="F68" s="178" cm="1">
        <f t="array" ref="F68">SUMIFS(Площадь,Объект_оценки_аналог,$A68,Класс,F$66)</f>
        <v>0</v>
      </c>
      <c r="G68" s="178" cm="1">
        <f t="array" ref="G68">SUMIFS(Площадь,Объект_оценки_аналог,$A68,Класс,G$66)</f>
        <v>949.5</v>
      </c>
      <c r="H68" s="178" cm="1">
        <f t="array" ref="H68">SUMIFS(Площадь,Объект_оценки_аналог,$A68,Класс,H$66)</f>
        <v>0</v>
      </c>
      <c r="I68" s="178" cm="1">
        <f t="array" ref="I68">SUMIFS(Площадь,Объект_оценки_аналог,$A68,Класс,I$66)</f>
        <v>0</v>
      </c>
      <c r="J68" s="178" cm="1">
        <f t="array" ref="J68">SUMIFS(Площадь,Объект_оценки_аналог,$A68,Класс,J$66)</f>
        <v>0</v>
      </c>
      <c r="K68" s="72">
        <f t="shared" ref="K68:K78" si="1">SUM(B68:J68)</f>
        <v>19990</v>
      </c>
    </row>
    <row r="69" spans="1:11">
      <c r="A69" s="58" t="s">
        <v>106</v>
      </c>
      <c r="B69" s="178" cm="1">
        <f t="array" ref="B69">SUMIFS(Площадь,Объект_оценки_аналог,$A69,Класс,B$66)</f>
        <v>216.57999999999998</v>
      </c>
      <c r="C69" s="178" cm="1">
        <f t="array" ref="C69">SUMIFS(Площадь,Объект_оценки_аналог,$A69,Класс,C$66)</f>
        <v>11689.699999999999</v>
      </c>
      <c r="D69" s="178" cm="1">
        <f t="array" ref="D69">SUMIFS(Площадь,Объект_оценки_аналог,$A69,Класс,D$66)</f>
        <v>0</v>
      </c>
      <c r="E69" s="178" cm="1">
        <f t="array" ref="E69">SUMIFS(Площадь,Объект_оценки_аналог,$A69,Класс,E$66)</f>
        <v>0</v>
      </c>
      <c r="F69" s="178" cm="1">
        <f t="array" ref="F69">SUMIFS(Площадь,Объект_оценки_аналог,$A69,Класс,F$66)</f>
        <v>59.79</v>
      </c>
      <c r="G69" s="178" cm="1">
        <f t="array" ref="G69">SUMIFS(Площадь,Объект_оценки_аналог,$A69,Класс,G$66)</f>
        <v>4524.2999999999993</v>
      </c>
      <c r="H69" s="178" cm="1">
        <f t="array" ref="H69">SUMIFS(Площадь,Объект_оценки_аналог,$A69,Класс,H$66)</f>
        <v>0</v>
      </c>
      <c r="I69" s="178" cm="1">
        <f t="array" ref="I69">SUMIFS(Площадь,Объект_оценки_аналог,$A69,Класс,I$66)</f>
        <v>0</v>
      </c>
      <c r="J69" s="178" cm="1">
        <f t="array" ref="J69">SUMIFS(Площадь,Объект_оценки_аналог,$A69,Класс,J$66)</f>
        <v>598.26499999999999</v>
      </c>
      <c r="K69" s="72">
        <f t="shared" si="1"/>
        <v>17088.634999999998</v>
      </c>
    </row>
    <row r="70" spans="1:11">
      <c r="A70" s="58" t="s">
        <v>117</v>
      </c>
      <c r="B70" s="178" cm="1">
        <f t="array" ref="B70">SUMIFS(Площадь,Объект_оценки_аналог,$A70,Класс,B$66)</f>
        <v>138.69999999999999</v>
      </c>
      <c r="C70" s="178" cm="1">
        <f t="array" ref="C70">SUMIFS(Площадь,Объект_оценки_аналог,$A70,Класс,C$66)</f>
        <v>4519.7000000000007</v>
      </c>
      <c r="D70" s="178" cm="1">
        <f t="array" ref="D70">SUMIFS(Площадь,Объект_оценки_аналог,$A70,Класс,D$66)</f>
        <v>1576.1</v>
      </c>
      <c r="E70" s="178" cm="1">
        <f t="array" ref="E70">SUMIFS(Площадь,Объект_оценки_аналог,$A70,Класс,E$66)</f>
        <v>0</v>
      </c>
      <c r="F70" s="178" cm="1">
        <f t="array" ref="F70">SUMIFS(Площадь,Объект_оценки_аналог,$A70,Класс,F$66)</f>
        <v>24.82</v>
      </c>
      <c r="G70" s="178" cm="1">
        <f t="array" ref="G70">SUMIFS(Площадь,Объект_оценки_аналог,$A70,Класс,G$66)</f>
        <v>221.2</v>
      </c>
      <c r="H70" s="178" cm="1">
        <f t="array" ref="H70">SUMIFS(Площадь,Объект_оценки_аналог,$A70,Класс,H$66)</f>
        <v>0</v>
      </c>
      <c r="I70" s="178" cm="1">
        <f t="array" ref="I70">SUMIFS(Площадь,Объект_оценки_аналог,$A70,Класс,I$66)</f>
        <v>0</v>
      </c>
      <c r="J70" s="178" cm="1">
        <f t="array" ref="J70">SUMIFS(Площадь,Объект_оценки_аналог,$A70,Класс,J$66)</f>
        <v>24.8</v>
      </c>
      <c r="K70" s="72">
        <f t="shared" si="1"/>
        <v>6505.32</v>
      </c>
    </row>
    <row r="71" spans="1:11">
      <c r="A71" s="58" t="s">
        <v>123</v>
      </c>
      <c r="B71" s="178" cm="1">
        <f t="array" ref="B71">SUMIFS(Площадь,Объект_оценки_аналог,$A71,Класс,B$66)</f>
        <v>2700</v>
      </c>
      <c r="C71" s="178" cm="1">
        <f t="array" ref="C71">SUMIFS(Площадь,Объект_оценки_аналог,$A71,Класс,C$66)</f>
        <v>0</v>
      </c>
      <c r="D71" s="178" cm="1">
        <f t="array" ref="D71">SUMIFS(Площадь,Объект_оценки_аналог,$A71,Класс,D$66)</f>
        <v>0</v>
      </c>
      <c r="E71" s="178" cm="1">
        <f t="array" ref="E71">SUMIFS(Площадь,Объект_оценки_аналог,$A71,Класс,E$66)</f>
        <v>0</v>
      </c>
      <c r="F71" s="178" cm="1">
        <f t="array" ref="F71">SUMIFS(Площадь,Объект_оценки_аналог,$A71,Класс,F$66)</f>
        <v>0</v>
      </c>
      <c r="G71" s="178" cm="1">
        <f t="array" ref="G71">SUMIFS(Площадь,Объект_оценки_аналог,$A71,Класс,G$66)</f>
        <v>0</v>
      </c>
      <c r="H71" s="178" cm="1">
        <f t="array" ref="H71">SUMIFS(Площадь,Объект_оценки_аналог,$A71,Класс,H$66)</f>
        <v>0</v>
      </c>
      <c r="I71" s="178" cm="1">
        <f t="array" ref="I71">SUMIFS(Площадь,Объект_оценки_аналог,$A71,Класс,I$66)</f>
        <v>0</v>
      </c>
      <c r="J71" s="178" cm="1">
        <f t="array" ref="J71">SUMIFS(Площадь,Объект_оценки_аналог,$A71,Класс,J$66)</f>
        <v>0</v>
      </c>
      <c r="K71" s="72">
        <f t="shared" si="1"/>
        <v>2700</v>
      </c>
    </row>
    <row r="72" spans="1:11">
      <c r="A72" s="58" t="s">
        <v>124</v>
      </c>
      <c r="B72" s="178" cm="1">
        <f t="array" ref="B72">SUMIFS(Площадь,Объект_оценки_аналог,$A72,Класс,B$66)</f>
        <v>1112.2</v>
      </c>
      <c r="C72" s="178" cm="1">
        <f t="array" ref="C72">SUMIFS(Площадь,Объект_оценки_аналог,$A72,Класс,C$66)</f>
        <v>5523.8</v>
      </c>
      <c r="D72" s="178" cm="1">
        <f t="array" ref="D72">SUMIFS(Площадь,Объект_оценки_аналог,$A72,Класс,D$66)</f>
        <v>0</v>
      </c>
      <c r="E72" s="178" cm="1">
        <f t="array" ref="E72">SUMIFS(Площадь,Объект_оценки_аналог,$A72,Класс,E$66)</f>
        <v>0</v>
      </c>
      <c r="F72" s="178" cm="1">
        <f t="array" ref="F72">SUMIFS(Площадь,Объект_оценки_аналог,$A72,Класс,F$66)</f>
        <v>0</v>
      </c>
      <c r="G72" s="178" cm="1">
        <f t="array" ref="G72">SUMIFS(Площадь,Объект_оценки_аналог,$A72,Класс,G$66)</f>
        <v>360</v>
      </c>
      <c r="H72" s="178" cm="1">
        <f t="array" ref="H72">SUMIFS(Площадь,Объект_оценки_аналог,$A72,Класс,H$66)</f>
        <v>0</v>
      </c>
      <c r="I72" s="178" cm="1">
        <f t="array" ref="I72">SUMIFS(Площадь,Объект_оценки_аналог,$A72,Класс,I$66)</f>
        <v>0</v>
      </c>
      <c r="J72" s="178" cm="1">
        <f t="array" ref="J72">SUMIFS(Площадь,Объект_оценки_аналог,$A72,Класс,J$66)</f>
        <v>0</v>
      </c>
      <c r="K72" s="72">
        <f t="shared" si="1"/>
        <v>6996</v>
      </c>
    </row>
    <row r="73" spans="1:11">
      <c r="A73" s="58" t="s">
        <v>126</v>
      </c>
      <c r="B73" s="178" cm="1">
        <f t="array" ref="B73">SUMIFS(Площадь,Объект_оценки_аналог,$A73,Класс,B$66)</f>
        <v>0</v>
      </c>
      <c r="C73" s="178" cm="1">
        <f t="array" ref="C73">SUMIFS(Площадь,Объект_оценки_аналог,$A73,Класс,C$66)</f>
        <v>0</v>
      </c>
      <c r="D73" s="178" cm="1">
        <f t="array" ref="D73">SUMIFS(Площадь,Объект_оценки_аналог,$A73,Класс,D$66)</f>
        <v>1947.1</v>
      </c>
      <c r="E73" s="178" cm="1">
        <f t="array" ref="E73">SUMIFS(Площадь,Объект_оценки_аналог,$A73,Класс,E$66)</f>
        <v>0</v>
      </c>
      <c r="F73" s="178" cm="1">
        <f t="array" ref="F73">SUMIFS(Площадь,Объект_оценки_аналог,$A73,Класс,F$66)</f>
        <v>0</v>
      </c>
      <c r="G73" s="178" cm="1">
        <f t="array" ref="G73">SUMIFS(Площадь,Объект_оценки_аналог,$A73,Класс,G$66)</f>
        <v>1390</v>
      </c>
      <c r="H73" s="178" cm="1">
        <f t="array" ref="H73">SUMIFS(Площадь,Объект_оценки_аналог,$A73,Класс,H$66)</f>
        <v>0</v>
      </c>
      <c r="I73" s="178" cm="1">
        <f t="array" ref="I73">SUMIFS(Площадь,Объект_оценки_аналог,$A73,Класс,I$66)</f>
        <v>0</v>
      </c>
      <c r="J73" s="178" cm="1">
        <f t="array" ref="J73">SUMIFS(Площадь,Объект_оценки_аналог,$A73,Класс,J$66)</f>
        <v>0</v>
      </c>
      <c r="K73" s="72">
        <f t="shared" si="1"/>
        <v>3337.1</v>
      </c>
    </row>
    <row r="74" spans="1:11">
      <c r="A74" s="58" t="s">
        <v>127</v>
      </c>
      <c r="B74" s="178" cm="1">
        <f t="array" ref="B74">SUMIFS(Площадь,Объект_оценки_аналог,$A74,Класс,B$66)</f>
        <v>4822.3</v>
      </c>
      <c r="C74" s="178" cm="1">
        <f t="array" ref="C74">SUMIFS(Площадь,Объект_оценки_аналог,$A74,Класс,C$66)</f>
        <v>0</v>
      </c>
      <c r="D74" s="178" cm="1">
        <f t="array" ref="D74">SUMIFS(Площадь,Объект_оценки_аналог,$A74,Класс,D$66)</f>
        <v>0</v>
      </c>
      <c r="E74" s="178" cm="1">
        <f t="array" ref="E74">SUMIFS(Площадь,Объект_оценки_аналог,$A74,Класс,E$66)</f>
        <v>0</v>
      </c>
      <c r="F74" s="178" cm="1">
        <f t="array" ref="F74">SUMIFS(Площадь,Объект_оценки_аналог,$A74,Класс,F$66)</f>
        <v>0</v>
      </c>
      <c r="G74" s="178" cm="1">
        <f t="array" ref="G74">SUMIFS(Площадь,Объект_оценки_аналог,$A74,Класс,G$66)</f>
        <v>877.7</v>
      </c>
      <c r="H74" s="178" cm="1">
        <f t="array" ref="H74">SUMIFS(Площадь,Объект_оценки_аналог,$A74,Класс,H$66)</f>
        <v>0</v>
      </c>
      <c r="I74" s="178" cm="1">
        <f t="array" ref="I74">SUMIFS(Площадь,Объект_оценки_аналог,$A74,Класс,I$66)</f>
        <v>0</v>
      </c>
      <c r="J74" s="178" cm="1">
        <f t="array" ref="J74">SUMIFS(Площадь,Объект_оценки_аналог,$A74,Класс,J$66)</f>
        <v>0</v>
      </c>
      <c r="K74" s="72">
        <f t="shared" si="1"/>
        <v>5700</v>
      </c>
    </row>
    <row r="75" spans="1:11">
      <c r="A75" s="58" t="s">
        <v>128</v>
      </c>
      <c r="B75" s="178" cm="1">
        <f t="array" ref="B75">SUMIFS(Площадь,Объект_оценки_аналог,$A75,Класс,B$66)</f>
        <v>840</v>
      </c>
      <c r="C75" s="178" cm="1">
        <f t="array" ref="C75">SUMIFS(Площадь,Объект_оценки_аналог,$A75,Класс,C$66)</f>
        <v>1561.2</v>
      </c>
      <c r="D75" s="178" cm="1">
        <f t="array" ref="D75">SUMIFS(Площадь,Объект_оценки_аналог,$A75,Класс,D$66)</f>
        <v>0</v>
      </c>
      <c r="E75" s="178" cm="1">
        <f t="array" ref="E75">SUMIFS(Площадь,Объект_оценки_аналог,$A75,Класс,E$66)</f>
        <v>0</v>
      </c>
      <c r="F75" s="178" cm="1">
        <f t="array" ref="F75">SUMIFS(Площадь,Объект_оценки_аналог,$A75,Класс,F$66)</f>
        <v>0</v>
      </c>
      <c r="G75" s="178" cm="1">
        <f t="array" ref="G75">SUMIFS(Площадь,Объект_оценки_аналог,$A75,Класс,G$66)</f>
        <v>74.8</v>
      </c>
      <c r="H75" s="178" cm="1">
        <f t="array" ref="H75">SUMIFS(Площадь,Объект_оценки_аналог,$A75,Класс,H$66)</f>
        <v>0</v>
      </c>
      <c r="I75" s="178" cm="1">
        <f t="array" ref="I75">SUMIFS(Площадь,Объект_оценки_аналог,$A75,Класс,I$66)</f>
        <v>0</v>
      </c>
      <c r="J75" s="178" cm="1">
        <f t="array" ref="J75">SUMIFS(Площадь,Объект_оценки_аналог,$A75,Класс,J$66)</f>
        <v>0</v>
      </c>
      <c r="K75" s="72">
        <f t="shared" si="1"/>
        <v>2476</v>
      </c>
    </row>
    <row r="76" spans="1:11">
      <c r="A76" s="58" t="s">
        <v>303</v>
      </c>
      <c r="B76" s="178" cm="1">
        <f t="array" ref="B76">SUMIFS(Площадь,Объект_оценки_аналог,$A76,Класс,B$66)</f>
        <v>1760</v>
      </c>
      <c r="C76" s="178" cm="1">
        <f t="array" ref="C76">SUMIFS(Площадь,Объект_оценки_аналог,$A76,Класс,C$66)</f>
        <v>0</v>
      </c>
      <c r="D76" s="178" cm="1">
        <f t="array" ref="D76">SUMIFS(Площадь,Объект_оценки_аналог,$A76,Класс,D$66)</f>
        <v>0</v>
      </c>
      <c r="E76" s="178" cm="1">
        <f t="array" ref="E76">SUMIFS(Площадь,Объект_оценки_аналог,$A76,Класс,E$66)</f>
        <v>0</v>
      </c>
      <c r="F76" s="178" cm="1">
        <f t="array" ref="F76">SUMIFS(Площадь,Объект_оценки_аналог,$A76,Класс,F$66)</f>
        <v>110</v>
      </c>
      <c r="G76" s="178" cm="1">
        <f t="array" ref="G76">SUMIFS(Площадь,Объект_оценки_аналог,$A76,Класс,G$66)</f>
        <v>0</v>
      </c>
      <c r="H76" s="178" cm="1">
        <f t="array" ref="H76">SUMIFS(Площадь,Объект_оценки_аналог,$A76,Класс,H$66)</f>
        <v>0</v>
      </c>
      <c r="I76" s="178" cm="1">
        <f t="array" ref="I76">SUMIFS(Площадь,Объект_оценки_аналог,$A76,Класс,I$66)</f>
        <v>0</v>
      </c>
      <c r="J76" s="178" cm="1">
        <f t="array" ref="J76">SUMIFS(Площадь,Объект_оценки_аналог,$A76,Класс,J$66)</f>
        <v>0</v>
      </c>
      <c r="K76" s="72">
        <f t="shared" si="1"/>
        <v>1870</v>
      </c>
    </row>
    <row r="77" spans="1:11">
      <c r="A77" s="58" t="s">
        <v>150</v>
      </c>
      <c r="B77" s="178" cm="1">
        <f t="array" ref="B77">SUMIFS(Площадь,Объект_оценки_аналог,$A77,Класс,B$66)</f>
        <v>122</v>
      </c>
      <c r="C77" s="178" cm="1">
        <f t="array" ref="C77">SUMIFS(Площадь,Объект_оценки_аналог,$A77,Класс,C$66)</f>
        <v>700</v>
      </c>
      <c r="D77" s="178" cm="1">
        <f t="array" ref="D77">SUMIFS(Площадь,Объект_оценки_аналог,$A77,Класс,D$66)</f>
        <v>0</v>
      </c>
      <c r="E77" s="178" cm="1">
        <f t="array" ref="E77">SUMIFS(Площадь,Объект_оценки_аналог,$A77,Класс,E$66)</f>
        <v>0</v>
      </c>
      <c r="F77" s="178" cm="1">
        <f t="array" ref="F77">SUMIFS(Площадь,Объект_оценки_аналог,$A77,Класс,F$66)</f>
        <v>500</v>
      </c>
      <c r="G77" s="178" cm="1">
        <f t="array" ref="G77">SUMIFS(Площадь,Объект_оценки_аналог,$A77,Класс,G$66)</f>
        <v>0</v>
      </c>
      <c r="H77" s="178" cm="1">
        <f t="array" ref="H77">SUMIFS(Площадь,Объект_оценки_аналог,$A77,Класс,H$66)</f>
        <v>0</v>
      </c>
      <c r="I77" s="178" cm="1">
        <f t="array" ref="I77">SUMIFS(Площадь,Объект_оценки_аналог,$A77,Класс,I$66)</f>
        <v>0</v>
      </c>
      <c r="J77" s="178" cm="1">
        <f t="array" ref="J77">SUMIFS(Площадь,Объект_оценки_аналог,$A77,Класс,J$66)</f>
        <v>85</v>
      </c>
      <c r="K77" s="72">
        <f t="shared" si="1"/>
        <v>1407</v>
      </c>
    </row>
    <row r="78" spans="1:11">
      <c r="A78" s="58" t="s">
        <v>149</v>
      </c>
      <c r="B78" s="178" cm="1">
        <f t="array" ref="B78">SUMIFS(Площадь,Объект_оценки_аналог,$A78,Класс,B$66)</f>
        <v>0</v>
      </c>
      <c r="C78" s="178" cm="1">
        <f t="array" ref="C78">SUMIFS(Площадь,Объект_оценки_аналог,$A78,Класс,C$66)</f>
        <v>1776.9</v>
      </c>
      <c r="D78" s="178" cm="1">
        <f t="array" ref="D78">SUMIFS(Площадь,Объект_оценки_аналог,$A78,Класс,D$66)</f>
        <v>0</v>
      </c>
      <c r="E78" s="178" cm="1">
        <f t="array" ref="E78">SUMIFS(Площадь,Объект_оценки_аналог,$A78,Класс,E$66)</f>
        <v>0</v>
      </c>
      <c r="F78" s="178" cm="1">
        <f t="array" ref="F78">SUMIFS(Площадь,Объект_оценки_аналог,$A78,Класс,F$66)</f>
        <v>23.1</v>
      </c>
      <c r="G78" s="178" cm="1">
        <f t="array" ref="G78">SUMIFS(Площадь,Объект_оценки_аналог,$A78,Класс,G$66)</f>
        <v>0</v>
      </c>
      <c r="H78" s="178" cm="1">
        <f t="array" ref="H78">SUMIFS(Площадь,Объект_оценки_аналог,$A78,Класс,H$66)</f>
        <v>0</v>
      </c>
      <c r="I78" s="178" cm="1">
        <f t="array" ref="I78">SUMIFS(Площадь,Объект_оценки_аналог,$A78,Класс,I$66)</f>
        <v>0</v>
      </c>
      <c r="J78" s="178" cm="1">
        <f t="array" ref="J78">SUMIFS(Площадь,Объект_оценки_аналог,$A78,Класс,J$66)</f>
        <v>0</v>
      </c>
      <c r="K78" s="72">
        <f t="shared" si="1"/>
        <v>1800</v>
      </c>
    </row>
  </sheetData>
  <dataConsolidate/>
  <phoneticPr fontId="12" type="noConversion"/>
  <dataValidations count="1">
    <dataValidation type="list" allowBlank="1" showInputMessage="1" showErrorMessage="1" sqref="D2:D64" xr:uid="{94D756B4-5353-4CC5-95C6-CF758CBA911A}">
      <formula1>"гражд,произв,прочие"</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FC8E084-10FD-4A61-B010-DEC8F77D404A}">
          <x14:formula1>
            <xm:f>OFFSET(dict!$A$1, MATCH(1, (dict!$A$1:$A$993=E$1) * (dict!$B$1:$B$993=$D2), 0) - 1, 2, COUNTIFS(dict!$A$1:$A$993, E$1, dict!$B$1:$B$993, $D2), 1)</xm:f>
          </x14:formula1>
          <xm:sqref>Q2:Q64 O2:O64 M2:M64 K2:K64 I2:I64 G2:G64 E2:E64 S2:S64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BC05-90D1-4784-B6A3-86C107FDDC8B}">
  <dimension ref="A2:E7"/>
  <sheetViews>
    <sheetView topLeftCell="A5" workbookViewId="0">
      <selection activeCell="A18" sqref="A18:C28"/>
    </sheetView>
  </sheetViews>
  <sheetFormatPr defaultRowHeight="14.25"/>
  <cols>
    <col min="1" max="1" width="17.25" bestFit="1" customWidth="1"/>
    <col min="2" max="3" width="35.75" customWidth="1"/>
  </cols>
  <sheetData>
    <row r="2" spans="1:5" ht="22.5">
      <c r="A2" s="383" t="s">
        <v>592</v>
      </c>
      <c r="B2" s="383" t="s">
        <v>593</v>
      </c>
      <c r="C2" s="383" t="s">
        <v>594</v>
      </c>
      <c r="E2" s="386" t="s">
        <v>610</v>
      </c>
    </row>
    <row r="3" spans="1:5" ht="22.5">
      <c r="A3" s="384" t="s">
        <v>595</v>
      </c>
      <c r="B3" s="385" t="s">
        <v>596</v>
      </c>
      <c r="C3" s="385" t="s">
        <v>597</v>
      </c>
      <c r="E3" s="387">
        <v>5</v>
      </c>
    </row>
    <row r="4" spans="1:5" ht="45">
      <c r="A4" s="384" t="s">
        <v>598</v>
      </c>
      <c r="B4" s="385" t="s">
        <v>599</v>
      </c>
      <c r="C4" s="385" t="s">
        <v>600</v>
      </c>
      <c r="E4" s="387">
        <v>4</v>
      </c>
    </row>
    <row r="5" spans="1:5" ht="56.25">
      <c r="A5" s="384" t="s">
        <v>601</v>
      </c>
      <c r="B5" s="385" t="s">
        <v>602</v>
      </c>
      <c r="C5" s="385" t="s">
        <v>603</v>
      </c>
      <c r="E5" s="387">
        <v>3</v>
      </c>
    </row>
    <row r="6" spans="1:5" ht="78.75">
      <c r="A6" s="384" t="s">
        <v>604</v>
      </c>
      <c r="B6" s="385" t="s">
        <v>605</v>
      </c>
      <c r="C6" s="385" t="s">
        <v>606</v>
      </c>
      <c r="E6" s="387">
        <v>2</v>
      </c>
    </row>
    <row r="7" spans="1:5" ht="56.25">
      <c r="A7" s="384" t="s">
        <v>607</v>
      </c>
      <c r="B7" s="385" t="s">
        <v>608</v>
      </c>
      <c r="C7" s="385" t="s">
        <v>609</v>
      </c>
      <c r="E7" s="38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752A-1BD6-420B-9F62-AE41F6E8AC0F}">
  <sheetPr>
    <tabColor theme="9"/>
  </sheetPr>
  <dimension ref="B1:Q63"/>
  <sheetViews>
    <sheetView topLeftCell="D31" zoomScale="90" zoomScaleNormal="90" workbookViewId="0">
      <selection activeCell="I59" sqref="I59"/>
    </sheetView>
  </sheetViews>
  <sheetFormatPr defaultRowHeight="14.25"/>
  <cols>
    <col min="1" max="1" width="2.375" style="181" customWidth="1"/>
    <col min="2" max="2" width="51.625" style="181" bestFit="1" customWidth="1"/>
    <col min="3" max="7" width="18.5" style="181" customWidth="1"/>
    <col min="8" max="8" width="20.125" style="181" customWidth="1"/>
    <col min="9" max="9" width="12.625" style="181" customWidth="1"/>
    <col min="10" max="10" width="14.875" style="181" customWidth="1"/>
    <col min="11" max="11" width="28.375" style="181" customWidth="1"/>
    <col min="12" max="16" width="12.625" style="181" customWidth="1"/>
    <col min="17" max="16384" width="9" style="181"/>
  </cols>
  <sheetData>
    <row r="1" spans="2:14">
      <c r="B1" s="179" t="s">
        <v>587</v>
      </c>
      <c r="C1" s="179" t="s">
        <v>99</v>
      </c>
      <c r="D1" s="179" t="s">
        <v>103</v>
      </c>
      <c r="E1" s="179" t="s">
        <v>106</v>
      </c>
      <c r="F1" s="179" t="s">
        <v>117</v>
      </c>
      <c r="G1" s="179" t="s">
        <v>123</v>
      </c>
      <c r="H1" s="179" t="s">
        <v>124</v>
      </c>
      <c r="I1" s="179" t="s">
        <v>126</v>
      </c>
      <c r="J1" s="179" t="s">
        <v>127</v>
      </c>
      <c r="K1" s="179" t="s">
        <v>128</v>
      </c>
      <c r="L1" s="179" t="s">
        <v>303</v>
      </c>
      <c r="M1" s="179" t="s">
        <v>150</v>
      </c>
      <c r="N1" s="179" t="s">
        <v>149</v>
      </c>
    </row>
    <row r="2" spans="2:14" ht="71.25">
      <c r="B2" s="182" t="s">
        <v>647</v>
      </c>
      <c r="C2" s="433" t="s">
        <v>297</v>
      </c>
      <c r="D2" s="433" t="s">
        <v>304</v>
      </c>
      <c r="E2" s="433" t="s">
        <v>305</v>
      </c>
      <c r="F2" s="433" t="s">
        <v>496</v>
      </c>
      <c r="G2" s="433" t="s">
        <v>306</v>
      </c>
      <c r="H2" s="433" t="s">
        <v>174</v>
      </c>
      <c r="I2" s="433" t="s">
        <v>175</v>
      </c>
      <c r="J2" s="433" t="s">
        <v>176</v>
      </c>
      <c r="K2" s="433" t="s">
        <v>307</v>
      </c>
      <c r="L2" s="433" t="s">
        <v>173</v>
      </c>
      <c r="M2" s="433" t="s">
        <v>333</v>
      </c>
      <c r="N2" s="433" t="s">
        <v>179</v>
      </c>
    </row>
    <row r="3" spans="2:14">
      <c r="B3" s="180" t="str">
        <f>B32</f>
        <v>произв класс 4</v>
      </c>
      <c r="C3" s="178" cm="1">
        <f t="array" ref="C3">SUMIFS(Площадь,Объект_оценки_аналог,C$1,Класс,$B3)</f>
        <v>11633.8</v>
      </c>
      <c r="D3" s="178" cm="1">
        <f t="array" ref="D3">SUMIFS(Площадь,Объект_оценки_аналог,D$1,Класс,$B3)</f>
        <v>0</v>
      </c>
      <c r="E3" s="178" cm="1">
        <f t="array" ref="E3">SUMIFS(Площадь,Объект_оценки_аналог,E$1,Класс,$B3)</f>
        <v>216.57999999999998</v>
      </c>
      <c r="F3" s="178" cm="1">
        <f t="array" ref="F3">SUMIFS(Площадь,Объект_оценки_аналог,F$1,Класс,$B3)</f>
        <v>138.69999999999999</v>
      </c>
      <c r="G3" s="178" cm="1">
        <f t="array" ref="G3">SUMIFS(Площадь,Объект_оценки_аналог,G$1,Класс,$B3)</f>
        <v>2700</v>
      </c>
      <c r="H3" s="178" cm="1">
        <f t="array" ref="H3">SUMIFS(Площадь,Объект_оценки_аналог,H$1,Класс,$B3)</f>
        <v>1112.2</v>
      </c>
      <c r="I3" s="178" cm="1">
        <f t="array" ref="I3">SUMIFS(Площадь,Объект_оценки_аналог,I$1,Класс,$B3)</f>
        <v>0</v>
      </c>
      <c r="J3" s="178" cm="1">
        <f t="array" ref="J3">SUMIFS(Площадь,Объект_оценки_аналог,J$1,Класс,$B3)</f>
        <v>4822.3</v>
      </c>
      <c r="K3" s="178" cm="1">
        <f t="array" ref="K3">SUMIFS(Площадь,Объект_оценки_аналог,K$1,Класс,$B3)</f>
        <v>840</v>
      </c>
      <c r="L3" s="178" cm="1">
        <f t="array" ref="L3">SUMIFS(Площадь,Объект_оценки_аналог,L$1,Класс,$B3)</f>
        <v>1760</v>
      </c>
      <c r="M3" s="178" cm="1">
        <f t="array" ref="M3">SUMIFS(Площадь,Объект_оценки_аналог,M$1,Класс,$B3)</f>
        <v>122</v>
      </c>
      <c r="N3" s="178" cm="1">
        <f t="array" ref="N3">SUMIFS(Площадь,Объект_оценки_аналог,N$1,Класс,$B3)</f>
        <v>0</v>
      </c>
    </row>
    <row r="4" spans="2:14">
      <c r="B4" s="180" t="str">
        <f t="shared" ref="B4:B10" si="0">B33</f>
        <v>произв класс 3</v>
      </c>
      <c r="C4" s="178" cm="1">
        <f t="array" ref="C4">SUMIFS(Площадь,Объект_оценки_аналог,C$1,Класс,$B4)</f>
        <v>9671.5</v>
      </c>
      <c r="D4" s="178" cm="1">
        <f t="array" ref="D4">SUMIFS(Площадь,Объект_оценки_аналог,D$1,Класс,$B4)</f>
        <v>19040.5</v>
      </c>
      <c r="E4" s="178" cm="1">
        <f t="array" ref="E4">SUMIFS(Площадь,Объект_оценки_аналог,E$1,Класс,$B4)</f>
        <v>11689.699999999999</v>
      </c>
      <c r="F4" s="178" cm="1">
        <f t="array" ref="F4">SUMIFS(Площадь,Объект_оценки_аналог,F$1,Класс,$B4)</f>
        <v>4519.7000000000007</v>
      </c>
      <c r="G4" s="178" cm="1">
        <f t="array" ref="G4">SUMIFS(Площадь,Объект_оценки_аналог,G$1,Класс,$B4)</f>
        <v>0</v>
      </c>
      <c r="H4" s="178" cm="1">
        <f t="array" ref="H4">SUMIFS(Площадь,Объект_оценки_аналог,H$1,Класс,$B4)</f>
        <v>5523.8</v>
      </c>
      <c r="I4" s="178" cm="1">
        <f t="array" ref="I4">SUMIFS(Площадь,Объект_оценки_аналог,I$1,Класс,$B4)</f>
        <v>0</v>
      </c>
      <c r="J4" s="178" cm="1">
        <f t="array" ref="J4">SUMIFS(Площадь,Объект_оценки_аналог,J$1,Класс,$B4)</f>
        <v>0</v>
      </c>
      <c r="K4" s="178" cm="1">
        <f t="array" ref="K4">SUMIFS(Площадь,Объект_оценки_аналог,K$1,Класс,$B4)</f>
        <v>1561.2</v>
      </c>
      <c r="L4" s="178" cm="1">
        <f t="array" ref="L4">SUMIFS(Площадь,Объект_оценки_аналог,L$1,Класс,$B4)</f>
        <v>0</v>
      </c>
      <c r="M4" s="178" cm="1">
        <f t="array" ref="M4">SUMIFS(Площадь,Объект_оценки_аналог,M$1,Класс,$B4)</f>
        <v>700</v>
      </c>
      <c r="N4" s="178" cm="1">
        <f t="array" ref="N4">SUMIFS(Площадь,Объект_оценки_аналог,N$1,Класс,$B4)</f>
        <v>1776.9</v>
      </c>
    </row>
    <row r="5" spans="2:14">
      <c r="B5" s="180" t="str">
        <f t="shared" si="0"/>
        <v>произв класс 2</v>
      </c>
      <c r="C5" s="178" cm="1">
        <f t="array" ref="C5">SUMIFS(Площадь,Объект_оценки_аналог,C$1,Класс,$B5)</f>
        <v>0</v>
      </c>
      <c r="D5" s="178" cm="1">
        <f t="array" ref="D5">SUMIFS(Площадь,Объект_оценки_аналог,D$1,Класс,$B5)</f>
        <v>0</v>
      </c>
      <c r="E5" s="178" cm="1">
        <f t="array" ref="E5">SUMIFS(Площадь,Объект_оценки_аналог,E$1,Класс,$B5)</f>
        <v>0</v>
      </c>
      <c r="F5" s="178" cm="1">
        <f t="array" ref="F5">SUMIFS(Площадь,Объект_оценки_аналог,F$1,Класс,$B5)</f>
        <v>1576.1</v>
      </c>
      <c r="G5" s="178" cm="1">
        <f t="array" ref="G5">SUMIFS(Площадь,Объект_оценки_аналог,G$1,Класс,$B5)</f>
        <v>0</v>
      </c>
      <c r="H5" s="178" cm="1">
        <f t="array" ref="H5">SUMIFS(Площадь,Объект_оценки_аналог,H$1,Класс,$B5)</f>
        <v>0</v>
      </c>
      <c r="I5" s="178" cm="1">
        <f t="array" ref="I5">SUMIFS(Площадь,Объект_оценки_аналог,I$1,Класс,$B5)</f>
        <v>1947.1</v>
      </c>
      <c r="J5" s="178" cm="1">
        <f t="array" ref="J5">SUMIFS(Площадь,Объект_оценки_аналог,J$1,Класс,$B5)</f>
        <v>0</v>
      </c>
      <c r="K5" s="178" cm="1">
        <f t="array" ref="K5">SUMIFS(Площадь,Объект_оценки_аналог,K$1,Класс,$B5)</f>
        <v>0</v>
      </c>
      <c r="L5" s="178" cm="1">
        <f t="array" ref="L5">SUMIFS(Площадь,Объект_оценки_аналог,L$1,Класс,$B5)</f>
        <v>0</v>
      </c>
      <c r="M5" s="178" cm="1">
        <f t="array" ref="M5">SUMIFS(Площадь,Объект_оценки_аналог,M$1,Класс,$B5)</f>
        <v>0</v>
      </c>
      <c r="N5" s="178" cm="1">
        <f t="array" ref="N5">SUMIFS(Площадь,Объект_оценки_аналог,N$1,Класс,$B5)</f>
        <v>0</v>
      </c>
    </row>
    <row r="6" spans="2:14">
      <c r="B6" s="180" t="str">
        <f t="shared" si="0"/>
        <v>произв класс 1</v>
      </c>
      <c r="C6" s="178" cm="1">
        <f t="array" ref="C6">SUMIFS(Площадь,Объект_оценки_аналог,C$1,Класс,$B6)</f>
        <v>0</v>
      </c>
      <c r="D6" s="178" cm="1">
        <f t="array" ref="D6">SUMIFS(Площадь,Объект_оценки_аналог,D$1,Класс,$B6)</f>
        <v>0</v>
      </c>
      <c r="E6" s="178" cm="1">
        <f t="array" ref="E6">SUMIFS(Площадь,Объект_оценки_аналог,E$1,Класс,$B6)</f>
        <v>0</v>
      </c>
      <c r="F6" s="178" cm="1">
        <f t="array" ref="F6">SUMIFS(Площадь,Объект_оценки_аналог,F$1,Класс,$B6)</f>
        <v>0</v>
      </c>
      <c r="G6" s="178" cm="1">
        <f t="array" ref="G6">SUMIFS(Площадь,Объект_оценки_аналог,G$1,Класс,$B6)</f>
        <v>0</v>
      </c>
      <c r="H6" s="178" cm="1">
        <f t="array" ref="H6">SUMIFS(Площадь,Объект_оценки_аналог,H$1,Класс,$B6)</f>
        <v>0</v>
      </c>
      <c r="I6" s="178" cm="1">
        <f t="array" ref="I6">SUMIFS(Площадь,Объект_оценки_аналог,I$1,Класс,$B6)</f>
        <v>0</v>
      </c>
      <c r="J6" s="178" cm="1">
        <f t="array" ref="J6">SUMIFS(Площадь,Объект_оценки_аналог,J$1,Класс,$B6)</f>
        <v>0</v>
      </c>
      <c r="K6" s="178" cm="1">
        <f t="array" ref="K6">SUMIFS(Площадь,Объект_оценки_аналог,K$1,Класс,$B6)</f>
        <v>0</v>
      </c>
      <c r="L6" s="178" cm="1">
        <f t="array" ref="L6">SUMIFS(Площадь,Объект_оценки_аналог,L$1,Класс,$B6)</f>
        <v>0</v>
      </c>
      <c r="M6" s="178" cm="1">
        <f t="array" ref="M6">SUMIFS(Площадь,Объект_оценки_аналог,M$1,Класс,$B6)</f>
        <v>0</v>
      </c>
      <c r="N6" s="178" cm="1">
        <f t="array" ref="N6">SUMIFS(Площадь,Объект_оценки_аналог,N$1,Класс,$B6)</f>
        <v>0</v>
      </c>
    </row>
    <row r="7" spans="2:14">
      <c r="B7" s="180" t="str">
        <f t="shared" si="0"/>
        <v>гражд класс 4</v>
      </c>
      <c r="C7" s="178" cm="1">
        <f t="array" ref="C7">SUMIFS(Площадь,Объект_оценки_аналог,C$1,Класс,$B7)</f>
        <v>155.9</v>
      </c>
      <c r="D7" s="178" cm="1">
        <f t="array" ref="D7">SUMIFS(Площадь,Объект_оценки_аналог,D$1,Класс,$B7)</f>
        <v>0</v>
      </c>
      <c r="E7" s="178" cm="1">
        <f t="array" ref="E7">SUMIFS(Площадь,Объект_оценки_аналог,E$1,Класс,$B7)</f>
        <v>59.79</v>
      </c>
      <c r="F7" s="178" cm="1">
        <f t="array" ref="F7">SUMIFS(Площадь,Объект_оценки_аналог,F$1,Класс,$B7)</f>
        <v>24.82</v>
      </c>
      <c r="G7" s="178" cm="1">
        <f t="array" ref="G7">SUMIFS(Площадь,Объект_оценки_аналог,G$1,Класс,$B7)</f>
        <v>0</v>
      </c>
      <c r="H7" s="178" cm="1">
        <f t="array" ref="H7">SUMIFS(Площадь,Объект_оценки_аналог,H$1,Класс,$B7)</f>
        <v>0</v>
      </c>
      <c r="I7" s="178" cm="1">
        <f t="array" ref="I7">SUMIFS(Площадь,Объект_оценки_аналог,I$1,Класс,$B7)</f>
        <v>0</v>
      </c>
      <c r="J7" s="178" cm="1">
        <f t="array" ref="J7">SUMIFS(Площадь,Объект_оценки_аналог,J$1,Класс,$B7)</f>
        <v>0</v>
      </c>
      <c r="K7" s="178" cm="1">
        <f t="array" ref="K7">SUMIFS(Площадь,Объект_оценки_аналог,K$1,Класс,$B7)</f>
        <v>0</v>
      </c>
      <c r="L7" s="178" cm="1">
        <f t="array" ref="L7">SUMIFS(Площадь,Объект_оценки_аналог,L$1,Класс,$B7)</f>
        <v>110</v>
      </c>
      <c r="M7" s="178" cm="1">
        <f t="array" ref="M7">SUMIFS(Площадь,Объект_оценки_аналог,M$1,Класс,$B7)</f>
        <v>500</v>
      </c>
      <c r="N7" s="178" cm="1">
        <f t="array" ref="N7">SUMIFS(Площадь,Объект_оценки_аналог,N$1,Класс,$B7)</f>
        <v>23.1</v>
      </c>
    </row>
    <row r="8" spans="2:14">
      <c r="B8" s="180" t="str">
        <f t="shared" si="0"/>
        <v>гражд класс 3</v>
      </c>
      <c r="C8" s="178" cm="1">
        <f t="array" ref="C8">SUMIFS(Площадь,Объект_оценки_аналог,C$1,Класс,$B8)</f>
        <v>0</v>
      </c>
      <c r="D8" s="178" cm="1">
        <f t="array" ref="D8">SUMIFS(Площадь,Объект_оценки_аналог,D$1,Класс,$B8)</f>
        <v>949.5</v>
      </c>
      <c r="E8" s="178" cm="1">
        <f t="array" ref="E8">SUMIFS(Площадь,Объект_оценки_аналог,E$1,Класс,$B8)</f>
        <v>4524.2999999999993</v>
      </c>
      <c r="F8" s="178" cm="1">
        <f t="array" ref="F8">SUMIFS(Площадь,Объект_оценки_аналог,F$1,Класс,$B8)</f>
        <v>221.2</v>
      </c>
      <c r="G8" s="178" cm="1">
        <f t="array" ref="G8">SUMIFS(Площадь,Объект_оценки_аналог,G$1,Класс,$B8)</f>
        <v>0</v>
      </c>
      <c r="H8" s="178" cm="1">
        <f t="array" ref="H8">SUMIFS(Площадь,Объект_оценки_аналог,H$1,Класс,$B8)</f>
        <v>360</v>
      </c>
      <c r="I8" s="178" cm="1">
        <f t="array" ref="I8">SUMIFS(Площадь,Объект_оценки_аналог,I$1,Класс,$B8)</f>
        <v>1390</v>
      </c>
      <c r="J8" s="178" cm="1">
        <f t="array" ref="J8">SUMIFS(Площадь,Объект_оценки_аналог,J$1,Класс,$B8)</f>
        <v>877.7</v>
      </c>
      <c r="K8" s="178" cm="1">
        <f t="array" ref="K8">SUMIFS(Площадь,Объект_оценки_аналог,K$1,Класс,$B8)</f>
        <v>74.8</v>
      </c>
      <c r="L8" s="178" cm="1">
        <f t="array" ref="L8">SUMIFS(Площадь,Объект_оценки_аналог,L$1,Класс,$B8)</f>
        <v>0</v>
      </c>
      <c r="M8" s="178" cm="1">
        <f t="array" ref="M8">SUMIFS(Площадь,Объект_оценки_аналог,M$1,Класс,$B8)</f>
        <v>0</v>
      </c>
      <c r="N8" s="178" cm="1">
        <f t="array" ref="N8">SUMIFS(Площадь,Объект_оценки_аналог,N$1,Класс,$B8)</f>
        <v>0</v>
      </c>
    </row>
    <row r="9" spans="2:14">
      <c r="B9" s="180" t="str">
        <f t="shared" si="0"/>
        <v>гражд класс 2</v>
      </c>
      <c r="C9" s="178" cm="1">
        <f t="array" ref="C9">SUMIFS(Площадь,Объект_оценки_аналог,C$1,Класс,$B9)</f>
        <v>0</v>
      </c>
      <c r="D9" s="178" cm="1">
        <f t="array" ref="D9">SUMIFS(Площадь,Объект_оценки_аналог,D$1,Класс,$B9)</f>
        <v>0</v>
      </c>
      <c r="E9" s="178" cm="1">
        <f t="array" ref="E9">SUMIFS(Площадь,Объект_оценки_аналог,E$1,Класс,$B9)</f>
        <v>0</v>
      </c>
      <c r="F9" s="178" cm="1">
        <f t="array" ref="F9">SUMIFS(Площадь,Объект_оценки_аналог,F$1,Класс,$B9)</f>
        <v>0</v>
      </c>
      <c r="G9" s="178" cm="1">
        <f t="array" ref="G9">SUMIFS(Площадь,Объект_оценки_аналог,G$1,Класс,$B9)</f>
        <v>0</v>
      </c>
      <c r="H9" s="178" cm="1">
        <f t="array" ref="H9">SUMIFS(Площадь,Объект_оценки_аналог,H$1,Класс,$B9)</f>
        <v>0</v>
      </c>
      <c r="I9" s="178" cm="1">
        <f t="array" ref="I9">SUMIFS(Площадь,Объект_оценки_аналог,I$1,Класс,$B9)</f>
        <v>0</v>
      </c>
      <c r="J9" s="178" cm="1">
        <f t="array" ref="J9">SUMIFS(Площадь,Объект_оценки_аналог,J$1,Класс,$B9)</f>
        <v>0</v>
      </c>
      <c r="K9" s="178" cm="1">
        <f t="array" ref="K9">SUMIFS(Площадь,Объект_оценки_аналог,K$1,Класс,$B9)</f>
        <v>0</v>
      </c>
      <c r="L9" s="178" cm="1">
        <f t="array" ref="L9">SUMIFS(Площадь,Объект_оценки_аналог,L$1,Класс,$B9)</f>
        <v>0</v>
      </c>
      <c r="M9" s="178" cm="1">
        <f t="array" ref="M9">SUMIFS(Площадь,Объект_оценки_аналог,M$1,Класс,$B9)</f>
        <v>0</v>
      </c>
      <c r="N9" s="178" cm="1">
        <f t="array" ref="N9">SUMIFS(Площадь,Объект_оценки_аналог,N$1,Класс,$B9)</f>
        <v>0</v>
      </c>
    </row>
    <row r="10" spans="2:14">
      <c r="B10" s="180" t="str">
        <f t="shared" si="0"/>
        <v>гражд класс 1</v>
      </c>
      <c r="C10" s="178" cm="1">
        <f t="array" ref="C10">SUMIFS(Площадь,Объект_оценки_аналог,C$1,Класс,$B10)</f>
        <v>0</v>
      </c>
      <c r="D10" s="178" cm="1">
        <f t="array" ref="D10">SUMIFS(Площадь,Объект_оценки_аналог,D$1,Класс,$B10)</f>
        <v>0</v>
      </c>
      <c r="E10" s="178" cm="1">
        <f t="array" ref="E10">SUMIFS(Площадь,Объект_оценки_аналог,E$1,Класс,$B10)</f>
        <v>0</v>
      </c>
      <c r="F10" s="178" cm="1">
        <f t="array" ref="F10">SUMIFS(Площадь,Объект_оценки_аналог,F$1,Класс,$B10)</f>
        <v>0</v>
      </c>
      <c r="G10" s="178" cm="1">
        <f t="array" ref="G10">SUMIFS(Площадь,Объект_оценки_аналог,G$1,Класс,$B10)</f>
        <v>0</v>
      </c>
      <c r="H10" s="178" cm="1">
        <f t="array" ref="H10">SUMIFS(Площадь,Объект_оценки_аналог,H$1,Класс,$B10)</f>
        <v>0</v>
      </c>
      <c r="I10" s="178" cm="1">
        <f t="array" ref="I10">SUMIFS(Площадь,Объект_оценки_аналог,I$1,Класс,$B10)</f>
        <v>0</v>
      </c>
      <c r="J10" s="178" cm="1">
        <f t="array" ref="J10">SUMIFS(Площадь,Объект_оценки_аналог,J$1,Класс,$B10)</f>
        <v>0</v>
      </c>
      <c r="K10" s="178" cm="1">
        <f t="array" ref="K10">SUMIFS(Площадь,Объект_оценки_аналог,K$1,Класс,$B10)</f>
        <v>0</v>
      </c>
      <c r="L10" s="178" cm="1">
        <f t="array" ref="L10">SUMIFS(Площадь,Объект_оценки_аналог,L$1,Класс,$B10)</f>
        <v>0</v>
      </c>
      <c r="M10" s="178" cm="1">
        <f t="array" ref="M10">SUMIFS(Площадь,Объект_оценки_аналог,M$1,Класс,$B10)</f>
        <v>0</v>
      </c>
      <c r="N10" s="178" cm="1">
        <f t="array" ref="N10">SUMIFS(Площадь,Объект_оценки_аналог,N$1,Класс,$B10)</f>
        <v>0</v>
      </c>
    </row>
    <row r="11" spans="2:14">
      <c r="B11" s="180" t="str">
        <f>B40</f>
        <v>прочие</v>
      </c>
      <c r="C11" s="178" cm="1">
        <f t="array" ref="C11">SUMIFS(Площадь,Объект_оценки_аналог,C$1,Класс,$B11)</f>
        <v>0</v>
      </c>
      <c r="D11" s="178" cm="1">
        <f t="array" ref="D11">SUMIFS(Площадь,Объект_оценки_аналог,D$1,Класс,$B11)</f>
        <v>0</v>
      </c>
      <c r="E11" s="178" cm="1">
        <f t="array" ref="E11">SUMIFS(Площадь,Объект_оценки_аналог,E$1,Класс,$B11)</f>
        <v>598.26499999999999</v>
      </c>
      <c r="F11" s="178" cm="1">
        <f t="array" ref="F11">SUMIFS(Площадь,Объект_оценки_аналог,F$1,Класс,$B11)</f>
        <v>24.8</v>
      </c>
      <c r="G11" s="178" cm="1">
        <f t="array" ref="G11">SUMIFS(Площадь,Объект_оценки_аналог,G$1,Класс,$B11)</f>
        <v>0</v>
      </c>
      <c r="H11" s="178" cm="1">
        <f t="array" ref="H11">SUMIFS(Площадь,Объект_оценки_аналог,H$1,Класс,$B11)</f>
        <v>0</v>
      </c>
      <c r="I11" s="178" cm="1">
        <f t="array" ref="I11">SUMIFS(Площадь,Объект_оценки_аналог,I$1,Класс,$B11)</f>
        <v>0</v>
      </c>
      <c r="J11" s="178" cm="1">
        <f t="array" ref="J11">SUMIFS(Площадь,Объект_оценки_аналог,J$1,Класс,$B11)</f>
        <v>0</v>
      </c>
      <c r="K11" s="178" cm="1">
        <f t="array" ref="K11">SUMIFS(Площадь,Объект_оценки_аналог,K$1,Класс,$B11)</f>
        <v>0</v>
      </c>
      <c r="L11" s="178" cm="1">
        <f t="array" ref="L11">SUMIFS(Площадь,Объект_оценки_аналог,L$1,Класс,$B11)</f>
        <v>0</v>
      </c>
      <c r="M11" s="178" cm="1">
        <f t="array" ref="M11">SUMIFS(Площадь,Объект_оценки_аналог,M$1,Класс,$B11)</f>
        <v>85</v>
      </c>
      <c r="N11" s="178" cm="1">
        <f t="array" ref="N11">SUMIFS(Площадь,Объект_оценки_аналог,N$1,Класс,$B11)</f>
        <v>0</v>
      </c>
    </row>
    <row r="12" spans="2:14">
      <c r="B12" s="380" t="s">
        <v>588</v>
      </c>
      <c r="C12" s="381">
        <f>SUM(C3:C11)</f>
        <v>21461.200000000001</v>
      </c>
      <c r="D12" s="381">
        <f t="shared" ref="D12:L12" si="1">SUM(D3:D11)</f>
        <v>19990</v>
      </c>
      <c r="E12" s="381">
        <f t="shared" si="1"/>
        <v>17088.634999999998</v>
      </c>
      <c r="F12" s="381">
        <f t="shared" si="1"/>
        <v>6505.32</v>
      </c>
      <c r="G12" s="381">
        <f t="shared" si="1"/>
        <v>2700</v>
      </c>
      <c r="H12" s="381">
        <f t="shared" si="1"/>
        <v>6996</v>
      </c>
      <c r="I12" s="381">
        <f t="shared" si="1"/>
        <v>3337.1</v>
      </c>
      <c r="J12" s="381">
        <f t="shared" si="1"/>
        <v>5700</v>
      </c>
      <c r="K12" s="381">
        <f t="shared" si="1"/>
        <v>2476</v>
      </c>
      <c r="L12" s="381">
        <f t="shared" si="1"/>
        <v>1870</v>
      </c>
      <c r="M12" s="381">
        <f t="shared" ref="M12:N12" si="2">SUM(M3:M11)</f>
        <v>1407</v>
      </c>
      <c r="N12" s="381">
        <f t="shared" si="2"/>
        <v>1800</v>
      </c>
    </row>
    <row r="13" spans="2:14">
      <c r="B13" s="380" t="s">
        <v>589</v>
      </c>
      <c r="C13" s="382">
        <f>SUMIFS('Таблица объектов'!$W:$W,'Таблица объектов'!$A:$A,Выжимка!C1)/C12</f>
        <v>0.33902117985014818</v>
      </c>
      <c r="D13" s="382">
        <f>SUMIFS('Таблица объектов'!$W:$W,'Таблица объектов'!$A:$A,Выжимка!D1)/D12</f>
        <v>0.40374290145072539</v>
      </c>
      <c r="E13" s="382">
        <f>SUMIFS('Таблица объектов'!$W:$W,'Таблица объектов'!$A:$A,Выжимка!E1)/E12</f>
        <v>0.38679452482892873</v>
      </c>
      <c r="F13" s="382">
        <f>SUMIFS('Таблица объектов'!$W:$W,'Таблица объектов'!$A:$A,Выжимка!F1)/F12</f>
        <v>0.4421557805857359</v>
      </c>
      <c r="G13" s="382">
        <f>SUMIFS('Таблица объектов'!$W:$W,'Таблица объектов'!$A:$A,Выжимка!G1)/G12</f>
        <v>0.32318999999999998</v>
      </c>
      <c r="H13" s="382">
        <f>SUMIFS('Таблица объектов'!$W:$W,'Таблица объектов'!$A:$A,Выжимка!H1)/H12</f>
        <v>0.38619785248713545</v>
      </c>
      <c r="I13" s="382">
        <f>SUMIFS('Таблица объектов'!$W:$W,'Таблица объектов'!$A:$A,Выжимка!I1)/I12</f>
        <v>0.4956265020526805</v>
      </c>
      <c r="J13" s="382">
        <f>SUMIFS('Таблица объектов'!$W:$W,'Таблица объектов'!$A:$A,Выжимка!J1)/J12</f>
        <v>0.28564186736842112</v>
      </c>
      <c r="K13" s="382">
        <f>SUMIFS('Таблица объектов'!$W:$W,'Таблица объектов'!$A:$A,Выжимка!K1)/K12</f>
        <v>0.38798118901453954</v>
      </c>
      <c r="L13" s="382">
        <f>SUMIFS('Таблица объектов'!$W:$W,'Таблица объектов'!$A:$A,Выжимка!L1)/L12</f>
        <v>0.30394318716577545</v>
      </c>
      <c r="M13" s="382">
        <f>SUMIFS('Таблица объектов'!$W:$W,'Таблица объектов'!$A:$A,Выжимка!M1)/M12</f>
        <v>0.36395650319829426</v>
      </c>
      <c r="N13" s="382">
        <f>SUMIFS('Таблица объектов'!$W:$W,'Таблица объектов'!$A:$A,Выжимка!N1)/N12</f>
        <v>0.45783580800000018</v>
      </c>
    </row>
    <row r="14" spans="2:14">
      <c r="B14" s="393" t="s">
        <v>612</v>
      </c>
      <c r="C14" s="392">
        <f>MROUND(SUMIFS('Таблица объектов'!$Z:$Z,'Таблица объектов'!$A:$A,Выжимка!C1)/SUMIFS('Таблица объектов'!$W:$W,'Таблица объектов'!$A:$A,Выжимка!C1),0.5)</f>
        <v>5</v>
      </c>
      <c r="D14" s="392">
        <f>MROUND(SUMIFS('Таблица объектов'!$Z:$Z,'Таблица объектов'!$A:$A,Выжимка!D1)/SUMIFS('Таблица объектов'!$W:$W,'Таблица объектов'!$A:$A,Выжимка!D1),0.5)</f>
        <v>5</v>
      </c>
      <c r="E14" s="392">
        <f>MROUND(SUMIFS('Таблица объектов'!$Z:$Z,'Таблица объектов'!$A:$A,Выжимка!E1)/SUMIFS('Таблица объектов'!$W:$W,'Таблица объектов'!$A:$A,Выжимка!E1),0.5)</f>
        <v>2.5</v>
      </c>
      <c r="F14" s="392">
        <f>MROUND(SUMIFS('Таблица объектов'!$Z:$Z,'Таблица объектов'!$A:$A,Выжимка!F1)/SUMIFS('Таблица объектов'!$W:$W,'Таблица объектов'!$A:$A,Выжимка!F1),0.5)</f>
        <v>4.5</v>
      </c>
      <c r="G14" s="392">
        <v>3</v>
      </c>
      <c r="H14" s="392">
        <v>3.5</v>
      </c>
      <c r="I14" s="392">
        <v>3</v>
      </c>
      <c r="J14" s="392">
        <v>3</v>
      </c>
      <c r="K14" s="392">
        <v>3</v>
      </c>
      <c r="L14" s="392">
        <v>4</v>
      </c>
      <c r="M14" s="392">
        <v>3.5</v>
      </c>
      <c r="N14" s="392">
        <v>3</v>
      </c>
    </row>
    <row r="15" spans="2:14" ht="19.5" customHeight="1">
      <c r="B15" s="184" t="s">
        <v>308</v>
      </c>
      <c r="C15" s="184"/>
      <c r="D15" s="184"/>
      <c r="E15" s="184"/>
      <c r="F15" s="184"/>
      <c r="G15" s="184"/>
      <c r="H15" s="184"/>
      <c r="I15" s="184"/>
      <c r="J15" s="184"/>
      <c r="K15" s="184"/>
      <c r="L15" s="184"/>
      <c r="M15" s="184"/>
      <c r="N15" s="184"/>
    </row>
    <row r="16" spans="2:14">
      <c r="B16" s="401" t="s">
        <v>630</v>
      </c>
      <c r="C16" s="183"/>
      <c r="D16" s="183"/>
      <c r="E16" s="183"/>
      <c r="F16" s="183"/>
      <c r="G16" s="183"/>
      <c r="H16" s="183"/>
      <c r="I16" s="183"/>
      <c r="J16" s="183"/>
      <c r="K16" s="183"/>
      <c r="L16" s="183"/>
      <c r="M16" s="183"/>
      <c r="N16" s="183"/>
    </row>
    <row r="17" spans="2:14">
      <c r="B17" s="182" t="s">
        <v>274</v>
      </c>
      <c r="C17" s="183">
        <v>1240028000</v>
      </c>
      <c r="D17" s="183">
        <v>1271364000</v>
      </c>
      <c r="E17" s="183">
        <v>1180825000</v>
      </c>
      <c r="F17" s="183">
        <v>341529000</v>
      </c>
      <c r="G17" s="183"/>
      <c r="H17" s="183"/>
      <c r="I17" s="183"/>
      <c r="J17" s="183"/>
      <c r="K17" s="183"/>
      <c r="L17" s="183"/>
      <c r="M17" s="183"/>
      <c r="N17" s="183"/>
    </row>
    <row r="18" spans="2:14">
      <c r="B18" s="182" t="s">
        <v>275</v>
      </c>
      <c r="C18" s="183">
        <v>14179900</v>
      </c>
      <c r="D18" s="183">
        <v>14538200</v>
      </c>
      <c r="E18" s="183">
        <v>13502900</v>
      </c>
      <c r="F18" s="183">
        <v>3905400</v>
      </c>
      <c r="G18" s="183"/>
      <c r="H18" s="183"/>
      <c r="I18" s="183"/>
      <c r="J18" s="183"/>
      <c r="K18" s="183"/>
      <c r="L18" s="183"/>
      <c r="M18" s="183"/>
      <c r="N18" s="183"/>
    </row>
    <row r="19" spans="2:14">
      <c r="B19" s="402" t="s">
        <v>642</v>
      </c>
      <c r="C19" s="183"/>
      <c r="D19" s="183"/>
      <c r="E19" s="183"/>
      <c r="F19" s="183"/>
      <c r="G19" s="183"/>
      <c r="H19" s="183"/>
      <c r="I19" s="183"/>
      <c r="J19" s="183"/>
      <c r="K19" s="183"/>
      <c r="L19" s="183"/>
      <c r="M19" s="183"/>
      <c r="N19" s="183"/>
    </row>
    <row r="20" spans="2:14">
      <c r="B20" s="182" t="s">
        <v>274</v>
      </c>
      <c r="C20" s="183">
        <f>'1.1 Алыкулова'!B82</f>
        <v>1456786000</v>
      </c>
      <c r="D20" s="183">
        <f>'2.1 Мурманская'!B77</f>
        <v>1531234000</v>
      </c>
      <c r="E20" s="183">
        <f>'3.1 Триод'!B80</f>
        <v>1119989000</v>
      </c>
      <c r="F20" s="183">
        <f>'4.1 Слон'!C81</f>
        <v>420244000</v>
      </c>
      <c r="G20" s="183"/>
      <c r="H20" s="183"/>
      <c r="I20" s="183"/>
      <c r="J20" s="183"/>
      <c r="K20" s="183"/>
      <c r="L20" s="183"/>
      <c r="M20" s="183"/>
      <c r="N20" s="183"/>
    </row>
    <row r="21" spans="2:14">
      <c r="B21" s="182" t="s">
        <v>275</v>
      </c>
      <c r="C21" s="183">
        <f>'1.1 Алыкулова'!B83</f>
        <v>16658500</v>
      </c>
      <c r="D21" s="183">
        <f>'2.1 Мурманская'!B78</f>
        <v>17509800</v>
      </c>
      <c r="E21" s="183">
        <f>'3.1 Триод'!B81</f>
        <v>12807200</v>
      </c>
      <c r="F21" s="183">
        <f>'4.1 Слон'!C82</f>
        <v>4805500</v>
      </c>
      <c r="G21" s="183"/>
      <c r="H21" s="183"/>
      <c r="I21" s="183"/>
      <c r="J21" s="183"/>
      <c r="K21" s="183"/>
      <c r="L21" s="183"/>
      <c r="M21" s="183"/>
      <c r="N21" s="183"/>
    </row>
    <row r="22" spans="2:14">
      <c r="B22" s="431" t="s">
        <v>643</v>
      </c>
      <c r="C22" s="183"/>
      <c r="D22" s="183"/>
      <c r="E22" s="183"/>
      <c r="F22" s="183"/>
      <c r="G22" s="183"/>
      <c r="H22" s="183"/>
      <c r="I22" s="183"/>
      <c r="J22" s="183"/>
      <c r="K22" s="183"/>
      <c r="L22" s="183"/>
      <c r="M22" s="183"/>
      <c r="N22" s="183"/>
    </row>
    <row r="23" spans="2:14">
      <c r="B23" s="182" t="s">
        <v>274</v>
      </c>
      <c r="C23" s="183">
        <f>'1.2 Алыкулова'!B82</f>
        <v>1665604000</v>
      </c>
      <c r="D23" s="183">
        <f>'2.2 Мурманская'!B77</f>
        <v>1645177000</v>
      </c>
      <c r="E23" s="183">
        <f>'3.2 Триод'!B80</f>
        <v>922957000</v>
      </c>
      <c r="F23" s="183">
        <f>'4.2 Слон'!C81</f>
        <v>529533000</v>
      </c>
      <c r="G23" s="183"/>
      <c r="H23" s="183"/>
      <c r="I23" s="183"/>
      <c r="J23" s="183"/>
      <c r="K23" s="183"/>
      <c r="L23" s="183"/>
      <c r="M23" s="183"/>
      <c r="N23" s="183"/>
    </row>
    <row r="24" spans="2:14">
      <c r="B24" s="182" t="s">
        <v>275</v>
      </c>
      <c r="C24" s="183">
        <f>'1.2 Алыкулова'!B83</f>
        <v>19046400</v>
      </c>
      <c r="D24" s="183">
        <f>'2.2 Мурманская'!B78</f>
        <v>18812800</v>
      </c>
      <c r="E24" s="183">
        <f>'3.2 Триод'!B81</f>
        <v>10554100</v>
      </c>
      <c r="F24" s="183">
        <f>'4.2 Слон'!C82</f>
        <v>6055300</v>
      </c>
      <c r="G24" s="183"/>
      <c r="H24" s="183"/>
      <c r="I24" s="183"/>
      <c r="J24" s="183"/>
      <c r="K24" s="183"/>
      <c r="L24" s="183"/>
      <c r="M24" s="183"/>
      <c r="N24" s="183"/>
    </row>
    <row r="25" spans="2:14">
      <c r="B25" s="429"/>
      <c r="C25" s="430"/>
      <c r="D25" s="430"/>
      <c r="E25" s="430"/>
      <c r="F25" s="430"/>
      <c r="G25" s="430"/>
      <c r="H25" s="430"/>
      <c r="I25" s="430"/>
      <c r="J25" s="430"/>
      <c r="K25" s="430"/>
      <c r="L25" s="430"/>
      <c r="M25" s="430"/>
      <c r="N25" s="430"/>
    </row>
    <row r="26" spans="2:14">
      <c r="B26" s="429"/>
      <c r="C26" s="430"/>
      <c r="D26" s="430"/>
      <c r="E26" s="430"/>
      <c r="F26" s="430"/>
      <c r="G26" s="430"/>
      <c r="H26" s="430"/>
      <c r="I26" s="430"/>
      <c r="J26" s="430"/>
      <c r="K26" s="430"/>
      <c r="L26" s="430"/>
      <c r="M26" s="430"/>
      <c r="N26" s="430"/>
    </row>
    <row r="27" spans="2:14">
      <c r="B27" s="429"/>
      <c r="C27" s="430"/>
      <c r="D27" s="430"/>
      <c r="E27" s="430"/>
      <c r="F27" s="430"/>
      <c r="G27" s="430"/>
      <c r="H27" s="430"/>
      <c r="I27" s="430"/>
      <c r="J27" s="430"/>
      <c r="K27" s="430"/>
      <c r="L27" s="430"/>
      <c r="M27" s="430"/>
      <c r="N27" s="430"/>
    </row>
    <row r="29" spans="2:14">
      <c r="C29" s="394"/>
    </row>
    <row r="30" spans="2:14">
      <c r="F30" s="454" t="s">
        <v>624</v>
      </c>
      <c r="G30" s="454" t="s">
        <v>625</v>
      </c>
      <c r="H30" s="454" t="s">
        <v>653</v>
      </c>
      <c r="I30" s="455" t="s">
        <v>627</v>
      </c>
      <c r="J30" s="455"/>
      <c r="K30" s="450" t="s">
        <v>626</v>
      </c>
      <c r="L30" s="397"/>
    </row>
    <row r="31" spans="2:14" ht="42.75">
      <c r="B31" s="189" t="s">
        <v>137</v>
      </c>
      <c r="C31" s="189" t="s">
        <v>309</v>
      </c>
      <c r="D31" s="189" t="s">
        <v>310</v>
      </c>
      <c r="F31" s="454"/>
      <c r="G31" s="454"/>
      <c r="H31" s="454"/>
      <c r="I31" s="451" t="s">
        <v>629</v>
      </c>
      <c r="J31" s="450" t="s">
        <v>628</v>
      </c>
      <c r="K31" s="452">
        <v>0.5</v>
      </c>
    </row>
    <row r="32" spans="2:14">
      <c r="B32" s="187" t="s">
        <v>132</v>
      </c>
      <c r="C32" s="188">
        <v>0.1</v>
      </c>
      <c r="D32" s="188">
        <v>0.32</v>
      </c>
      <c r="F32" s="441" t="s">
        <v>614</v>
      </c>
      <c r="G32" s="442">
        <v>5</v>
      </c>
      <c r="H32" s="447" t="s">
        <v>623</v>
      </c>
      <c r="I32" s="442">
        <v>2.5</v>
      </c>
      <c r="J32" s="424"/>
      <c r="K32" s="424"/>
      <c r="L32" s="398"/>
      <c r="N32" s="400"/>
    </row>
    <row r="33" spans="2:17">
      <c r="B33" s="187" t="s">
        <v>131</v>
      </c>
      <c r="C33" s="188">
        <v>0.33</v>
      </c>
      <c r="D33" s="188">
        <v>0.54</v>
      </c>
      <c r="F33" s="441" t="s">
        <v>615</v>
      </c>
      <c r="G33" s="442">
        <v>4.5</v>
      </c>
      <c r="H33" s="448" t="s">
        <v>634</v>
      </c>
      <c r="I33" s="442">
        <v>8</v>
      </c>
      <c r="J33" s="424">
        <f>(100-$I$32)/(100-I33)</f>
        <v>1.0597826086956521</v>
      </c>
      <c r="K33" s="424">
        <f t="shared" ref="K33:K40" si="3">J33*(1+$K$31/5)</f>
        <v>1.1657608695652175</v>
      </c>
      <c r="L33" s="398"/>
      <c r="M33" s="396"/>
      <c r="N33" s="400"/>
    </row>
    <row r="34" spans="2:17">
      <c r="B34" s="187" t="s">
        <v>130</v>
      </c>
      <c r="C34" s="188">
        <v>0.55000000000000004</v>
      </c>
      <c r="D34" s="188">
        <v>0.76</v>
      </c>
      <c r="F34" s="441" t="s">
        <v>213</v>
      </c>
      <c r="G34" s="442">
        <v>4</v>
      </c>
      <c r="H34" s="447" t="s">
        <v>635</v>
      </c>
      <c r="I34" s="442">
        <f>31/2</f>
        <v>15.5</v>
      </c>
      <c r="J34" s="424">
        <f t="shared" ref="J34:J40" si="4">(100-$I$32)/(100-I34)</f>
        <v>1.1538461538461537</v>
      </c>
      <c r="K34" s="424">
        <f t="shared" si="3"/>
        <v>1.2692307692307692</v>
      </c>
      <c r="L34" s="398"/>
      <c r="M34" s="396"/>
      <c r="N34" s="400"/>
    </row>
    <row r="35" spans="2:17">
      <c r="B35" s="187" t="s">
        <v>129</v>
      </c>
      <c r="C35" s="188">
        <v>0.77</v>
      </c>
      <c r="D35" s="188">
        <v>1</v>
      </c>
      <c r="F35" s="441" t="s">
        <v>616</v>
      </c>
      <c r="G35" s="442">
        <v>3.5</v>
      </c>
      <c r="H35" s="447" t="s">
        <v>636</v>
      </c>
      <c r="I35" s="442">
        <f>51/2</f>
        <v>25.5</v>
      </c>
      <c r="J35" s="424">
        <f t="shared" si="4"/>
        <v>1.3087248322147651</v>
      </c>
      <c r="K35" s="424">
        <f t="shared" si="3"/>
        <v>1.4395973154362418</v>
      </c>
      <c r="L35" s="398"/>
      <c r="M35" s="396"/>
      <c r="N35" s="400"/>
    </row>
    <row r="36" spans="2:17">
      <c r="B36" s="187" t="s">
        <v>136</v>
      </c>
      <c r="C36" s="188">
        <v>0.12</v>
      </c>
      <c r="D36" s="188">
        <v>0.32</v>
      </c>
      <c r="F36" s="441" t="s">
        <v>558</v>
      </c>
      <c r="G36" s="442">
        <v>3</v>
      </c>
      <c r="H36" s="447" t="s">
        <v>637</v>
      </c>
      <c r="I36" s="442">
        <f>71/2</f>
        <v>35.5</v>
      </c>
      <c r="J36" s="424">
        <f t="shared" si="4"/>
        <v>1.5116279069767442</v>
      </c>
      <c r="K36" s="424">
        <f t="shared" si="3"/>
        <v>1.6627906976744187</v>
      </c>
      <c r="L36" s="398"/>
      <c r="M36" s="396"/>
      <c r="N36" s="400"/>
    </row>
    <row r="37" spans="2:17">
      <c r="B37" s="187" t="s">
        <v>135</v>
      </c>
      <c r="C37" s="188">
        <v>0.33</v>
      </c>
      <c r="D37" s="188">
        <v>0.54</v>
      </c>
      <c r="F37" s="441" t="s">
        <v>631</v>
      </c>
      <c r="G37" s="442">
        <v>2.5</v>
      </c>
      <c r="H37" s="447" t="s">
        <v>633</v>
      </c>
      <c r="I37" s="442">
        <f>91/2</f>
        <v>45.5</v>
      </c>
      <c r="J37" s="424">
        <f t="shared" si="4"/>
        <v>1.7889908256880733</v>
      </c>
      <c r="K37" s="424">
        <f t="shared" si="3"/>
        <v>1.9678899082568808</v>
      </c>
      <c r="L37" s="398"/>
      <c r="M37" s="396"/>
      <c r="N37" s="400"/>
    </row>
    <row r="38" spans="2:17">
      <c r="B38" s="187" t="s">
        <v>134</v>
      </c>
      <c r="C38" s="188">
        <v>0.55000000000000004</v>
      </c>
      <c r="D38" s="188">
        <v>0.76</v>
      </c>
      <c r="F38" s="441" t="s">
        <v>632</v>
      </c>
      <c r="G38" s="442">
        <v>2</v>
      </c>
      <c r="H38" s="447" t="s">
        <v>639</v>
      </c>
      <c r="I38" s="442">
        <f>111/2</f>
        <v>55.5</v>
      </c>
      <c r="J38" s="425">
        <f t="shared" si="4"/>
        <v>2.191011235955056</v>
      </c>
      <c r="K38" s="425">
        <f t="shared" si="3"/>
        <v>2.4101123595505616</v>
      </c>
      <c r="L38" s="398"/>
      <c r="M38" s="399"/>
      <c r="N38" s="400"/>
    </row>
    <row r="39" spans="2:17">
      <c r="B39" s="187" t="s">
        <v>133</v>
      </c>
      <c r="C39" s="188">
        <v>0.77</v>
      </c>
      <c r="D39" s="188">
        <v>1</v>
      </c>
      <c r="F39" s="441" t="s">
        <v>638</v>
      </c>
      <c r="G39" s="442">
        <v>1.5</v>
      </c>
      <c r="H39" s="447" t="s">
        <v>604</v>
      </c>
      <c r="I39" s="442">
        <f>141/2</f>
        <v>70.5</v>
      </c>
      <c r="J39" s="425">
        <f t="shared" si="4"/>
        <v>3.3050847457627119</v>
      </c>
      <c r="K39" s="425">
        <f t="shared" si="3"/>
        <v>3.6355932203389836</v>
      </c>
      <c r="L39" s="398"/>
      <c r="M39" s="396"/>
      <c r="N39" s="400"/>
    </row>
    <row r="40" spans="2:17">
      <c r="B40" s="187" t="s">
        <v>116</v>
      </c>
      <c r="C40" s="188">
        <v>0</v>
      </c>
      <c r="D40" s="188">
        <v>0.11</v>
      </c>
      <c r="F40" s="441" t="s">
        <v>617</v>
      </c>
      <c r="G40" s="443">
        <v>1</v>
      </c>
      <c r="H40" s="449" t="s">
        <v>607</v>
      </c>
      <c r="I40" s="441">
        <f>181/2</f>
        <v>90.5</v>
      </c>
      <c r="J40" s="425">
        <f t="shared" si="4"/>
        <v>10.263157894736842</v>
      </c>
      <c r="K40" s="425">
        <f t="shared" si="3"/>
        <v>11.289473684210527</v>
      </c>
    </row>
    <row r="42" spans="2:17" ht="28.5">
      <c r="H42" s="426" t="s">
        <v>624</v>
      </c>
      <c r="I42" s="427" t="s">
        <v>614</v>
      </c>
      <c r="J42" s="427" t="s">
        <v>615</v>
      </c>
      <c r="K42" s="427" t="s">
        <v>213</v>
      </c>
      <c r="L42" s="427" t="s">
        <v>616</v>
      </c>
      <c r="M42" s="427" t="s">
        <v>558</v>
      </c>
      <c r="N42" s="427" t="s">
        <v>631</v>
      </c>
      <c r="O42" s="427" t="s">
        <v>632</v>
      </c>
      <c r="P42" s="427" t="s">
        <v>638</v>
      </c>
      <c r="Q42" s="427" t="s">
        <v>617</v>
      </c>
    </row>
    <row r="43" spans="2:17">
      <c r="B43" s="25" t="s">
        <v>83</v>
      </c>
      <c r="C43" s="25" t="s">
        <v>619</v>
      </c>
      <c r="D43" s="25" t="s">
        <v>618</v>
      </c>
      <c r="E43" s="25" t="s">
        <v>621</v>
      </c>
      <c r="F43" s="25" t="s">
        <v>622</v>
      </c>
      <c r="H43" s="427" t="s">
        <v>614</v>
      </c>
      <c r="I43" s="423">
        <v>1</v>
      </c>
      <c r="J43" s="424">
        <f>J33</f>
        <v>1.0597826086956521</v>
      </c>
      <c r="K43" s="424">
        <f>J34</f>
        <v>1.1538461538461537</v>
      </c>
      <c r="L43" s="424">
        <f>J35</f>
        <v>1.3087248322147651</v>
      </c>
      <c r="M43" s="424">
        <f>J36</f>
        <v>1.5116279069767442</v>
      </c>
      <c r="N43" s="425">
        <f>J37</f>
        <v>1.7889908256880733</v>
      </c>
      <c r="O43" s="425">
        <f>J38</f>
        <v>2.191011235955056</v>
      </c>
      <c r="P43" s="425">
        <f>J39</f>
        <v>3.3050847457627119</v>
      </c>
      <c r="Q43" s="425"/>
    </row>
    <row r="44" spans="2:17">
      <c r="B44" s="181">
        <v>100</v>
      </c>
      <c r="C44" s="181">
        <v>0.5</v>
      </c>
      <c r="D44" s="181">
        <v>5</v>
      </c>
      <c r="E44" s="181">
        <f>B44*D44</f>
        <v>500</v>
      </c>
      <c r="F44" s="181">
        <f>E44*C44</f>
        <v>250</v>
      </c>
      <c r="H44" s="427" t="s">
        <v>615</v>
      </c>
      <c r="I44" s="424">
        <f>1/J43</f>
        <v>0.94358974358974368</v>
      </c>
      <c r="J44" s="423">
        <v>1</v>
      </c>
      <c r="K44" s="424">
        <f>J34/J33</f>
        <v>1.0887573964497042</v>
      </c>
      <c r="L44" s="424">
        <f>J35/J33</f>
        <v>1.2348993288590604</v>
      </c>
      <c r="M44" s="424">
        <f>J36/J33</f>
        <v>1.4263565891472869</v>
      </c>
      <c r="N44" s="424">
        <f>J37/J33</f>
        <v>1.6880733944954129</v>
      </c>
      <c r="O44" s="425">
        <f>J38/J33</f>
        <v>2.0674157303370788</v>
      </c>
      <c r="P44" s="425">
        <f>J39/J33</f>
        <v>3.1186440677966103</v>
      </c>
      <c r="Q44" s="424"/>
    </row>
    <row r="45" spans="2:17">
      <c r="B45" s="181">
        <v>200</v>
      </c>
      <c r="C45" s="181">
        <v>1</v>
      </c>
      <c r="D45" s="181">
        <v>2</v>
      </c>
      <c r="E45" s="181">
        <f>B45*D45</f>
        <v>400</v>
      </c>
      <c r="F45" s="181">
        <f>E45*C45</f>
        <v>400</v>
      </c>
      <c r="H45" s="427" t="s">
        <v>213</v>
      </c>
      <c r="I45" s="424">
        <f>1/K43</f>
        <v>0.8666666666666667</v>
      </c>
      <c r="J45" s="424">
        <f>1/K44</f>
        <v>0.91847826086956519</v>
      </c>
      <c r="K45" s="423">
        <v>1</v>
      </c>
      <c r="L45" s="424">
        <f>J35/J34</f>
        <v>1.1342281879194631</v>
      </c>
      <c r="M45" s="424">
        <f>J36/J34</f>
        <v>1.3100775193798451</v>
      </c>
      <c r="N45" s="424">
        <f>J37/J34</f>
        <v>1.5504587155963303</v>
      </c>
      <c r="O45" s="425">
        <f>J38/J34</f>
        <v>1.898876404494382</v>
      </c>
      <c r="P45" s="425">
        <f>J39/J34</f>
        <v>2.8644067796610173</v>
      </c>
      <c r="Q45" s="424"/>
    </row>
    <row r="46" spans="2:17">
      <c r="B46" s="181">
        <v>300</v>
      </c>
      <c r="C46" s="181">
        <f>SUM(C44:C45)</f>
        <v>1.5</v>
      </c>
      <c r="E46" s="181">
        <f>SUM(E44:E45)</f>
        <v>900</v>
      </c>
      <c r="F46" s="181">
        <f>SUM(F44:F45)</f>
        <v>650</v>
      </c>
      <c r="H46" s="427" t="s">
        <v>616</v>
      </c>
      <c r="I46" s="424">
        <f>1/L43</f>
        <v>0.76410256410256405</v>
      </c>
      <c r="J46" s="424">
        <f>1/L44</f>
        <v>0.80978260869565222</v>
      </c>
      <c r="K46" s="424">
        <f>1/L45</f>
        <v>0.88165680473372776</v>
      </c>
      <c r="L46" s="423">
        <v>1</v>
      </c>
      <c r="M46" s="424">
        <f>J36/J35</f>
        <v>1.1550387596899225</v>
      </c>
      <c r="N46" s="424">
        <f>J37/J35</f>
        <v>1.3669724770642202</v>
      </c>
      <c r="O46" s="424">
        <f>J38/J35</f>
        <v>1.6741573033707864</v>
      </c>
      <c r="P46" s="425">
        <f>J39/J35</f>
        <v>2.5254237288135593</v>
      </c>
      <c r="Q46" s="424"/>
    </row>
    <row r="47" spans="2:17">
      <c r="E47" s="395">
        <f>E46/B46</f>
        <v>3</v>
      </c>
      <c r="F47" s="395">
        <f>F46/(B44*C44+B45*C45)</f>
        <v>2.6</v>
      </c>
      <c r="H47" s="427" t="s">
        <v>558</v>
      </c>
      <c r="I47" s="424">
        <f>1/M43</f>
        <v>0.66153846153846152</v>
      </c>
      <c r="J47" s="424">
        <f>1/M44</f>
        <v>0.70108695652173914</v>
      </c>
      <c r="K47" s="424">
        <f>1/M45</f>
        <v>0.76331360946745552</v>
      </c>
      <c r="L47" s="424">
        <f>1/M46</f>
        <v>0.86577181208053688</v>
      </c>
      <c r="M47" s="423">
        <v>1</v>
      </c>
      <c r="N47" s="424">
        <f>J37/J36</f>
        <v>1.1834862385321101</v>
      </c>
      <c r="O47" s="424">
        <f>J38/J36</f>
        <v>1.4494382022471908</v>
      </c>
      <c r="P47" s="425">
        <f>J39/J36</f>
        <v>2.1864406779661016</v>
      </c>
      <c r="Q47" s="424"/>
    </row>
    <row r="48" spans="2:17">
      <c r="H48" s="427" t="s">
        <v>631</v>
      </c>
      <c r="I48" s="424">
        <f>1/N43</f>
        <v>0.55897435897435899</v>
      </c>
      <c r="J48" s="424">
        <f>1/N44</f>
        <v>0.59239130434782605</v>
      </c>
      <c r="K48" s="424">
        <f>1/N45</f>
        <v>0.6449704142011834</v>
      </c>
      <c r="L48" s="424">
        <f>1/N46</f>
        <v>0.73154362416107377</v>
      </c>
      <c r="M48" s="424">
        <f>1/N47</f>
        <v>0.84496124031007747</v>
      </c>
      <c r="N48" s="423">
        <v>1</v>
      </c>
      <c r="O48" s="424">
        <f>J38/J37</f>
        <v>1.2247191011235954</v>
      </c>
      <c r="P48" s="425">
        <f>J39/J37</f>
        <v>1.8474576271186443</v>
      </c>
      <c r="Q48" s="424"/>
    </row>
    <row r="49" spans="7:17">
      <c r="H49" s="427" t="s">
        <v>632</v>
      </c>
      <c r="I49" s="453">
        <f>1/O43</f>
        <v>0.45641025641025645</v>
      </c>
      <c r="J49" s="453">
        <f>1/O44</f>
        <v>0.48369565217391303</v>
      </c>
      <c r="K49" s="424">
        <f>1/O45</f>
        <v>0.52662721893491127</v>
      </c>
      <c r="L49" s="424">
        <f>1/O46</f>
        <v>0.59731543624161076</v>
      </c>
      <c r="M49" s="424">
        <f>1/O47</f>
        <v>0.68992248062015515</v>
      </c>
      <c r="N49" s="424">
        <f>1/O48</f>
        <v>0.81651376146789001</v>
      </c>
      <c r="O49" s="423">
        <v>1</v>
      </c>
      <c r="P49" s="424">
        <f>J39/J38</f>
        <v>1.5084745762711866</v>
      </c>
      <c r="Q49" s="425">
        <f>J40/J38</f>
        <v>4.6842105263157903</v>
      </c>
    </row>
    <row r="50" spans="7:17">
      <c r="H50" s="427" t="s">
        <v>638</v>
      </c>
      <c r="I50" s="424"/>
      <c r="J50" s="424"/>
      <c r="K50" s="425">
        <f>1/P45</f>
        <v>0.34911242603550291</v>
      </c>
      <c r="L50" s="453">
        <f>1/P46</f>
        <v>0.39597315436241609</v>
      </c>
      <c r="M50" s="453">
        <f>1/P47</f>
        <v>0.45736434108527135</v>
      </c>
      <c r="N50" s="424">
        <f>1/P48</f>
        <v>0.54128440366972475</v>
      </c>
      <c r="O50" s="424">
        <f>1/P49</f>
        <v>0.6629213483146067</v>
      </c>
      <c r="P50" s="423">
        <v>1</v>
      </c>
      <c r="Q50" s="425">
        <f>J40/J39</f>
        <v>3.1052631578947367</v>
      </c>
    </row>
    <row r="51" spans="7:17">
      <c r="H51" s="427" t="s">
        <v>617</v>
      </c>
      <c r="I51" s="424"/>
      <c r="J51" s="424"/>
      <c r="K51" s="424"/>
      <c r="L51" s="424"/>
      <c r="M51" s="424"/>
      <c r="N51" s="424"/>
      <c r="O51" s="425">
        <f>1/Q49</f>
        <v>0.2134831460674157</v>
      </c>
      <c r="P51" s="425">
        <f>1/Q50</f>
        <v>0.32203389830508478</v>
      </c>
      <c r="Q51" s="423">
        <v>1</v>
      </c>
    </row>
    <row r="52" spans="7:17" ht="15.75">
      <c r="G52" s="405" t="s">
        <v>640</v>
      </c>
    </row>
    <row r="53" spans="7:17">
      <c r="G53" s="461" t="s">
        <v>624</v>
      </c>
      <c r="H53" s="462"/>
      <c r="I53" s="456" t="s">
        <v>641</v>
      </c>
      <c r="J53" s="457"/>
      <c r="K53" s="457"/>
      <c r="L53" s="457"/>
      <c r="M53" s="457"/>
      <c r="N53" s="457"/>
      <c r="O53" s="457"/>
      <c r="P53" s="457"/>
      <c r="Q53" s="458"/>
    </row>
    <row r="54" spans="7:17">
      <c r="G54" s="463"/>
      <c r="H54" s="464"/>
      <c r="I54" s="411" t="s">
        <v>614</v>
      </c>
      <c r="J54" s="404" t="s">
        <v>615</v>
      </c>
      <c r="K54" s="404" t="s">
        <v>213</v>
      </c>
      <c r="L54" s="404" t="s">
        <v>616</v>
      </c>
      <c r="M54" s="404" t="s">
        <v>558</v>
      </c>
      <c r="N54" s="404" t="s">
        <v>631</v>
      </c>
      <c r="O54" s="404" t="s">
        <v>632</v>
      </c>
      <c r="P54" s="404" t="s">
        <v>638</v>
      </c>
      <c r="Q54" s="412" t="s">
        <v>617</v>
      </c>
    </row>
    <row r="55" spans="7:17">
      <c r="G55" s="459" t="s">
        <v>159</v>
      </c>
      <c r="H55" s="413" t="s">
        <v>614</v>
      </c>
      <c r="I55" s="406">
        <f>MROUND(I43,0.05)</f>
        <v>1</v>
      </c>
      <c r="J55" s="407">
        <f t="shared" ref="J55:P55" si="5">MROUND(J43,0.05)</f>
        <v>1.05</v>
      </c>
      <c r="K55" s="407">
        <f t="shared" si="5"/>
        <v>1.1500000000000001</v>
      </c>
      <c r="L55" s="407">
        <f t="shared" si="5"/>
        <v>1.3</v>
      </c>
      <c r="M55" s="407">
        <f t="shared" si="5"/>
        <v>1.5</v>
      </c>
      <c r="N55" s="407">
        <f t="shared" si="5"/>
        <v>1.8</v>
      </c>
      <c r="O55" s="407">
        <f t="shared" si="5"/>
        <v>2.2000000000000002</v>
      </c>
      <c r="P55" s="416">
        <f t="shared" si="5"/>
        <v>3.3000000000000003</v>
      </c>
      <c r="Q55" s="408"/>
    </row>
    <row r="56" spans="7:17">
      <c r="G56" s="459"/>
      <c r="H56" s="417" t="s">
        <v>615</v>
      </c>
      <c r="I56" s="418">
        <f t="shared" ref="I56:P56" si="6">MROUND(I44,0.05)</f>
        <v>0.95000000000000007</v>
      </c>
      <c r="J56" s="419">
        <f t="shared" si="6"/>
        <v>1</v>
      </c>
      <c r="K56" s="418">
        <f t="shared" si="6"/>
        <v>1.1000000000000001</v>
      </c>
      <c r="L56" s="418">
        <f t="shared" si="6"/>
        <v>1.25</v>
      </c>
      <c r="M56" s="418">
        <f t="shared" si="6"/>
        <v>1.4500000000000002</v>
      </c>
      <c r="N56" s="418">
        <f t="shared" si="6"/>
        <v>1.7000000000000002</v>
      </c>
      <c r="O56" s="418">
        <f t="shared" si="6"/>
        <v>2.0500000000000003</v>
      </c>
      <c r="P56" s="420">
        <f t="shared" si="6"/>
        <v>3.1</v>
      </c>
      <c r="Q56" s="421"/>
    </row>
    <row r="57" spans="7:17">
      <c r="G57" s="459"/>
      <c r="H57" s="414" t="s">
        <v>213</v>
      </c>
      <c r="I57" s="407">
        <f t="shared" ref="I57:P57" si="7">MROUND(I45,0.05)</f>
        <v>0.85000000000000009</v>
      </c>
      <c r="J57" s="407">
        <f t="shared" si="7"/>
        <v>0.9</v>
      </c>
      <c r="K57" s="406">
        <f t="shared" si="7"/>
        <v>1</v>
      </c>
      <c r="L57" s="407">
        <f t="shared" si="7"/>
        <v>1.1500000000000001</v>
      </c>
      <c r="M57" s="407">
        <f t="shared" si="7"/>
        <v>1.3</v>
      </c>
      <c r="N57" s="407">
        <f t="shared" si="7"/>
        <v>1.55</v>
      </c>
      <c r="O57" s="407">
        <f t="shared" si="7"/>
        <v>1.9000000000000001</v>
      </c>
      <c r="P57" s="416">
        <f t="shared" si="7"/>
        <v>2.85</v>
      </c>
      <c r="Q57" s="408"/>
    </row>
    <row r="58" spans="7:17">
      <c r="G58" s="459"/>
      <c r="H58" s="417" t="s">
        <v>616</v>
      </c>
      <c r="I58" s="418">
        <f t="shared" ref="I58:P58" si="8">MROUND(I46,0.05)</f>
        <v>0.75</v>
      </c>
      <c r="J58" s="418">
        <f t="shared" si="8"/>
        <v>0.8</v>
      </c>
      <c r="K58" s="418">
        <f t="shared" si="8"/>
        <v>0.9</v>
      </c>
      <c r="L58" s="419">
        <f t="shared" si="8"/>
        <v>1</v>
      </c>
      <c r="M58" s="418">
        <f t="shared" si="8"/>
        <v>1.1500000000000001</v>
      </c>
      <c r="N58" s="418">
        <f t="shared" si="8"/>
        <v>1.35</v>
      </c>
      <c r="O58" s="418">
        <f t="shared" si="8"/>
        <v>1.6500000000000001</v>
      </c>
      <c r="P58" s="420">
        <f t="shared" si="8"/>
        <v>2.5500000000000003</v>
      </c>
      <c r="Q58" s="421"/>
    </row>
    <row r="59" spans="7:17">
      <c r="G59" s="459"/>
      <c r="H59" s="414" t="s">
        <v>558</v>
      </c>
      <c r="I59" s="407">
        <f t="shared" ref="I59:P59" si="9">MROUND(I47,0.05)</f>
        <v>0.65</v>
      </c>
      <c r="J59" s="407">
        <f t="shared" si="9"/>
        <v>0.70000000000000007</v>
      </c>
      <c r="K59" s="407">
        <f t="shared" si="9"/>
        <v>0.75</v>
      </c>
      <c r="L59" s="407">
        <f t="shared" si="9"/>
        <v>0.85000000000000009</v>
      </c>
      <c r="M59" s="406">
        <f t="shared" si="9"/>
        <v>1</v>
      </c>
      <c r="N59" s="407">
        <f t="shared" si="9"/>
        <v>1.2000000000000002</v>
      </c>
      <c r="O59" s="407">
        <f t="shared" si="9"/>
        <v>1.4500000000000002</v>
      </c>
      <c r="P59" s="407">
        <f t="shared" si="9"/>
        <v>2.2000000000000002</v>
      </c>
      <c r="Q59" s="408"/>
    </row>
    <row r="60" spans="7:17">
      <c r="G60" s="459"/>
      <c r="H60" s="417" t="s">
        <v>631</v>
      </c>
      <c r="I60" s="418">
        <f t="shared" ref="I60:P60" si="10">MROUND(I48,0.05)</f>
        <v>0.55000000000000004</v>
      </c>
      <c r="J60" s="418">
        <f t="shared" si="10"/>
        <v>0.60000000000000009</v>
      </c>
      <c r="K60" s="418">
        <f t="shared" si="10"/>
        <v>0.65</v>
      </c>
      <c r="L60" s="418">
        <f t="shared" si="10"/>
        <v>0.75</v>
      </c>
      <c r="M60" s="418">
        <f t="shared" si="10"/>
        <v>0.85000000000000009</v>
      </c>
      <c r="N60" s="419">
        <f t="shared" si="10"/>
        <v>1</v>
      </c>
      <c r="O60" s="418">
        <f t="shared" si="10"/>
        <v>1.2000000000000002</v>
      </c>
      <c r="P60" s="418">
        <f t="shared" si="10"/>
        <v>1.85</v>
      </c>
      <c r="Q60" s="421"/>
    </row>
    <row r="61" spans="7:17">
      <c r="G61" s="459"/>
      <c r="H61" s="414" t="s">
        <v>632</v>
      </c>
      <c r="I61" s="407">
        <f t="shared" ref="I61:P61" si="11">MROUND(I49,0.05)</f>
        <v>0.45</v>
      </c>
      <c r="J61" s="407">
        <f t="shared" si="11"/>
        <v>0.5</v>
      </c>
      <c r="K61" s="407">
        <f t="shared" si="11"/>
        <v>0.55000000000000004</v>
      </c>
      <c r="L61" s="407">
        <f t="shared" si="11"/>
        <v>0.60000000000000009</v>
      </c>
      <c r="M61" s="407">
        <f t="shared" si="11"/>
        <v>0.70000000000000007</v>
      </c>
      <c r="N61" s="407">
        <f t="shared" si="11"/>
        <v>0.8</v>
      </c>
      <c r="O61" s="406">
        <f t="shared" si="11"/>
        <v>1</v>
      </c>
      <c r="P61" s="407">
        <f t="shared" si="11"/>
        <v>1.5</v>
      </c>
      <c r="Q61" s="408"/>
    </row>
    <row r="62" spans="7:17">
      <c r="G62" s="459"/>
      <c r="H62" s="417" t="s">
        <v>638</v>
      </c>
      <c r="I62" s="418"/>
      <c r="J62" s="418"/>
      <c r="K62" s="418">
        <f t="shared" ref="K62:Q62" si="12">MROUND(K50,0.05)</f>
        <v>0.35000000000000003</v>
      </c>
      <c r="L62" s="418">
        <f t="shared" si="12"/>
        <v>0.4</v>
      </c>
      <c r="M62" s="418">
        <f t="shared" si="12"/>
        <v>0.45</v>
      </c>
      <c r="N62" s="418">
        <f t="shared" si="12"/>
        <v>0.55000000000000004</v>
      </c>
      <c r="O62" s="418">
        <f t="shared" si="12"/>
        <v>0.65</v>
      </c>
      <c r="P62" s="419">
        <f t="shared" si="12"/>
        <v>1</v>
      </c>
      <c r="Q62" s="422">
        <f t="shared" si="12"/>
        <v>3.1</v>
      </c>
    </row>
    <row r="63" spans="7:17">
      <c r="G63" s="460"/>
      <c r="H63" s="415" t="s">
        <v>617</v>
      </c>
      <c r="I63" s="409"/>
      <c r="J63" s="409"/>
      <c r="K63" s="409"/>
      <c r="L63" s="409"/>
      <c r="M63" s="409"/>
      <c r="N63" s="409"/>
      <c r="O63" s="409">
        <f t="shared" ref="O63:Q63" si="13">MROUND(O51,0.05)</f>
        <v>0.2</v>
      </c>
      <c r="P63" s="409">
        <f t="shared" si="13"/>
        <v>0.30000000000000004</v>
      </c>
      <c r="Q63" s="410">
        <f t="shared" si="13"/>
        <v>1</v>
      </c>
    </row>
  </sheetData>
  <mergeCells count="7">
    <mergeCell ref="F30:F31"/>
    <mergeCell ref="I30:J30"/>
    <mergeCell ref="I53:Q53"/>
    <mergeCell ref="G55:G63"/>
    <mergeCell ref="G53:H54"/>
    <mergeCell ref="H30:H31"/>
    <mergeCell ref="G30:G31"/>
  </mergeCells>
  <phoneticPr fontId="1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FE9E4-3011-4DA2-B5C8-9F6D865F1D8F}">
  <sheetPr>
    <tabColor theme="4" tint="0.39997558519241921"/>
  </sheetPr>
  <dimension ref="A1:Q150"/>
  <sheetViews>
    <sheetView topLeftCell="A33" zoomScale="85" zoomScaleNormal="85" workbookViewId="0">
      <selection activeCell="D49" sqref="D49"/>
    </sheetView>
  </sheetViews>
  <sheetFormatPr defaultRowHeight="12.75" outlineLevelRow="1"/>
  <cols>
    <col min="1" max="1" width="48.625" style="74" customWidth="1"/>
    <col min="2" max="4" width="36.375" style="74" customWidth="1"/>
    <col min="5" max="5" width="36.125" style="74" customWidth="1"/>
    <col min="6" max="6" width="24.875" style="74" customWidth="1"/>
    <col min="7" max="7" width="36.125" style="74" customWidth="1"/>
    <col min="8" max="8" width="36.375" style="74" customWidth="1"/>
    <col min="9" max="9" width="36.125" style="74" customWidth="1"/>
    <col min="10" max="10" width="36.375" style="74" customWidth="1"/>
    <col min="11" max="243" width="9" style="74"/>
    <col min="244" max="244" width="44" style="74" customWidth="1"/>
    <col min="245" max="245" width="24" style="74" customWidth="1"/>
    <col min="246" max="246" width="26.25" style="74" customWidth="1"/>
    <col min="247" max="247" width="25.375" style="74" customWidth="1"/>
    <col min="248" max="250" width="26" style="74" customWidth="1"/>
    <col min="251" max="251" width="9" style="74"/>
    <col min="252" max="253" width="26" style="74" customWidth="1"/>
    <col min="254" max="499" width="9" style="74"/>
    <col min="500" max="500" width="44" style="74" customWidth="1"/>
    <col min="501" max="501" width="24" style="74" customWidth="1"/>
    <col min="502" max="502" width="26.25" style="74" customWidth="1"/>
    <col min="503" max="503" width="25.375" style="74" customWidth="1"/>
    <col min="504" max="506" width="26" style="74" customWidth="1"/>
    <col min="507" max="507" width="9" style="74"/>
    <col min="508" max="509" width="26" style="74" customWidth="1"/>
    <col min="510" max="755" width="9" style="74"/>
    <col min="756" max="756" width="44" style="74" customWidth="1"/>
    <col min="757" max="757" width="24" style="74" customWidth="1"/>
    <col min="758" max="758" width="26.25" style="74" customWidth="1"/>
    <col min="759" max="759" width="25.375" style="74" customWidth="1"/>
    <col min="760" max="762" width="26" style="74" customWidth="1"/>
    <col min="763" max="763" width="9" style="74"/>
    <col min="764" max="765" width="26" style="74" customWidth="1"/>
    <col min="766" max="1011" width="9" style="74"/>
    <col min="1012" max="1012" width="44" style="74" customWidth="1"/>
    <col min="1013" max="1013" width="24" style="74" customWidth="1"/>
    <col min="1014" max="1014" width="26.25" style="74" customWidth="1"/>
    <col min="1015" max="1015" width="25.375" style="74" customWidth="1"/>
    <col min="1016" max="1018" width="26" style="74" customWidth="1"/>
    <col min="1019" max="1019" width="9" style="74"/>
    <col min="1020" max="1021" width="26" style="74" customWidth="1"/>
    <col min="1022" max="1267" width="9" style="74"/>
    <col min="1268" max="1268" width="44" style="74" customWidth="1"/>
    <col min="1269" max="1269" width="24" style="74" customWidth="1"/>
    <col min="1270" max="1270" width="26.25" style="74" customWidth="1"/>
    <col min="1271" max="1271" width="25.375" style="74" customWidth="1"/>
    <col min="1272" max="1274" width="26" style="74" customWidth="1"/>
    <col min="1275" max="1275" width="9" style="74"/>
    <col min="1276" max="1277" width="26" style="74" customWidth="1"/>
    <col min="1278" max="1523" width="9" style="74"/>
    <col min="1524" max="1524" width="44" style="74" customWidth="1"/>
    <col min="1525" max="1525" width="24" style="74" customWidth="1"/>
    <col min="1526" max="1526" width="26.25" style="74" customWidth="1"/>
    <col min="1527" max="1527" width="25.375" style="74" customWidth="1"/>
    <col min="1528" max="1530" width="26" style="74" customWidth="1"/>
    <col min="1531" max="1531" width="9" style="74"/>
    <col min="1532" max="1533" width="26" style="74" customWidth="1"/>
    <col min="1534" max="1779" width="9" style="74"/>
    <col min="1780" max="1780" width="44" style="74" customWidth="1"/>
    <col min="1781" max="1781" width="24" style="74" customWidth="1"/>
    <col min="1782" max="1782" width="26.25" style="74" customWidth="1"/>
    <col min="1783" max="1783" width="25.375" style="74" customWidth="1"/>
    <col min="1784" max="1786" width="26" style="74" customWidth="1"/>
    <col min="1787" max="1787" width="9" style="74"/>
    <col min="1788" max="1789" width="26" style="74" customWidth="1"/>
    <col min="1790" max="2035" width="9" style="74"/>
    <col min="2036" max="2036" width="44" style="74" customWidth="1"/>
    <col min="2037" max="2037" width="24" style="74" customWidth="1"/>
    <col min="2038" max="2038" width="26.25" style="74" customWidth="1"/>
    <col min="2039" max="2039" width="25.375" style="74" customWidth="1"/>
    <col min="2040" max="2042" width="26" style="74" customWidth="1"/>
    <col min="2043" max="2043" width="9" style="74"/>
    <col min="2044" max="2045" width="26" style="74" customWidth="1"/>
    <col min="2046" max="2291" width="9" style="74"/>
    <col min="2292" max="2292" width="44" style="74" customWidth="1"/>
    <col min="2293" max="2293" width="24" style="74" customWidth="1"/>
    <col min="2294" max="2294" width="26.25" style="74" customWidth="1"/>
    <col min="2295" max="2295" width="25.375" style="74" customWidth="1"/>
    <col min="2296" max="2298" width="26" style="74" customWidth="1"/>
    <col min="2299" max="2299" width="9" style="74"/>
    <col min="2300" max="2301" width="26" style="74" customWidth="1"/>
    <col min="2302" max="2547" width="9" style="74"/>
    <col min="2548" max="2548" width="44" style="74" customWidth="1"/>
    <col min="2549" max="2549" width="24" style="74" customWidth="1"/>
    <col min="2550" max="2550" width="26.25" style="74" customWidth="1"/>
    <col min="2551" max="2551" width="25.375" style="74" customWidth="1"/>
    <col min="2552" max="2554" width="26" style="74" customWidth="1"/>
    <col min="2555" max="2555" width="9" style="74"/>
    <col min="2556" max="2557" width="26" style="74" customWidth="1"/>
    <col min="2558" max="2803" width="9" style="74"/>
    <col min="2804" max="2804" width="44" style="74" customWidth="1"/>
    <col min="2805" max="2805" width="24" style="74" customWidth="1"/>
    <col min="2806" max="2806" width="26.25" style="74" customWidth="1"/>
    <col min="2807" max="2807" width="25.375" style="74" customWidth="1"/>
    <col min="2808" max="2810" width="26" style="74" customWidth="1"/>
    <col min="2811" max="2811" width="9" style="74"/>
    <col min="2812" max="2813" width="26" style="74" customWidth="1"/>
    <col min="2814" max="3059" width="9" style="74"/>
    <col min="3060" max="3060" width="44" style="74" customWidth="1"/>
    <col min="3061" max="3061" width="24" style="74" customWidth="1"/>
    <col min="3062" max="3062" width="26.25" style="74" customWidth="1"/>
    <col min="3063" max="3063" width="25.375" style="74" customWidth="1"/>
    <col min="3064" max="3066" width="26" style="74" customWidth="1"/>
    <col min="3067" max="3067" width="9" style="74"/>
    <col min="3068" max="3069" width="26" style="74" customWidth="1"/>
    <col min="3070" max="3315" width="9" style="74"/>
    <col min="3316" max="3316" width="44" style="74" customWidth="1"/>
    <col min="3317" max="3317" width="24" style="74" customWidth="1"/>
    <col min="3318" max="3318" width="26.25" style="74" customWidth="1"/>
    <col min="3319" max="3319" width="25.375" style="74" customWidth="1"/>
    <col min="3320" max="3322" width="26" style="74" customWidth="1"/>
    <col min="3323" max="3323" width="9" style="74"/>
    <col min="3324" max="3325" width="26" style="74" customWidth="1"/>
    <col min="3326" max="3571" width="9" style="74"/>
    <col min="3572" max="3572" width="44" style="74" customWidth="1"/>
    <col min="3573" max="3573" width="24" style="74" customWidth="1"/>
    <col min="3574" max="3574" width="26.25" style="74" customWidth="1"/>
    <col min="3575" max="3575" width="25.375" style="74" customWidth="1"/>
    <col min="3576" max="3578" width="26" style="74" customWidth="1"/>
    <col min="3579" max="3579" width="9" style="74"/>
    <col min="3580" max="3581" width="26" style="74" customWidth="1"/>
    <col min="3582" max="3827" width="9" style="74"/>
    <col min="3828" max="3828" width="44" style="74" customWidth="1"/>
    <col min="3829" max="3829" width="24" style="74" customWidth="1"/>
    <col min="3830" max="3830" width="26.25" style="74" customWidth="1"/>
    <col min="3831" max="3831" width="25.375" style="74" customWidth="1"/>
    <col min="3832" max="3834" width="26" style="74" customWidth="1"/>
    <col min="3835" max="3835" width="9" style="74"/>
    <col min="3836" max="3837" width="26" style="74" customWidth="1"/>
    <col min="3838" max="4083" width="9" style="74"/>
    <col min="4084" max="4084" width="44" style="74" customWidth="1"/>
    <col min="4085" max="4085" width="24" style="74" customWidth="1"/>
    <col min="4086" max="4086" width="26.25" style="74" customWidth="1"/>
    <col min="4087" max="4087" width="25.375" style="74" customWidth="1"/>
    <col min="4088" max="4090" width="26" style="74" customWidth="1"/>
    <col min="4091" max="4091" width="9" style="74"/>
    <col min="4092" max="4093" width="26" style="74" customWidth="1"/>
    <col min="4094" max="4339" width="9" style="74"/>
    <col min="4340" max="4340" width="44" style="74" customWidth="1"/>
    <col min="4341" max="4341" width="24" style="74" customWidth="1"/>
    <col min="4342" max="4342" width="26.25" style="74" customWidth="1"/>
    <col min="4343" max="4343" width="25.375" style="74" customWidth="1"/>
    <col min="4344" max="4346" width="26" style="74" customWidth="1"/>
    <col min="4347" max="4347" width="9" style="74"/>
    <col min="4348" max="4349" width="26" style="74" customWidth="1"/>
    <col min="4350" max="4595" width="9" style="74"/>
    <col min="4596" max="4596" width="44" style="74" customWidth="1"/>
    <col min="4597" max="4597" width="24" style="74" customWidth="1"/>
    <col min="4598" max="4598" width="26.25" style="74" customWidth="1"/>
    <col min="4599" max="4599" width="25.375" style="74" customWidth="1"/>
    <col min="4600" max="4602" width="26" style="74" customWidth="1"/>
    <col min="4603" max="4603" width="9" style="74"/>
    <col min="4604" max="4605" width="26" style="74" customWidth="1"/>
    <col min="4606" max="4851" width="9" style="74"/>
    <col min="4852" max="4852" width="44" style="74" customWidth="1"/>
    <col min="4853" max="4853" width="24" style="74" customWidth="1"/>
    <col min="4854" max="4854" width="26.25" style="74" customWidth="1"/>
    <col min="4855" max="4855" width="25.375" style="74" customWidth="1"/>
    <col min="4856" max="4858" width="26" style="74" customWidth="1"/>
    <col min="4859" max="4859" width="9" style="74"/>
    <col min="4860" max="4861" width="26" style="74" customWidth="1"/>
    <col min="4862" max="5107" width="9" style="74"/>
    <col min="5108" max="5108" width="44" style="74" customWidth="1"/>
    <col min="5109" max="5109" width="24" style="74" customWidth="1"/>
    <col min="5110" max="5110" width="26.25" style="74" customWidth="1"/>
    <col min="5111" max="5111" width="25.375" style="74" customWidth="1"/>
    <col min="5112" max="5114" width="26" style="74" customWidth="1"/>
    <col min="5115" max="5115" width="9" style="74"/>
    <col min="5116" max="5117" width="26" style="74" customWidth="1"/>
    <col min="5118" max="5363" width="9" style="74"/>
    <col min="5364" max="5364" width="44" style="74" customWidth="1"/>
    <col min="5365" max="5365" width="24" style="74" customWidth="1"/>
    <col min="5366" max="5366" width="26.25" style="74" customWidth="1"/>
    <col min="5367" max="5367" width="25.375" style="74" customWidth="1"/>
    <col min="5368" max="5370" width="26" style="74" customWidth="1"/>
    <col min="5371" max="5371" width="9" style="74"/>
    <col min="5372" max="5373" width="26" style="74" customWidth="1"/>
    <col min="5374" max="5619" width="9" style="74"/>
    <col min="5620" max="5620" width="44" style="74" customWidth="1"/>
    <col min="5621" max="5621" width="24" style="74" customWidth="1"/>
    <col min="5622" max="5622" width="26.25" style="74" customWidth="1"/>
    <col min="5623" max="5623" width="25.375" style="74" customWidth="1"/>
    <col min="5624" max="5626" width="26" style="74" customWidth="1"/>
    <col min="5627" max="5627" width="9" style="74"/>
    <col min="5628" max="5629" width="26" style="74" customWidth="1"/>
    <col min="5630" max="5875" width="9" style="74"/>
    <col min="5876" max="5876" width="44" style="74" customWidth="1"/>
    <col min="5877" max="5877" width="24" style="74" customWidth="1"/>
    <col min="5878" max="5878" width="26.25" style="74" customWidth="1"/>
    <col min="5879" max="5879" width="25.375" style="74" customWidth="1"/>
    <col min="5880" max="5882" width="26" style="74" customWidth="1"/>
    <col min="5883" max="5883" width="9" style="74"/>
    <col min="5884" max="5885" width="26" style="74" customWidth="1"/>
    <col min="5886" max="6131" width="9" style="74"/>
    <col min="6132" max="6132" width="44" style="74" customWidth="1"/>
    <col min="6133" max="6133" width="24" style="74" customWidth="1"/>
    <col min="6134" max="6134" width="26.25" style="74" customWidth="1"/>
    <col min="6135" max="6135" width="25.375" style="74" customWidth="1"/>
    <col min="6136" max="6138" width="26" style="74" customWidth="1"/>
    <col min="6139" max="6139" width="9" style="74"/>
    <col min="6140" max="6141" width="26" style="74" customWidth="1"/>
    <col min="6142" max="6387" width="9" style="74"/>
    <col min="6388" max="6388" width="44" style="74" customWidth="1"/>
    <col min="6389" max="6389" width="24" style="74" customWidth="1"/>
    <col min="6390" max="6390" width="26.25" style="74" customWidth="1"/>
    <col min="6391" max="6391" width="25.375" style="74" customWidth="1"/>
    <col min="6392" max="6394" width="26" style="74" customWidth="1"/>
    <col min="6395" max="6395" width="9" style="74"/>
    <col min="6396" max="6397" width="26" style="74" customWidth="1"/>
    <col min="6398" max="6643" width="9" style="74"/>
    <col min="6644" max="6644" width="44" style="74" customWidth="1"/>
    <col min="6645" max="6645" width="24" style="74" customWidth="1"/>
    <col min="6646" max="6646" width="26.25" style="74" customWidth="1"/>
    <col min="6647" max="6647" width="25.375" style="74" customWidth="1"/>
    <col min="6648" max="6650" width="26" style="74" customWidth="1"/>
    <col min="6651" max="6651" width="9" style="74"/>
    <col min="6652" max="6653" width="26" style="74" customWidth="1"/>
    <col min="6654" max="6899" width="9" style="74"/>
    <col min="6900" max="6900" width="44" style="74" customWidth="1"/>
    <col min="6901" max="6901" width="24" style="74" customWidth="1"/>
    <col min="6902" max="6902" width="26.25" style="74" customWidth="1"/>
    <col min="6903" max="6903" width="25.375" style="74" customWidth="1"/>
    <col min="6904" max="6906" width="26" style="74" customWidth="1"/>
    <col min="6907" max="6907" width="9" style="74"/>
    <col min="6908" max="6909" width="26" style="74" customWidth="1"/>
    <col min="6910" max="7155" width="9" style="74"/>
    <col min="7156" max="7156" width="44" style="74" customWidth="1"/>
    <col min="7157" max="7157" width="24" style="74" customWidth="1"/>
    <col min="7158" max="7158" width="26.25" style="74" customWidth="1"/>
    <col min="7159" max="7159" width="25.375" style="74" customWidth="1"/>
    <col min="7160" max="7162" width="26" style="74" customWidth="1"/>
    <col min="7163" max="7163" width="9" style="74"/>
    <col min="7164" max="7165" width="26" style="74" customWidth="1"/>
    <col min="7166" max="7411" width="9" style="74"/>
    <col min="7412" max="7412" width="44" style="74" customWidth="1"/>
    <col min="7413" max="7413" width="24" style="74" customWidth="1"/>
    <col min="7414" max="7414" width="26.25" style="74" customWidth="1"/>
    <col min="7415" max="7415" width="25.375" style="74" customWidth="1"/>
    <col min="7416" max="7418" width="26" style="74" customWidth="1"/>
    <col min="7419" max="7419" width="9" style="74"/>
    <col min="7420" max="7421" width="26" style="74" customWidth="1"/>
    <col min="7422" max="7667" width="9" style="74"/>
    <col min="7668" max="7668" width="44" style="74" customWidth="1"/>
    <col min="7669" max="7669" width="24" style="74" customWidth="1"/>
    <col min="7670" max="7670" width="26.25" style="74" customWidth="1"/>
    <col min="7671" max="7671" width="25.375" style="74" customWidth="1"/>
    <col min="7672" max="7674" width="26" style="74" customWidth="1"/>
    <col min="7675" max="7675" width="9" style="74"/>
    <col min="7676" max="7677" width="26" style="74" customWidth="1"/>
    <col min="7678" max="7923" width="9" style="74"/>
    <col min="7924" max="7924" width="44" style="74" customWidth="1"/>
    <col min="7925" max="7925" width="24" style="74" customWidth="1"/>
    <col min="7926" max="7926" width="26.25" style="74" customWidth="1"/>
    <col min="7927" max="7927" width="25.375" style="74" customWidth="1"/>
    <col min="7928" max="7930" width="26" style="74" customWidth="1"/>
    <col min="7931" max="7931" width="9" style="74"/>
    <col min="7932" max="7933" width="26" style="74" customWidth="1"/>
    <col min="7934" max="8179" width="9" style="74"/>
    <col min="8180" max="8180" width="44" style="74" customWidth="1"/>
    <col min="8181" max="8181" width="24" style="74" customWidth="1"/>
    <col min="8182" max="8182" width="26.25" style="74" customWidth="1"/>
    <col min="8183" max="8183" width="25.375" style="74" customWidth="1"/>
    <col min="8184" max="8186" width="26" style="74" customWidth="1"/>
    <col min="8187" max="8187" width="9" style="74"/>
    <col min="8188" max="8189" width="26" style="74" customWidth="1"/>
    <col min="8190" max="8435" width="9" style="74"/>
    <col min="8436" max="8436" width="44" style="74" customWidth="1"/>
    <col min="8437" max="8437" width="24" style="74" customWidth="1"/>
    <col min="8438" max="8438" width="26.25" style="74" customWidth="1"/>
    <col min="8439" max="8439" width="25.375" style="74" customWidth="1"/>
    <col min="8440" max="8442" width="26" style="74" customWidth="1"/>
    <col min="8443" max="8443" width="9" style="74"/>
    <col min="8444" max="8445" width="26" style="74" customWidth="1"/>
    <col min="8446" max="8691" width="9" style="74"/>
    <col min="8692" max="8692" width="44" style="74" customWidth="1"/>
    <col min="8693" max="8693" width="24" style="74" customWidth="1"/>
    <col min="8694" max="8694" width="26.25" style="74" customWidth="1"/>
    <col min="8695" max="8695" width="25.375" style="74" customWidth="1"/>
    <col min="8696" max="8698" width="26" style="74" customWidth="1"/>
    <col min="8699" max="8699" width="9" style="74"/>
    <col min="8700" max="8701" width="26" style="74" customWidth="1"/>
    <col min="8702" max="8947" width="9" style="74"/>
    <col min="8948" max="8948" width="44" style="74" customWidth="1"/>
    <col min="8949" max="8949" width="24" style="74" customWidth="1"/>
    <col min="8950" max="8950" width="26.25" style="74" customWidth="1"/>
    <col min="8951" max="8951" width="25.375" style="74" customWidth="1"/>
    <col min="8952" max="8954" width="26" style="74" customWidth="1"/>
    <col min="8955" max="8955" width="9" style="74"/>
    <col min="8956" max="8957" width="26" style="74" customWidth="1"/>
    <col min="8958" max="9203" width="9" style="74"/>
    <col min="9204" max="9204" width="44" style="74" customWidth="1"/>
    <col min="9205" max="9205" width="24" style="74" customWidth="1"/>
    <col min="9206" max="9206" width="26.25" style="74" customWidth="1"/>
    <col min="9207" max="9207" width="25.375" style="74" customWidth="1"/>
    <col min="9208" max="9210" width="26" style="74" customWidth="1"/>
    <col min="9211" max="9211" width="9" style="74"/>
    <col min="9212" max="9213" width="26" style="74" customWidth="1"/>
    <col min="9214" max="9459" width="9" style="74"/>
    <col min="9460" max="9460" width="44" style="74" customWidth="1"/>
    <col min="9461" max="9461" width="24" style="74" customWidth="1"/>
    <col min="9462" max="9462" width="26.25" style="74" customWidth="1"/>
    <col min="9463" max="9463" width="25.375" style="74" customWidth="1"/>
    <col min="9464" max="9466" width="26" style="74" customWidth="1"/>
    <col min="9467" max="9467" width="9" style="74"/>
    <col min="9468" max="9469" width="26" style="74" customWidth="1"/>
    <col min="9470" max="9715" width="9" style="74"/>
    <col min="9716" max="9716" width="44" style="74" customWidth="1"/>
    <col min="9717" max="9717" width="24" style="74" customWidth="1"/>
    <col min="9718" max="9718" width="26.25" style="74" customWidth="1"/>
    <col min="9719" max="9719" width="25.375" style="74" customWidth="1"/>
    <col min="9720" max="9722" width="26" style="74" customWidth="1"/>
    <col min="9723" max="9723" width="9" style="74"/>
    <col min="9724" max="9725" width="26" style="74" customWidth="1"/>
    <col min="9726" max="9971" width="9" style="74"/>
    <col min="9972" max="9972" width="44" style="74" customWidth="1"/>
    <col min="9973" max="9973" width="24" style="74" customWidth="1"/>
    <col min="9974" max="9974" width="26.25" style="74" customWidth="1"/>
    <col min="9975" max="9975" width="25.375" style="74" customWidth="1"/>
    <col min="9976" max="9978" width="26" style="74" customWidth="1"/>
    <col min="9979" max="9979" width="9" style="74"/>
    <col min="9980" max="9981" width="26" style="74" customWidth="1"/>
    <col min="9982" max="10227" width="9" style="74"/>
    <col min="10228" max="10228" width="44" style="74" customWidth="1"/>
    <col min="10229" max="10229" width="24" style="74" customWidth="1"/>
    <col min="10230" max="10230" width="26.25" style="74" customWidth="1"/>
    <col min="10231" max="10231" width="25.375" style="74" customWidth="1"/>
    <col min="10232" max="10234" width="26" style="74" customWidth="1"/>
    <col min="10235" max="10235" width="9" style="74"/>
    <col min="10236" max="10237" width="26" style="74" customWidth="1"/>
    <col min="10238" max="10483" width="9" style="74"/>
    <col min="10484" max="10484" width="44" style="74" customWidth="1"/>
    <col min="10485" max="10485" width="24" style="74" customWidth="1"/>
    <col min="10486" max="10486" width="26.25" style="74" customWidth="1"/>
    <col min="10487" max="10487" width="25.375" style="74" customWidth="1"/>
    <col min="10488" max="10490" width="26" style="74" customWidth="1"/>
    <col min="10491" max="10491" width="9" style="74"/>
    <col min="10492" max="10493" width="26" style="74" customWidth="1"/>
    <col min="10494" max="10739" width="9" style="74"/>
    <col min="10740" max="10740" width="44" style="74" customWidth="1"/>
    <col min="10741" max="10741" width="24" style="74" customWidth="1"/>
    <col min="10742" max="10742" width="26.25" style="74" customWidth="1"/>
    <col min="10743" max="10743" width="25.375" style="74" customWidth="1"/>
    <col min="10744" max="10746" width="26" style="74" customWidth="1"/>
    <col min="10747" max="10747" width="9" style="74"/>
    <col min="10748" max="10749" width="26" style="74" customWidth="1"/>
    <col min="10750" max="10995" width="9" style="74"/>
    <col min="10996" max="10996" width="44" style="74" customWidth="1"/>
    <col min="10997" max="10997" width="24" style="74" customWidth="1"/>
    <col min="10998" max="10998" width="26.25" style="74" customWidth="1"/>
    <col min="10999" max="10999" width="25.375" style="74" customWidth="1"/>
    <col min="11000" max="11002" width="26" style="74" customWidth="1"/>
    <col min="11003" max="11003" width="9" style="74"/>
    <col min="11004" max="11005" width="26" style="74" customWidth="1"/>
    <col min="11006" max="11251" width="9" style="74"/>
    <col min="11252" max="11252" width="44" style="74" customWidth="1"/>
    <col min="11253" max="11253" width="24" style="74" customWidth="1"/>
    <col min="11254" max="11254" width="26.25" style="74" customWidth="1"/>
    <col min="11255" max="11255" width="25.375" style="74" customWidth="1"/>
    <col min="11256" max="11258" width="26" style="74" customWidth="1"/>
    <col min="11259" max="11259" width="9" style="74"/>
    <col min="11260" max="11261" width="26" style="74" customWidth="1"/>
    <col min="11262" max="11507" width="9" style="74"/>
    <col min="11508" max="11508" width="44" style="74" customWidth="1"/>
    <col min="11509" max="11509" width="24" style="74" customWidth="1"/>
    <col min="11510" max="11510" width="26.25" style="74" customWidth="1"/>
    <col min="11511" max="11511" width="25.375" style="74" customWidth="1"/>
    <col min="11512" max="11514" width="26" style="74" customWidth="1"/>
    <col min="11515" max="11515" width="9" style="74"/>
    <col min="11516" max="11517" width="26" style="74" customWidth="1"/>
    <col min="11518" max="11763" width="9" style="74"/>
    <col min="11764" max="11764" width="44" style="74" customWidth="1"/>
    <col min="11765" max="11765" width="24" style="74" customWidth="1"/>
    <col min="11766" max="11766" width="26.25" style="74" customWidth="1"/>
    <col min="11767" max="11767" width="25.375" style="74" customWidth="1"/>
    <col min="11768" max="11770" width="26" style="74" customWidth="1"/>
    <col min="11771" max="11771" width="9" style="74"/>
    <col min="11772" max="11773" width="26" style="74" customWidth="1"/>
    <col min="11774" max="12019" width="9" style="74"/>
    <col min="12020" max="12020" width="44" style="74" customWidth="1"/>
    <col min="12021" max="12021" width="24" style="74" customWidth="1"/>
    <col min="12022" max="12022" width="26.25" style="74" customWidth="1"/>
    <col min="12023" max="12023" width="25.375" style="74" customWidth="1"/>
    <col min="12024" max="12026" width="26" style="74" customWidth="1"/>
    <col min="12027" max="12027" width="9" style="74"/>
    <col min="12028" max="12029" width="26" style="74" customWidth="1"/>
    <col min="12030" max="12275" width="9" style="74"/>
    <col min="12276" max="12276" width="44" style="74" customWidth="1"/>
    <col min="12277" max="12277" width="24" style="74" customWidth="1"/>
    <col min="12278" max="12278" width="26.25" style="74" customWidth="1"/>
    <col min="12279" max="12279" width="25.375" style="74" customWidth="1"/>
    <col min="12280" max="12282" width="26" style="74" customWidth="1"/>
    <col min="12283" max="12283" width="9" style="74"/>
    <col min="12284" max="12285" width="26" style="74" customWidth="1"/>
    <col min="12286" max="12531" width="9" style="74"/>
    <col min="12532" max="12532" width="44" style="74" customWidth="1"/>
    <col min="12533" max="12533" width="24" style="74" customWidth="1"/>
    <col min="12534" max="12534" width="26.25" style="74" customWidth="1"/>
    <col min="12535" max="12535" width="25.375" style="74" customWidth="1"/>
    <col min="12536" max="12538" width="26" style="74" customWidth="1"/>
    <col min="12539" max="12539" width="9" style="74"/>
    <col min="12540" max="12541" width="26" style="74" customWidth="1"/>
    <col min="12542" max="12787" width="9" style="74"/>
    <col min="12788" max="12788" width="44" style="74" customWidth="1"/>
    <col min="12789" max="12789" width="24" style="74" customWidth="1"/>
    <col min="12790" max="12790" width="26.25" style="74" customWidth="1"/>
    <col min="12791" max="12791" width="25.375" style="74" customWidth="1"/>
    <col min="12792" max="12794" width="26" style="74" customWidth="1"/>
    <col min="12795" max="12795" width="9" style="74"/>
    <col min="12796" max="12797" width="26" style="74" customWidth="1"/>
    <col min="12798" max="13043" width="9" style="74"/>
    <col min="13044" max="13044" width="44" style="74" customWidth="1"/>
    <col min="13045" max="13045" width="24" style="74" customWidth="1"/>
    <col min="13046" max="13046" width="26.25" style="74" customWidth="1"/>
    <col min="13047" max="13047" width="25.375" style="74" customWidth="1"/>
    <col min="13048" max="13050" width="26" style="74" customWidth="1"/>
    <col min="13051" max="13051" width="9" style="74"/>
    <col min="13052" max="13053" width="26" style="74" customWidth="1"/>
    <col min="13054" max="13299" width="9" style="74"/>
    <col min="13300" max="13300" width="44" style="74" customWidth="1"/>
    <col min="13301" max="13301" width="24" style="74" customWidth="1"/>
    <col min="13302" max="13302" width="26.25" style="74" customWidth="1"/>
    <col min="13303" max="13303" width="25.375" style="74" customWidth="1"/>
    <col min="13304" max="13306" width="26" style="74" customWidth="1"/>
    <col min="13307" max="13307" width="9" style="74"/>
    <col min="13308" max="13309" width="26" style="74" customWidth="1"/>
    <col min="13310" max="13555" width="9" style="74"/>
    <col min="13556" max="13556" width="44" style="74" customWidth="1"/>
    <col min="13557" max="13557" width="24" style="74" customWidth="1"/>
    <col min="13558" max="13558" width="26.25" style="74" customWidth="1"/>
    <col min="13559" max="13559" width="25.375" style="74" customWidth="1"/>
    <col min="13560" max="13562" width="26" style="74" customWidth="1"/>
    <col min="13563" max="13563" width="9" style="74"/>
    <col min="13564" max="13565" width="26" style="74" customWidth="1"/>
    <col min="13566" max="13811" width="9" style="74"/>
    <col min="13812" max="13812" width="44" style="74" customWidth="1"/>
    <col min="13813" max="13813" width="24" style="74" customWidth="1"/>
    <col min="13814" max="13814" width="26.25" style="74" customWidth="1"/>
    <col min="13815" max="13815" width="25.375" style="74" customWidth="1"/>
    <col min="13816" max="13818" width="26" style="74" customWidth="1"/>
    <col min="13819" max="13819" width="9" style="74"/>
    <col min="13820" max="13821" width="26" style="74" customWidth="1"/>
    <col min="13822" max="14067" width="9" style="74"/>
    <col min="14068" max="14068" width="44" style="74" customWidth="1"/>
    <col min="14069" max="14069" width="24" style="74" customWidth="1"/>
    <col min="14070" max="14070" width="26.25" style="74" customWidth="1"/>
    <col min="14071" max="14071" width="25.375" style="74" customWidth="1"/>
    <col min="14072" max="14074" width="26" style="74" customWidth="1"/>
    <col min="14075" max="14075" width="9" style="74"/>
    <col min="14076" max="14077" width="26" style="74" customWidth="1"/>
    <col min="14078" max="14323" width="9" style="74"/>
    <col min="14324" max="14324" width="44" style="74" customWidth="1"/>
    <col min="14325" max="14325" width="24" style="74" customWidth="1"/>
    <col min="14326" max="14326" width="26.25" style="74" customWidth="1"/>
    <col min="14327" max="14327" width="25.375" style="74" customWidth="1"/>
    <col min="14328" max="14330" width="26" style="74" customWidth="1"/>
    <col min="14331" max="14331" width="9" style="74"/>
    <col min="14332" max="14333" width="26" style="74" customWidth="1"/>
    <col min="14334" max="14579" width="9" style="74"/>
    <col min="14580" max="14580" width="44" style="74" customWidth="1"/>
    <col min="14581" max="14581" width="24" style="74" customWidth="1"/>
    <col min="14582" max="14582" width="26.25" style="74" customWidth="1"/>
    <col min="14583" max="14583" width="25.375" style="74" customWidth="1"/>
    <col min="14584" max="14586" width="26" style="74" customWidth="1"/>
    <col min="14587" max="14587" width="9" style="74"/>
    <col min="14588" max="14589" width="26" style="74" customWidth="1"/>
    <col min="14590" max="14835" width="9" style="74"/>
    <col min="14836" max="14836" width="44" style="74" customWidth="1"/>
    <col min="14837" max="14837" width="24" style="74" customWidth="1"/>
    <col min="14838" max="14838" width="26.25" style="74" customWidth="1"/>
    <col min="14839" max="14839" width="25.375" style="74" customWidth="1"/>
    <col min="14840" max="14842" width="26" style="74" customWidth="1"/>
    <col min="14843" max="14843" width="9" style="74"/>
    <col min="14844" max="14845" width="26" style="74" customWidth="1"/>
    <col min="14846" max="15091" width="9" style="74"/>
    <col min="15092" max="15092" width="44" style="74" customWidth="1"/>
    <col min="15093" max="15093" width="24" style="74" customWidth="1"/>
    <col min="15094" max="15094" width="26.25" style="74" customWidth="1"/>
    <col min="15095" max="15095" width="25.375" style="74" customWidth="1"/>
    <col min="15096" max="15098" width="26" style="74" customWidth="1"/>
    <col min="15099" max="15099" width="9" style="74"/>
    <col min="15100" max="15101" width="26" style="74" customWidth="1"/>
    <col min="15102" max="15347" width="9" style="74"/>
    <col min="15348" max="15348" width="44" style="74" customWidth="1"/>
    <col min="15349" max="15349" width="24" style="74" customWidth="1"/>
    <col min="15350" max="15350" width="26.25" style="74" customWidth="1"/>
    <col min="15351" max="15351" width="25.375" style="74" customWidth="1"/>
    <col min="15352" max="15354" width="26" style="74" customWidth="1"/>
    <col min="15355" max="15355" width="9" style="74"/>
    <col min="15356" max="15357" width="26" style="74" customWidth="1"/>
    <col min="15358" max="15603" width="9" style="74"/>
    <col min="15604" max="15604" width="44" style="74" customWidth="1"/>
    <col min="15605" max="15605" width="24" style="74" customWidth="1"/>
    <col min="15606" max="15606" width="26.25" style="74" customWidth="1"/>
    <col min="15607" max="15607" width="25.375" style="74" customWidth="1"/>
    <col min="15608" max="15610" width="26" style="74" customWidth="1"/>
    <col min="15611" max="15611" width="9" style="74"/>
    <col min="15612" max="15613" width="26" style="74" customWidth="1"/>
    <col min="15614" max="15859" width="9" style="74"/>
    <col min="15860" max="15860" width="44" style="74" customWidth="1"/>
    <col min="15861" max="15861" width="24" style="74" customWidth="1"/>
    <col min="15862" max="15862" width="26.25" style="74" customWidth="1"/>
    <col min="15863" max="15863" width="25.375" style="74" customWidth="1"/>
    <col min="15864" max="15866" width="26" style="74" customWidth="1"/>
    <col min="15867" max="15867" width="9" style="74"/>
    <col min="15868" max="15869" width="26" style="74" customWidth="1"/>
    <col min="15870" max="16115" width="9" style="74"/>
    <col min="16116" max="16116" width="44" style="74" customWidth="1"/>
    <col min="16117" max="16117" width="24" style="74" customWidth="1"/>
    <col min="16118" max="16118" width="26.25" style="74" customWidth="1"/>
    <col min="16119" max="16119" width="25.375" style="74" customWidth="1"/>
    <col min="16120" max="16122" width="26" style="74" customWidth="1"/>
    <col min="16123" max="16123" width="9" style="74"/>
    <col min="16124" max="16125" width="26" style="74" customWidth="1"/>
    <col min="16126" max="16384" width="9" style="74"/>
  </cols>
  <sheetData>
    <row r="1" spans="1:10">
      <c r="D1" s="75"/>
      <c r="J1" s="75" t="s">
        <v>138</v>
      </c>
    </row>
    <row r="2" spans="1:10">
      <c r="B2" s="76"/>
      <c r="D2" s="77"/>
      <c r="I2" s="74" t="s">
        <v>139</v>
      </c>
      <c r="J2" s="77" t="s">
        <v>140</v>
      </c>
    </row>
    <row r="3" spans="1:10">
      <c r="B3" s="76"/>
      <c r="D3" s="78"/>
      <c r="I3" s="79" t="s">
        <v>141</v>
      </c>
      <c r="J3" s="78" t="s">
        <v>142</v>
      </c>
    </row>
    <row r="4" spans="1:10">
      <c r="B4" s="76"/>
      <c r="C4" s="80" t="s">
        <v>143</v>
      </c>
      <c r="D4" s="77"/>
      <c r="E4" s="81"/>
      <c r="G4" s="81"/>
      <c r="H4" s="80" t="s">
        <v>144</v>
      </c>
      <c r="I4" s="81" t="s">
        <v>145</v>
      </c>
      <c r="J4" s="77" t="s">
        <v>146</v>
      </c>
    </row>
    <row r="5" spans="1:10">
      <c r="C5" s="81" t="s">
        <v>128</v>
      </c>
      <c r="D5" s="81" t="s">
        <v>147</v>
      </c>
      <c r="E5" s="81" t="s">
        <v>148</v>
      </c>
      <c r="G5" s="82" t="s">
        <v>149</v>
      </c>
      <c r="H5" s="81" t="s">
        <v>124</v>
      </c>
      <c r="I5" s="81" t="s">
        <v>150</v>
      </c>
      <c r="J5" s="81" t="s">
        <v>123</v>
      </c>
    </row>
    <row r="6" spans="1:10">
      <c r="B6" s="83"/>
      <c r="C6" s="84" t="s">
        <v>151</v>
      </c>
      <c r="D6" s="85" t="s">
        <v>152</v>
      </c>
      <c r="E6" s="77" t="s">
        <v>153</v>
      </c>
      <c r="G6" s="77" t="s">
        <v>154</v>
      </c>
      <c r="H6" s="86" t="s">
        <v>155</v>
      </c>
      <c r="I6" s="77" t="s">
        <v>156</v>
      </c>
      <c r="J6" s="78" t="s">
        <v>157</v>
      </c>
    </row>
    <row r="7" spans="1:10">
      <c r="A7" s="87" t="s">
        <v>158</v>
      </c>
      <c r="B7" s="87" t="s">
        <v>159</v>
      </c>
      <c r="C7" s="87" t="s">
        <v>123</v>
      </c>
      <c r="D7" s="87" t="s">
        <v>124</v>
      </c>
      <c r="E7" s="87" t="s">
        <v>126</v>
      </c>
      <c r="G7" s="87" t="s">
        <v>126</v>
      </c>
      <c r="H7" s="87" t="s">
        <v>123</v>
      </c>
      <c r="I7" s="87" t="s">
        <v>126</v>
      </c>
      <c r="J7" s="87" t="s">
        <v>123</v>
      </c>
    </row>
    <row r="8" spans="1:10">
      <c r="A8" s="88" t="s">
        <v>160</v>
      </c>
      <c r="B8" s="89" t="s">
        <v>160</v>
      </c>
      <c r="C8" s="89" t="s">
        <v>160</v>
      </c>
      <c r="D8" s="89" t="s">
        <v>160</v>
      </c>
      <c r="E8" s="89" t="s">
        <v>160</v>
      </c>
      <c r="G8" s="89" t="e">
        <f t="shared" ref="G8:J8" si="0">датоц</f>
        <v>#NAME?</v>
      </c>
      <c r="H8" s="89" t="e">
        <f t="shared" si="0"/>
        <v>#NAME?</v>
      </c>
      <c r="I8" s="89" t="e">
        <f t="shared" si="0"/>
        <v>#NAME?</v>
      </c>
      <c r="J8" s="89" t="e">
        <f t="shared" si="0"/>
        <v>#NAME?</v>
      </c>
    </row>
    <row r="9" spans="1:10">
      <c r="A9" s="88" t="s">
        <v>161</v>
      </c>
      <c r="B9" s="90"/>
      <c r="C9" s="91" t="s">
        <v>162</v>
      </c>
      <c r="D9" s="91" t="s">
        <v>163</v>
      </c>
      <c r="E9" s="92" t="s">
        <v>164</v>
      </c>
      <c r="G9" s="92" t="s">
        <v>165</v>
      </c>
      <c r="H9" s="93" t="s">
        <v>166</v>
      </c>
      <c r="I9" s="92" t="s">
        <v>167</v>
      </c>
      <c r="J9" s="93" t="s">
        <v>168</v>
      </c>
    </row>
    <row r="10" spans="1:10" ht="25.5">
      <c r="A10" s="88" t="s">
        <v>169</v>
      </c>
      <c r="B10" s="94" t="s">
        <v>170</v>
      </c>
      <c r="C10" s="95" t="s">
        <v>170</v>
      </c>
      <c r="D10" s="94" t="s">
        <v>170</v>
      </c>
      <c r="E10" s="94" t="s">
        <v>170</v>
      </c>
      <c r="G10" s="94" t="s">
        <v>171</v>
      </c>
      <c r="H10" s="94" t="s">
        <v>170</v>
      </c>
      <c r="I10" s="94" t="s">
        <v>170</v>
      </c>
      <c r="J10" s="94" t="s">
        <v>170</v>
      </c>
    </row>
    <row r="11" spans="1:10" ht="42" customHeight="1">
      <c r="A11" s="88" t="s">
        <v>172</v>
      </c>
      <c r="B11" s="96" t="s">
        <v>297</v>
      </c>
      <c r="C11" s="97" t="s">
        <v>173</v>
      </c>
      <c r="D11" s="98" t="s">
        <v>174</v>
      </c>
      <c r="E11" s="99" t="s">
        <v>175</v>
      </c>
      <c r="G11" s="99" t="s">
        <v>176</v>
      </c>
      <c r="H11" s="99" t="s">
        <v>177</v>
      </c>
      <c r="I11" s="99" t="s">
        <v>178</v>
      </c>
      <c r="J11" s="99" t="s">
        <v>179</v>
      </c>
    </row>
    <row r="12" spans="1:10" ht="25.5">
      <c r="A12" s="88" t="s">
        <v>180</v>
      </c>
      <c r="B12" s="100" t="s">
        <v>298</v>
      </c>
      <c r="C12" s="101" t="s">
        <v>181</v>
      </c>
      <c r="D12" s="93" t="s">
        <v>181</v>
      </c>
      <c r="E12" s="99" t="s">
        <v>182</v>
      </c>
      <c r="G12" s="99" t="s">
        <v>183</v>
      </c>
      <c r="H12" s="99" t="s">
        <v>181</v>
      </c>
      <c r="I12" s="99" t="s">
        <v>184</v>
      </c>
      <c r="J12" s="99" t="s">
        <v>185</v>
      </c>
    </row>
    <row r="13" spans="1:10">
      <c r="A13" s="88" t="s">
        <v>186</v>
      </c>
      <c r="B13" s="91" t="s">
        <v>299</v>
      </c>
      <c r="C13" s="94" t="s">
        <v>187</v>
      </c>
      <c r="D13" s="93" t="s">
        <v>187</v>
      </c>
      <c r="E13" s="94" t="s">
        <v>187</v>
      </c>
      <c r="G13" s="94" t="s">
        <v>187</v>
      </c>
      <c r="H13" s="102" t="s">
        <v>188</v>
      </c>
      <c r="I13" s="94" t="s">
        <v>187</v>
      </c>
      <c r="J13" s="102" t="s">
        <v>189</v>
      </c>
    </row>
    <row r="14" spans="1:10" ht="15">
      <c r="A14" s="88" t="s">
        <v>190</v>
      </c>
      <c r="B14" s="103">
        <f>SUM(B15:B22)</f>
        <v>21461.200000000001</v>
      </c>
      <c r="C14" s="103">
        <f t="shared" ref="C14:E14" si="1">SUM(C15:C22)</f>
        <v>1870</v>
      </c>
      <c r="D14" s="103">
        <f t="shared" si="1"/>
        <v>6996</v>
      </c>
      <c r="E14" s="103">
        <f t="shared" si="1"/>
        <v>3337.1</v>
      </c>
      <c r="G14" s="103">
        <f>SUM(G15:G18)</f>
        <v>5699.9999999999991</v>
      </c>
      <c r="H14" s="104">
        <f>SUM(H15:H18)</f>
        <v>1906</v>
      </c>
      <c r="I14" s="103">
        <f>SUM(I15:I18)</f>
        <v>3400</v>
      </c>
      <c r="J14" s="103">
        <f>SUM(J15:J18)</f>
        <v>1800</v>
      </c>
    </row>
    <row r="15" spans="1:10">
      <c r="A15" s="105" t="str">
        <f>Выжимка!B3</f>
        <v>произв класс 4</v>
      </c>
      <c r="B15" s="106">
        <f>Выжимка!C3</f>
        <v>11633.8</v>
      </c>
      <c r="C15" s="106">
        <f>Выжимка!L3</f>
        <v>1760</v>
      </c>
      <c r="D15" s="106">
        <f>Выжимка!H3</f>
        <v>1112.2</v>
      </c>
      <c r="E15" s="106">
        <f>Выжимка!I3</f>
        <v>0</v>
      </c>
      <c r="F15" s="107"/>
      <c r="G15" s="106">
        <f>36.7+40.5+82.2+718.3</f>
        <v>877.69999999999993</v>
      </c>
      <c r="H15" s="108">
        <v>1260</v>
      </c>
      <c r="I15" s="109">
        <f>2550+850</f>
        <v>3400</v>
      </c>
      <c r="J15" s="106">
        <v>258.7</v>
      </c>
    </row>
    <row r="16" spans="1:10">
      <c r="A16" s="105" t="str">
        <f>Выжимка!B4</f>
        <v>произв класс 3</v>
      </c>
      <c r="B16" s="106">
        <f>Выжимка!C4</f>
        <v>9671.5</v>
      </c>
      <c r="C16" s="106">
        <f>Выжимка!L4</f>
        <v>0</v>
      </c>
      <c r="D16" s="106">
        <f>Выжимка!H4</f>
        <v>5523.8</v>
      </c>
      <c r="E16" s="106">
        <f>Выжимка!I4</f>
        <v>0</v>
      </c>
      <c r="G16" s="106">
        <v>0</v>
      </c>
      <c r="H16" s="108">
        <v>646</v>
      </c>
      <c r="I16" s="109">
        <v>0</v>
      </c>
      <c r="J16" s="106">
        <v>0</v>
      </c>
    </row>
    <row r="17" spans="1:17">
      <c r="A17" s="105" t="str">
        <f>Выжимка!B5</f>
        <v>произв класс 2</v>
      </c>
      <c r="B17" s="106">
        <f>Выжимка!C5</f>
        <v>0</v>
      </c>
      <c r="C17" s="106">
        <f>Выжимка!L5</f>
        <v>0</v>
      </c>
      <c r="D17" s="106">
        <f>Выжимка!H5</f>
        <v>0</v>
      </c>
      <c r="E17" s="106">
        <f>Выжимка!I5</f>
        <v>1947.1</v>
      </c>
      <c r="G17" s="106">
        <f>3961.7-159.4+1020</f>
        <v>4822.2999999999993</v>
      </c>
      <c r="H17" s="108">
        <v>0</v>
      </c>
      <c r="I17" s="109">
        <v>0</v>
      </c>
      <c r="J17" s="106">
        <v>1541.3</v>
      </c>
    </row>
    <row r="18" spans="1:17">
      <c r="A18" s="105" t="str">
        <f>Выжимка!B6</f>
        <v>произв класс 1</v>
      </c>
      <c r="B18" s="106">
        <f>Выжимка!C6</f>
        <v>0</v>
      </c>
      <c r="C18" s="106">
        <f>Выжимка!L6</f>
        <v>0</v>
      </c>
      <c r="D18" s="106">
        <f>Выжимка!H6</f>
        <v>0</v>
      </c>
      <c r="E18" s="106">
        <f>Выжимка!I6</f>
        <v>0</v>
      </c>
      <c r="G18" s="106">
        <v>0</v>
      </c>
      <c r="H18" s="108">
        <v>0</v>
      </c>
      <c r="I18" s="109">
        <v>0</v>
      </c>
      <c r="J18" s="106">
        <v>0</v>
      </c>
      <c r="L18" s="110" t="s">
        <v>195</v>
      </c>
      <c r="M18" s="110" t="s">
        <v>196</v>
      </c>
      <c r="N18" s="110" t="s">
        <v>197</v>
      </c>
      <c r="O18" s="110" t="s">
        <v>198</v>
      </c>
      <c r="P18" s="110" t="s">
        <v>199</v>
      </c>
      <c r="Q18" s="110" t="s">
        <v>200</v>
      </c>
    </row>
    <row r="19" spans="1:17">
      <c r="A19" s="105" t="str">
        <f>Выжимка!B7</f>
        <v>гражд класс 4</v>
      </c>
      <c r="B19" s="106">
        <f>Выжимка!C7</f>
        <v>155.9</v>
      </c>
      <c r="C19" s="106">
        <f>Выжимка!L7</f>
        <v>110</v>
      </c>
      <c r="D19" s="106">
        <f>Выжимка!H7</f>
        <v>0</v>
      </c>
      <c r="E19" s="106">
        <f>Выжимка!I7</f>
        <v>0</v>
      </c>
      <c r="G19" s="106"/>
      <c r="H19" s="108"/>
      <c r="I19" s="109"/>
      <c r="J19" s="106"/>
      <c r="L19" s="110"/>
      <c r="M19" s="110"/>
      <c r="N19" s="110"/>
      <c r="O19" s="110"/>
      <c r="P19" s="110"/>
      <c r="Q19" s="110"/>
    </row>
    <row r="20" spans="1:17">
      <c r="A20" s="105" t="str">
        <f>Выжимка!B8</f>
        <v>гражд класс 3</v>
      </c>
      <c r="B20" s="106">
        <f>Выжимка!C8</f>
        <v>0</v>
      </c>
      <c r="C20" s="106">
        <f>Выжимка!L8</f>
        <v>0</v>
      </c>
      <c r="D20" s="106">
        <f>Выжимка!H8</f>
        <v>360</v>
      </c>
      <c r="E20" s="106">
        <f>Выжимка!I8</f>
        <v>1390</v>
      </c>
      <c r="G20" s="106"/>
      <c r="H20" s="108"/>
      <c r="I20" s="109"/>
      <c r="J20" s="106"/>
      <c r="L20" s="110"/>
      <c r="M20" s="110"/>
      <c r="N20" s="110"/>
      <c r="O20" s="110"/>
      <c r="P20" s="110"/>
      <c r="Q20" s="110"/>
    </row>
    <row r="21" spans="1:17">
      <c r="A21" s="105" t="str">
        <f>Выжимка!B9</f>
        <v>гражд класс 2</v>
      </c>
      <c r="B21" s="106">
        <f>Выжимка!C9</f>
        <v>0</v>
      </c>
      <c r="C21" s="106">
        <f>Выжимка!L9</f>
        <v>0</v>
      </c>
      <c r="D21" s="106">
        <f>Выжимка!H9</f>
        <v>0</v>
      </c>
      <c r="E21" s="106">
        <f>Выжимка!I9</f>
        <v>0</v>
      </c>
      <c r="G21" s="106"/>
      <c r="H21" s="108"/>
      <c r="I21" s="109"/>
      <c r="J21" s="106"/>
      <c r="L21" s="110"/>
      <c r="M21" s="110"/>
      <c r="N21" s="110"/>
      <c r="O21" s="110"/>
      <c r="P21" s="110"/>
      <c r="Q21" s="110"/>
    </row>
    <row r="22" spans="1:17">
      <c r="A22" s="105" t="str">
        <f>Выжимка!B10</f>
        <v>гражд класс 1</v>
      </c>
      <c r="B22" s="106">
        <f>Выжимка!C10</f>
        <v>0</v>
      </c>
      <c r="C22" s="106">
        <f>Выжимка!L10</f>
        <v>0</v>
      </c>
      <c r="D22" s="106">
        <f>Выжимка!H10</f>
        <v>0</v>
      </c>
      <c r="E22" s="106">
        <f>Выжимка!I10</f>
        <v>0</v>
      </c>
      <c r="G22" s="106"/>
      <c r="H22" s="108"/>
      <c r="I22" s="109"/>
      <c r="J22" s="106"/>
      <c r="L22" s="110"/>
      <c r="M22" s="110"/>
      <c r="N22" s="110"/>
      <c r="O22" s="110"/>
      <c r="P22" s="110"/>
      <c r="Q22" s="110"/>
    </row>
    <row r="23" spans="1:17" s="113" customFormat="1" ht="18" customHeight="1">
      <c r="A23" s="266" t="str">
        <f>Выжимка!B11</f>
        <v>прочие</v>
      </c>
      <c r="B23" s="106">
        <f>Выжимка!C11</f>
        <v>0</v>
      </c>
      <c r="C23" s="106">
        <f>Выжимка!L11</f>
        <v>0</v>
      </c>
      <c r="D23" s="106">
        <f>Выжимка!H11</f>
        <v>0</v>
      </c>
      <c r="E23" s="106">
        <f>Выжимка!I11</f>
        <v>0</v>
      </c>
      <c r="F23" s="74"/>
      <c r="G23" s="112">
        <v>0</v>
      </c>
      <c r="H23" s="114">
        <v>0</v>
      </c>
      <c r="I23" s="112">
        <v>0</v>
      </c>
      <c r="J23" s="103">
        <v>0</v>
      </c>
      <c r="L23" s="110"/>
      <c r="M23" s="110"/>
      <c r="N23" s="110"/>
      <c r="O23" s="110"/>
      <c r="P23" s="110"/>
      <c r="Q23" s="110"/>
    </row>
    <row r="24" spans="1:17" ht="25.5">
      <c r="A24" s="88" t="s">
        <v>202</v>
      </c>
      <c r="B24" s="94" t="s">
        <v>203</v>
      </c>
      <c r="C24" s="115" t="s">
        <v>204</v>
      </c>
      <c r="D24" s="94" t="s">
        <v>205</v>
      </c>
      <c r="E24" s="115" t="s">
        <v>206</v>
      </c>
      <c r="G24" s="115" t="s">
        <v>207</v>
      </c>
      <c r="H24" s="94" t="s">
        <v>208</v>
      </c>
      <c r="I24" s="94" t="s">
        <v>209</v>
      </c>
      <c r="J24" s="115" t="s">
        <v>210</v>
      </c>
      <c r="L24" s="110">
        <f>36.7+66.4+218.4+32.4</f>
        <v>353.9</v>
      </c>
      <c r="M24" s="110">
        <f>31.9+15.5+16+16</f>
        <v>79.400000000000006</v>
      </c>
      <c r="N24" s="110">
        <f>89.8</f>
        <v>89.8</v>
      </c>
      <c r="O24" s="110">
        <f>1763.9</f>
        <v>1763.9</v>
      </c>
      <c r="P24" s="110">
        <f>1452.9+34.3+14.3+13.5+13.5+13.5+11.3+7.7+2.1</f>
        <v>1563.1</v>
      </c>
      <c r="Q24" s="110">
        <f>29.4+19.4+13.5+13.5+13.5+22.3</f>
        <v>111.6</v>
      </c>
    </row>
    <row r="25" spans="1:17">
      <c r="A25" s="88" t="s">
        <v>211</v>
      </c>
      <c r="B25" s="205" t="s">
        <v>614</v>
      </c>
      <c r="C25" s="205" t="s">
        <v>213</v>
      </c>
      <c r="D25" s="205" t="s">
        <v>212</v>
      </c>
      <c r="E25" s="205" t="s">
        <v>214</v>
      </c>
      <c r="G25" s="94" t="s">
        <v>214</v>
      </c>
      <c r="H25" s="101" t="s">
        <v>213</v>
      </c>
      <c r="I25" s="94" t="s">
        <v>214</v>
      </c>
      <c r="J25" s="94" t="s">
        <v>214</v>
      </c>
      <c r="L25" s="110">
        <f>SUM(L24:Q24)</f>
        <v>3961.7</v>
      </c>
      <c r="M25" s="110"/>
      <c r="N25" s="110"/>
      <c r="O25" s="110"/>
      <c r="P25" s="110"/>
      <c r="Q25" s="110"/>
    </row>
    <row r="26" spans="1:17">
      <c r="A26" s="88" t="s">
        <v>215</v>
      </c>
      <c r="B26" s="94" t="s">
        <v>300</v>
      </c>
      <c r="C26" s="94" t="s">
        <v>216</v>
      </c>
      <c r="D26" s="94" t="s">
        <v>217</v>
      </c>
      <c r="E26" s="94" t="s">
        <v>217</v>
      </c>
      <c r="G26" s="94" t="s">
        <v>216</v>
      </c>
      <c r="H26" s="115" t="s">
        <v>216</v>
      </c>
      <c r="I26" s="94" t="s">
        <v>218</v>
      </c>
      <c r="J26" s="102" t="s">
        <v>219</v>
      </c>
    </row>
    <row r="27" spans="1:17">
      <c r="A27" s="88" t="s">
        <v>220</v>
      </c>
      <c r="B27" s="94" t="s">
        <v>221</v>
      </c>
      <c r="C27" s="115" t="s">
        <v>221</v>
      </c>
      <c r="D27" s="94" t="s">
        <v>221</v>
      </c>
      <c r="E27" s="94" t="s">
        <v>221</v>
      </c>
      <c r="G27" s="94" t="s">
        <v>221</v>
      </c>
      <c r="H27" s="115" t="s">
        <v>221</v>
      </c>
      <c r="I27" s="94" t="s">
        <v>221</v>
      </c>
      <c r="J27" s="115" t="s">
        <v>221</v>
      </c>
    </row>
    <row r="28" spans="1:17" ht="15">
      <c r="A28" s="88" t="s">
        <v>222</v>
      </c>
      <c r="B28" s="94" t="s">
        <v>223</v>
      </c>
      <c r="C28" s="94" t="s">
        <v>224</v>
      </c>
      <c r="D28" s="94" t="s">
        <v>224</v>
      </c>
      <c r="E28" s="94" t="s">
        <v>224</v>
      </c>
      <c r="G28" s="94" t="s">
        <v>224</v>
      </c>
      <c r="H28" s="94" t="s">
        <v>224</v>
      </c>
      <c r="I28" s="94" t="s">
        <v>224</v>
      </c>
      <c r="J28" s="94" t="s">
        <v>224</v>
      </c>
    </row>
    <row r="29" spans="1:17" ht="15">
      <c r="A29" s="88" t="s">
        <v>225</v>
      </c>
      <c r="B29" s="103">
        <v>42257</v>
      </c>
      <c r="C29" s="104">
        <v>5480</v>
      </c>
      <c r="D29" s="103">
        <v>12620</v>
      </c>
      <c r="E29" s="103">
        <v>7800</v>
      </c>
      <c r="G29" s="103">
        <f>6640+5000+595</f>
        <v>12235</v>
      </c>
      <c r="H29" s="104">
        <v>1300</v>
      </c>
      <c r="I29" s="103">
        <v>6500</v>
      </c>
      <c r="J29" s="104">
        <v>3200</v>
      </c>
      <c r="L29" s="107"/>
    </row>
    <row r="30" spans="1:17" ht="25.5">
      <c r="A30" s="88" t="s">
        <v>226</v>
      </c>
      <c r="B30" s="94" t="s">
        <v>227</v>
      </c>
      <c r="C30" s="94" t="s">
        <v>227</v>
      </c>
      <c r="D30" s="94" t="s">
        <v>228</v>
      </c>
      <c r="E30" s="94" t="s">
        <v>228</v>
      </c>
      <c r="G30" s="94" t="s">
        <v>228</v>
      </c>
      <c r="H30" s="94" t="s">
        <v>227</v>
      </c>
      <c r="I30" s="115" t="s">
        <v>229</v>
      </c>
      <c r="J30" s="94" t="s">
        <v>227</v>
      </c>
    </row>
    <row r="31" spans="1:17">
      <c r="A31" s="88" t="s">
        <v>230</v>
      </c>
      <c r="B31" s="97" t="s">
        <v>231</v>
      </c>
      <c r="C31" s="116" t="s">
        <v>231</v>
      </c>
      <c r="D31" s="97" t="s">
        <v>232</v>
      </c>
      <c r="E31" s="116" t="s">
        <v>233</v>
      </c>
      <c r="G31" s="116" t="s">
        <v>231</v>
      </c>
      <c r="H31" s="116" t="s">
        <v>233</v>
      </c>
      <c r="I31" s="116" t="s">
        <v>231</v>
      </c>
      <c r="J31" s="116" t="s">
        <v>234</v>
      </c>
    </row>
    <row r="32" spans="1:17">
      <c r="A32" s="88" t="s">
        <v>235</v>
      </c>
      <c r="B32" s="94" t="s">
        <v>301</v>
      </c>
      <c r="C32" s="94" t="s">
        <v>236</v>
      </c>
      <c r="D32" s="94" t="s">
        <v>237</v>
      </c>
      <c r="E32" s="97" t="s">
        <v>238</v>
      </c>
      <c r="G32" s="97" t="s">
        <v>238</v>
      </c>
      <c r="H32" s="94" t="s">
        <v>239</v>
      </c>
      <c r="I32" s="97" t="s">
        <v>238</v>
      </c>
      <c r="J32" s="94" t="s">
        <v>239</v>
      </c>
    </row>
    <row r="33" spans="1:10" ht="51">
      <c r="A33" s="88" t="s">
        <v>240</v>
      </c>
      <c r="B33" s="94" t="s">
        <v>241</v>
      </c>
      <c r="C33" s="94" t="s">
        <v>239</v>
      </c>
      <c r="D33" s="94" t="s">
        <v>239</v>
      </c>
      <c r="E33" s="94" t="s">
        <v>239</v>
      </c>
      <c r="G33" s="94" t="s">
        <v>239</v>
      </c>
      <c r="H33" s="97" t="s">
        <v>242</v>
      </c>
      <c r="I33" s="94" t="s">
        <v>239</v>
      </c>
      <c r="J33" s="94" t="s">
        <v>239</v>
      </c>
    </row>
    <row r="34" spans="1:10">
      <c r="A34" s="88" t="s">
        <v>243</v>
      </c>
      <c r="B34" s="117"/>
      <c r="C34" s="94" t="s">
        <v>244</v>
      </c>
      <c r="D34" s="94" t="s">
        <v>245</v>
      </c>
      <c r="E34" s="118" t="s">
        <v>245</v>
      </c>
      <c r="G34" s="118" t="s">
        <v>245</v>
      </c>
      <c r="H34" s="94" t="s">
        <v>245</v>
      </c>
      <c r="I34" s="118" t="s">
        <v>245</v>
      </c>
      <c r="J34" s="94" t="s">
        <v>245</v>
      </c>
    </row>
    <row r="35" spans="1:10">
      <c r="A35" s="88" t="s">
        <v>122</v>
      </c>
      <c r="B35" s="117"/>
      <c r="C35" s="94">
        <v>1800000</v>
      </c>
      <c r="D35" s="118">
        <v>7200000</v>
      </c>
      <c r="E35" s="94">
        <v>2450000</v>
      </c>
      <c r="G35" s="94">
        <v>5800000</v>
      </c>
      <c r="H35" s="94">
        <v>1300000</v>
      </c>
      <c r="I35" s="94">
        <v>2800000</v>
      </c>
      <c r="J35" s="94">
        <v>1500000</v>
      </c>
    </row>
    <row r="36" spans="1:10">
      <c r="A36" s="88" t="s">
        <v>246</v>
      </c>
      <c r="B36" s="117"/>
      <c r="C36" s="94">
        <f>C35*долл</f>
        <v>157410000</v>
      </c>
      <c r="D36" s="94">
        <f>D35*долл</f>
        <v>629640000</v>
      </c>
      <c r="E36" s="94">
        <f>E35*долл</f>
        <v>214252500</v>
      </c>
      <c r="G36" s="94">
        <f>G35*долл</f>
        <v>507210000</v>
      </c>
      <c r="H36" s="94">
        <v>212000000</v>
      </c>
      <c r="I36" s="94">
        <f>I35*долл</f>
        <v>244860000</v>
      </c>
      <c r="J36" s="94">
        <f>J35*долл</f>
        <v>131175000</v>
      </c>
    </row>
    <row r="37" spans="1:10" ht="15">
      <c r="A37" s="88" t="s">
        <v>247</v>
      </c>
      <c r="B37" s="115"/>
      <c r="C37" s="115">
        <f>C35/C14</f>
        <v>962.56684491978615</v>
      </c>
      <c r="D37" s="115">
        <f>D35/D14</f>
        <v>1029.1595197255574</v>
      </c>
      <c r="E37" s="115">
        <f>E35/E14</f>
        <v>734.17038746216781</v>
      </c>
      <c r="G37" s="115">
        <f>G35/G14</f>
        <v>1017.543859649123</v>
      </c>
      <c r="H37" s="115">
        <f>H35/H14</f>
        <v>682.05666316894019</v>
      </c>
      <c r="I37" s="115">
        <f>I35/I14</f>
        <v>823.52941176470586</v>
      </c>
      <c r="J37" s="115">
        <f>J35/J14</f>
        <v>833.33333333333337</v>
      </c>
    </row>
    <row r="38" spans="1:10" ht="15">
      <c r="A38" s="88" t="s">
        <v>248</v>
      </c>
      <c r="B38" s="115"/>
      <c r="C38" s="115">
        <f>C37*долл</f>
        <v>84176.470588235301</v>
      </c>
      <c r="D38" s="115">
        <f>D37*долл</f>
        <v>90000</v>
      </c>
      <c r="E38" s="115">
        <f>E37*долл</f>
        <v>64203.200383566575</v>
      </c>
      <c r="G38" s="115">
        <f>G37*долл</f>
        <v>88984.210526315801</v>
      </c>
      <c r="H38" s="115">
        <f>H37*долл</f>
        <v>59645.855194123818</v>
      </c>
      <c r="I38" s="115">
        <f>I37*долл</f>
        <v>72017.647058823524</v>
      </c>
      <c r="J38" s="115">
        <f>J37*долл</f>
        <v>72875</v>
      </c>
    </row>
    <row r="39" spans="1:10">
      <c r="A39" s="119" t="s">
        <v>249</v>
      </c>
      <c r="B39" s="87"/>
      <c r="C39" s="87" t="str">
        <f>C7</f>
        <v>Аналог 1</v>
      </c>
      <c r="D39" s="87" t="str">
        <f>D7</f>
        <v>Аналог 2</v>
      </c>
      <c r="E39" s="87" t="str">
        <f>E7</f>
        <v>Аналог 3</v>
      </c>
      <c r="G39" s="87" t="str">
        <f>G7</f>
        <v>Аналог 3</v>
      </c>
      <c r="H39" s="87" t="str">
        <f>H7</f>
        <v>Аналог 1</v>
      </c>
      <c r="I39" s="87" t="str">
        <f>I7</f>
        <v>Аналог 3</v>
      </c>
      <c r="J39" s="87" t="str">
        <f>J7</f>
        <v>Аналог 1</v>
      </c>
    </row>
    <row r="40" spans="1:10" s="113" customFormat="1" ht="14.25" hidden="1" customHeight="1" outlineLevel="1">
      <c r="A40" s="120" t="s">
        <v>250</v>
      </c>
      <c r="B40" s="121"/>
      <c r="C40" s="122">
        <v>1</v>
      </c>
      <c r="D40" s="122">
        <v>1</v>
      </c>
      <c r="E40" s="122">
        <v>1</v>
      </c>
      <c r="G40" s="122">
        <v>1</v>
      </c>
      <c r="H40" s="122">
        <v>1</v>
      </c>
      <c r="I40" s="122">
        <v>1</v>
      </c>
      <c r="J40" s="122">
        <v>1</v>
      </c>
    </row>
    <row r="41" spans="1:10" s="113" customFormat="1" ht="16.5" hidden="1" customHeight="1" outlineLevel="1">
      <c r="A41" s="123" t="s">
        <v>251</v>
      </c>
      <c r="B41" s="124"/>
      <c r="C41" s="124">
        <f>C40*C38</f>
        <v>84176.470588235301</v>
      </c>
      <c r="D41" s="124">
        <f>D40*D38</f>
        <v>90000</v>
      </c>
      <c r="E41" s="124">
        <f>E40*E38</f>
        <v>64203.200383566575</v>
      </c>
      <c r="G41" s="124">
        <f>G40*G38</f>
        <v>88984.210526315801</v>
      </c>
      <c r="H41" s="124">
        <f>H40*H38</f>
        <v>59645.855194123818</v>
      </c>
      <c r="I41" s="124">
        <f>I40*I38</f>
        <v>72017.647058823524</v>
      </c>
      <c r="J41" s="124">
        <f>J40*J38</f>
        <v>72875</v>
      </c>
    </row>
    <row r="42" spans="1:10" collapsed="1">
      <c r="A42" s="125" t="s">
        <v>252</v>
      </c>
      <c r="B42" s="126"/>
      <c r="C42" s="127">
        <v>0.95</v>
      </c>
      <c r="D42" s="127">
        <v>0.9</v>
      </c>
      <c r="E42" s="127">
        <v>0.9</v>
      </c>
      <c r="G42" s="127">
        <v>0.9</v>
      </c>
      <c r="H42" s="127">
        <v>0.9</v>
      </c>
      <c r="I42" s="127">
        <v>0.9</v>
      </c>
      <c r="J42" s="127">
        <v>0.9</v>
      </c>
    </row>
    <row r="43" spans="1:10" ht="15">
      <c r="A43" s="128" t="s">
        <v>251</v>
      </c>
      <c r="B43" s="129"/>
      <c r="C43" s="129">
        <f>C42*C41</f>
        <v>79967.647058823539</v>
      </c>
      <c r="D43" s="129">
        <f>D42*D41</f>
        <v>81000</v>
      </c>
      <c r="E43" s="129">
        <f>E42*E41</f>
        <v>57782.880345209916</v>
      </c>
      <c r="G43" s="129">
        <f>G42*G41</f>
        <v>80085.789473684228</v>
      </c>
      <c r="H43" s="129">
        <f>H42*H41</f>
        <v>53681.269674711439</v>
      </c>
      <c r="I43" s="129">
        <f>I42*I41</f>
        <v>64815.882352941175</v>
      </c>
      <c r="J43" s="129">
        <f>J42*J41</f>
        <v>65587.5</v>
      </c>
    </row>
    <row r="44" spans="1:10">
      <c r="A44" s="130" t="s">
        <v>253</v>
      </c>
      <c r="B44" s="115"/>
      <c r="C44" s="131">
        <v>1</v>
      </c>
      <c r="D44" s="131">
        <v>1</v>
      </c>
      <c r="E44" s="131">
        <v>1</v>
      </c>
      <c r="G44" s="131">
        <v>1.1000000000000001</v>
      </c>
      <c r="H44" s="131">
        <v>1</v>
      </c>
      <c r="I44" s="131">
        <v>1</v>
      </c>
      <c r="J44" s="131">
        <v>1</v>
      </c>
    </row>
    <row r="45" spans="1:10" ht="15">
      <c r="A45" s="132" t="s">
        <v>251</v>
      </c>
      <c r="B45" s="133"/>
      <c r="C45" s="133">
        <f>C44*C43</f>
        <v>79967.647058823539</v>
      </c>
      <c r="D45" s="133">
        <f>D44*D43</f>
        <v>81000</v>
      </c>
      <c r="E45" s="133">
        <f>E44*E43</f>
        <v>57782.880345209916</v>
      </c>
      <c r="G45" s="133">
        <f>G44*G43</f>
        <v>88094.368421052655</v>
      </c>
      <c r="H45" s="133">
        <f>H44*H43</f>
        <v>53681.269674711439</v>
      </c>
      <c r="I45" s="133">
        <f>I44*I43</f>
        <v>64815.882352941175</v>
      </c>
      <c r="J45" s="133">
        <f>J44*J43</f>
        <v>65587.5</v>
      </c>
    </row>
    <row r="46" spans="1:10">
      <c r="A46" s="130" t="s">
        <v>254</v>
      </c>
      <c r="B46" s="115"/>
      <c r="C46" s="131">
        <v>0.92</v>
      </c>
      <c r="D46" s="131">
        <v>0.8</v>
      </c>
      <c r="E46" s="131">
        <v>1.1000000000000001</v>
      </c>
      <c r="G46" s="131">
        <v>0.9</v>
      </c>
      <c r="H46" s="131">
        <v>0.9</v>
      </c>
      <c r="I46" s="131">
        <v>0.95</v>
      </c>
      <c r="J46" s="131">
        <v>1</v>
      </c>
    </row>
    <row r="47" spans="1:10" ht="15">
      <c r="A47" s="132" t="s">
        <v>251</v>
      </c>
      <c r="B47" s="133"/>
      <c r="C47" s="133">
        <f>C46*C45</f>
        <v>73570.235294117665</v>
      </c>
      <c r="D47" s="133">
        <f>D46*D45</f>
        <v>64800</v>
      </c>
      <c r="E47" s="133">
        <f>E46*E45</f>
        <v>63561.168379730916</v>
      </c>
      <c r="G47" s="133">
        <f>G46*G45</f>
        <v>79284.931578947391</v>
      </c>
      <c r="H47" s="133">
        <f>H46*H45</f>
        <v>48313.142707240295</v>
      </c>
      <c r="I47" s="133">
        <f>I46*I45</f>
        <v>61575.088235294112</v>
      </c>
      <c r="J47" s="133">
        <f>J46*J45</f>
        <v>65587.5</v>
      </c>
    </row>
    <row r="48" spans="1:10">
      <c r="A48" s="130" t="s">
        <v>255</v>
      </c>
      <c r="B48" s="115"/>
      <c r="C48" s="131">
        <v>1.1000000000000001</v>
      </c>
      <c r="D48" s="131">
        <v>1.1000000000000001</v>
      </c>
      <c r="E48" s="131">
        <v>1</v>
      </c>
      <c r="G48" s="131">
        <v>0.9</v>
      </c>
      <c r="H48" s="131">
        <v>1.1000000000000001</v>
      </c>
      <c r="I48" s="131">
        <v>0.92</v>
      </c>
      <c r="J48" s="131">
        <v>0.92</v>
      </c>
    </row>
    <row r="49" spans="1:10" ht="15">
      <c r="A49" s="132" t="s">
        <v>251</v>
      </c>
      <c r="B49" s="133"/>
      <c r="C49" s="133">
        <f>C48*C47</f>
        <v>80927.258823529439</v>
      </c>
      <c r="D49" s="133">
        <f>D48*D47</f>
        <v>71280</v>
      </c>
      <c r="E49" s="133">
        <f>E48*E47</f>
        <v>63561.168379730916</v>
      </c>
      <c r="G49" s="133">
        <f>G48*G47</f>
        <v>71356.438421052648</v>
      </c>
      <c r="H49" s="133">
        <f>H48*H47</f>
        <v>53144.456977964328</v>
      </c>
      <c r="I49" s="133">
        <f>I48*I47</f>
        <v>56649.081176470587</v>
      </c>
      <c r="J49" s="133">
        <f>J48*J47</f>
        <v>60340.5</v>
      </c>
    </row>
    <row r="50" spans="1:10">
      <c r="A50" s="130" t="s">
        <v>256</v>
      </c>
      <c r="B50" s="133"/>
      <c r="C50" s="131">
        <v>1</v>
      </c>
      <c r="D50" s="131">
        <v>1</v>
      </c>
      <c r="E50" s="131">
        <v>1</v>
      </c>
      <c r="G50" s="131">
        <v>1</v>
      </c>
      <c r="H50" s="131">
        <v>1</v>
      </c>
      <c r="I50" s="131">
        <v>1</v>
      </c>
      <c r="J50" s="131">
        <v>1</v>
      </c>
    </row>
    <row r="51" spans="1:10" ht="15">
      <c r="A51" s="132" t="s">
        <v>251</v>
      </c>
      <c r="B51" s="133"/>
      <c r="C51" s="133">
        <f>C49*C50</f>
        <v>80927.258823529439</v>
      </c>
      <c r="D51" s="133">
        <f>D49*D50</f>
        <v>71280</v>
      </c>
      <c r="E51" s="133">
        <f>E49*E50</f>
        <v>63561.168379730916</v>
      </c>
      <c r="G51" s="133">
        <f>G49*G50</f>
        <v>71356.438421052648</v>
      </c>
      <c r="H51" s="133">
        <f>H49*H50</f>
        <v>53144.456977964328</v>
      </c>
      <c r="I51" s="133">
        <f>I49*I50</f>
        <v>56649.081176470587</v>
      </c>
      <c r="J51" s="133">
        <f>J49*J50</f>
        <v>60340.5</v>
      </c>
    </row>
    <row r="52" spans="1:10">
      <c r="A52" s="130" t="s">
        <v>257</v>
      </c>
      <c r="B52" s="115"/>
      <c r="C52" s="131">
        <v>0.98</v>
      </c>
      <c r="D52" s="131">
        <v>1</v>
      </c>
      <c r="E52" s="131">
        <v>1</v>
      </c>
      <c r="G52" s="131">
        <v>0.98</v>
      </c>
      <c r="H52" s="131">
        <v>0.98</v>
      </c>
      <c r="I52" s="131">
        <v>0.98</v>
      </c>
      <c r="J52" s="131">
        <v>0.98</v>
      </c>
    </row>
    <row r="53" spans="1:10" ht="15">
      <c r="A53" s="132" t="s">
        <v>251</v>
      </c>
      <c r="B53" s="133"/>
      <c r="C53" s="133">
        <f>C52*C51</f>
        <v>79308.713647058845</v>
      </c>
      <c r="D53" s="133">
        <f>D52*D51</f>
        <v>71280</v>
      </c>
      <c r="E53" s="133">
        <f>E52*E51</f>
        <v>63561.168379730916</v>
      </c>
      <c r="G53" s="133">
        <f>G52*G51</f>
        <v>69929.309652631593</v>
      </c>
      <c r="H53" s="133">
        <f>H52*H51</f>
        <v>52081.567838405041</v>
      </c>
      <c r="I53" s="133">
        <f>I52*I51</f>
        <v>55516.099552941174</v>
      </c>
      <c r="J53" s="133">
        <f>J52*J51</f>
        <v>59133.69</v>
      </c>
    </row>
    <row r="54" spans="1:10" ht="13.5" customHeight="1">
      <c r="A54" s="125" t="s">
        <v>258</v>
      </c>
      <c r="B54" s="129"/>
      <c r="C54" s="127">
        <f>MROUND(C131,0.02)</f>
        <v>1.1200000000000001</v>
      </c>
      <c r="D54" s="127">
        <f>MROUND(D131,0.02)</f>
        <v>0.88</v>
      </c>
      <c r="E54" s="127">
        <f>MROUND(E131,0.02)</f>
        <v>0.86</v>
      </c>
      <c r="G54" s="127">
        <f>MROUND(G131,0.02)</f>
        <v>0.76</v>
      </c>
      <c r="H54" s="127">
        <f>MROUND(H131,0.02)</f>
        <v>1.04</v>
      </c>
      <c r="I54" s="127">
        <f>MROUND(I131,0.02)</f>
        <v>1.1599999999999999</v>
      </c>
      <c r="J54" s="127">
        <f>MROUND(J131,0.02)</f>
        <v>0.76</v>
      </c>
    </row>
    <row r="55" spans="1:10" s="113" customFormat="1" ht="15" outlineLevel="1">
      <c r="A55" s="128" t="s">
        <v>251</v>
      </c>
      <c r="B55" s="129"/>
      <c r="C55" s="129">
        <f>C54*C53</f>
        <v>88825.759284705913</v>
      </c>
      <c r="D55" s="129">
        <f>D54*D53</f>
        <v>62726.400000000001</v>
      </c>
      <c r="E55" s="129">
        <f>E54*E53</f>
        <v>54662.60480656859</v>
      </c>
      <c r="F55" s="74"/>
      <c r="G55" s="129">
        <f>G54*G53</f>
        <v>53146.275336000013</v>
      </c>
      <c r="H55" s="129">
        <f>H54*H53</f>
        <v>54164.830551941246</v>
      </c>
      <c r="I55" s="129">
        <f>I54*I53</f>
        <v>64398.675481411759</v>
      </c>
      <c r="J55" s="129">
        <f>J54*J53</f>
        <v>44941.604400000004</v>
      </c>
    </row>
    <row r="56" spans="1:10" s="113" customFormat="1" outlineLevel="1">
      <c r="A56" s="125" t="s">
        <v>259</v>
      </c>
      <c r="B56" s="126"/>
      <c r="C56" s="127">
        <v>1</v>
      </c>
      <c r="D56" s="127">
        <v>1</v>
      </c>
      <c r="E56" s="127">
        <v>1</v>
      </c>
      <c r="F56" s="74"/>
      <c r="G56" s="127">
        <v>1</v>
      </c>
      <c r="H56" s="127">
        <v>1</v>
      </c>
      <c r="I56" s="127">
        <v>1</v>
      </c>
      <c r="J56" s="127">
        <v>1</v>
      </c>
    </row>
    <row r="57" spans="1:10" ht="15">
      <c r="A57" s="128" t="s">
        <v>251</v>
      </c>
      <c r="B57" s="129"/>
      <c r="C57" s="129">
        <f>C56*C55</f>
        <v>88825.759284705913</v>
      </c>
      <c r="D57" s="129">
        <f>D56*D55</f>
        <v>62726.400000000001</v>
      </c>
      <c r="E57" s="129">
        <f>E56*E55</f>
        <v>54662.60480656859</v>
      </c>
      <c r="G57" s="129">
        <f>G56*G55</f>
        <v>53146.275336000013</v>
      </c>
      <c r="H57" s="129">
        <f>H56*H55</f>
        <v>54164.830551941246</v>
      </c>
      <c r="I57" s="129">
        <f>I56*I55</f>
        <v>64398.675481411759</v>
      </c>
      <c r="J57" s="129">
        <f>J56*J55</f>
        <v>44941.604400000004</v>
      </c>
    </row>
    <row r="58" spans="1:10">
      <c r="A58" s="130" t="s">
        <v>260</v>
      </c>
      <c r="B58" s="133"/>
      <c r="C58" s="131">
        <v>1</v>
      </c>
      <c r="D58" s="131">
        <v>0.92</v>
      </c>
      <c r="E58" s="131">
        <v>0.9</v>
      </c>
      <c r="G58" s="131">
        <v>0.95</v>
      </c>
      <c r="H58" s="131">
        <v>0.95</v>
      </c>
      <c r="I58" s="131">
        <v>1</v>
      </c>
      <c r="J58" s="131">
        <v>1</v>
      </c>
    </row>
    <row r="59" spans="1:10" ht="15">
      <c r="A59" s="132" t="s">
        <v>251</v>
      </c>
      <c r="B59" s="133"/>
      <c r="C59" s="133">
        <f>C58*C57</f>
        <v>88825.759284705913</v>
      </c>
      <c r="D59" s="133">
        <f>D58*D57</f>
        <v>57708.288</v>
      </c>
      <c r="E59" s="133">
        <f>E58*E57</f>
        <v>49196.344325911734</v>
      </c>
      <c r="G59" s="133">
        <f>G58*G57</f>
        <v>50488.961569200008</v>
      </c>
      <c r="H59" s="133">
        <f>H58*H57</f>
        <v>51456.589024344183</v>
      </c>
      <c r="I59" s="133">
        <f>I58*I57</f>
        <v>64398.675481411759</v>
      </c>
      <c r="J59" s="133">
        <f>J58*J57</f>
        <v>44941.604400000004</v>
      </c>
    </row>
    <row r="60" spans="1:10">
      <c r="A60" s="130" t="s">
        <v>261</v>
      </c>
      <c r="B60" s="133"/>
      <c r="C60" s="428">
        <f>Выжимка!K43</f>
        <v>1.1538461538461537</v>
      </c>
      <c r="D60" s="428">
        <f>Выжимка!L43</f>
        <v>1.3087248322147651</v>
      </c>
      <c r="E60" s="428">
        <f>Выжимка!M43</f>
        <v>1.5116279069767442</v>
      </c>
      <c r="G60" s="131">
        <v>1.05</v>
      </c>
      <c r="H60" s="131">
        <v>0.95</v>
      </c>
      <c r="I60" s="131">
        <v>1.05</v>
      </c>
      <c r="J60" s="131">
        <v>1.05</v>
      </c>
    </row>
    <row r="61" spans="1:10" ht="15">
      <c r="A61" s="132" t="s">
        <v>251</v>
      </c>
      <c r="B61" s="133"/>
      <c r="C61" s="133">
        <f>C60*C59</f>
        <v>102491.2607131222</v>
      </c>
      <c r="D61" s="133">
        <f>D60*D59</f>
        <v>75524.269530201345</v>
      </c>
      <c r="E61" s="133">
        <f>E60*E59</f>
        <v>74366.567004285185</v>
      </c>
      <c r="G61" s="133">
        <f>G60*G59</f>
        <v>53013.40964766001</v>
      </c>
      <c r="H61" s="133">
        <f>H60*H59</f>
        <v>48883.759573126968</v>
      </c>
      <c r="I61" s="133">
        <f>I60*I59</f>
        <v>67618.609255482355</v>
      </c>
      <c r="J61" s="133">
        <f>J60*J59</f>
        <v>47188.684620000007</v>
      </c>
    </row>
    <row r="62" spans="1:10">
      <c r="A62" s="130" t="s">
        <v>262</v>
      </c>
      <c r="B62" s="115"/>
      <c r="C62" s="131">
        <v>1</v>
      </c>
      <c r="D62" s="131">
        <v>1</v>
      </c>
      <c r="E62" s="131">
        <v>1</v>
      </c>
      <c r="G62" s="131">
        <v>1</v>
      </c>
      <c r="H62" s="131">
        <v>1</v>
      </c>
      <c r="I62" s="131">
        <v>0.95</v>
      </c>
      <c r="J62" s="131">
        <v>0.95</v>
      </c>
    </row>
    <row r="63" spans="1:10" ht="15">
      <c r="A63" s="132" t="s">
        <v>251</v>
      </c>
      <c r="B63" s="133"/>
      <c r="C63" s="133">
        <f>C62*C61</f>
        <v>102491.2607131222</v>
      </c>
      <c r="D63" s="133">
        <f>D62*D61</f>
        <v>75524.269530201345</v>
      </c>
      <c r="E63" s="133">
        <f>E62*E61</f>
        <v>74366.567004285185</v>
      </c>
      <c r="G63" s="133">
        <f>G62*G61</f>
        <v>53013.40964766001</v>
      </c>
      <c r="H63" s="133">
        <f>H62*H61</f>
        <v>48883.759573126968</v>
      </c>
      <c r="I63" s="133">
        <f>I62*I61</f>
        <v>64237.678792708233</v>
      </c>
      <c r="J63" s="133">
        <f>J62*J61</f>
        <v>44829.250389000008</v>
      </c>
    </row>
    <row r="64" spans="1:10">
      <c r="A64" s="130" t="s">
        <v>263</v>
      </c>
      <c r="B64" s="133"/>
      <c r="C64" s="131">
        <v>1</v>
      </c>
      <c r="D64" s="131">
        <v>1</v>
      </c>
      <c r="E64" s="131">
        <v>1</v>
      </c>
      <c r="G64" s="131">
        <v>1</v>
      </c>
      <c r="H64" s="131">
        <v>1</v>
      </c>
      <c r="I64" s="131">
        <v>1</v>
      </c>
      <c r="J64" s="131">
        <v>1</v>
      </c>
    </row>
    <row r="65" spans="1:10" ht="15">
      <c r="A65" s="132" t="s">
        <v>251</v>
      </c>
      <c r="B65" s="133"/>
      <c r="C65" s="133">
        <f t="shared" ref="C65" si="2">C64*C63</f>
        <v>102491.2607131222</v>
      </c>
      <c r="D65" s="133">
        <f>D64*D63</f>
        <v>75524.269530201345</v>
      </c>
      <c r="E65" s="133">
        <f>E64*E63</f>
        <v>74366.567004285185</v>
      </c>
      <c r="G65" s="133">
        <f t="shared" ref="G65" si="3">G64*G63</f>
        <v>53013.40964766001</v>
      </c>
      <c r="H65" s="133">
        <f>H64*H63</f>
        <v>48883.759573126968</v>
      </c>
      <c r="I65" s="133">
        <f>I64*I63</f>
        <v>64237.678792708233</v>
      </c>
      <c r="J65" s="133">
        <f>J64*J63</f>
        <v>44829.250389000008</v>
      </c>
    </row>
    <row r="66" spans="1:10">
      <c r="A66" s="130" t="s">
        <v>264</v>
      </c>
      <c r="B66" s="133"/>
      <c r="C66" s="131">
        <v>0.98</v>
      </c>
      <c r="D66" s="131">
        <v>0.98</v>
      </c>
      <c r="E66" s="131">
        <v>0.98</v>
      </c>
      <c r="G66" s="131">
        <v>0.98</v>
      </c>
      <c r="H66" s="131">
        <v>0.98</v>
      </c>
      <c r="I66" s="131">
        <v>0.98</v>
      </c>
      <c r="J66" s="131">
        <v>0.98</v>
      </c>
    </row>
    <row r="67" spans="1:10" ht="15">
      <c r="A67" s="132" t="s">
        <v>251</v>
      </c>
      <c r="B67" s="133"/>
      <c r="C67" s="133">
        <f t="shared" ref="C67" si="4">C66*C65</f>
        <v>100441.43549885976</v>
      </c>
      <c r="D67" s="133">
        <f>D66*D65</f>
        <v>74013.784139597323</v>
      </c>
      <c r="E67" s="133">
        <f>E66*E65</f>
        <v>72879.235664199485</v>
      </c>
      <c r="G67" s="133">
        <f t="shared" ref="G67" si="5">G66*G65</f>
        <v>51953.141454706805</v>
      </c>
      <c r="H67" s="133">
        <f>H66*H65</f>
        <v>47906.084381664426</v>
      </c>
      <c r="I67" s="133">
        <f>I66*I65</f>
        <v>62952.92521685407</v>
      </c>
      <c r="J67" s="133">
        <f>J66*J65</f>
        <v>43932.665381220009</v>
      </c>
    </row>
    <row r="68" spans="1:10">
      <c r="A68" s="130" t="s">
        <v>265</v>
      </c>
      <c r="B68" s="115"/>
      <c r="C68" s="131">
        <v>1</v>
      </c>
      <c r="D68" s="131">
        <v>0.98</v>
      </c>
      <c r="E68" s="131">
        <v>1.02</v>
      </c>
      <c r="G68" s="131">
        <v>1</v>
      </c>
      <c r="H68" s="131">
        <v>1.02</v>
      </c>
      <c r="I68" s="131">
        <v>1</v>
      </c>
      <c r="J68" s="131">
        <v>1</v>
      </c>
    </row>
    <row r="69" spans="1:10" ht="15">
      <c r="A69" s="132" t="s">
        <v>251</v>
      </c>
      <c r="B69" s="133"/>
      <c r="C69" s="133">
        <f t="shared" ref="C69" si="6">C68*C67</f>
        <v>100441.43549885976</v>
      </c>
      <c r="D69" s="133">
        <f>D68*D67</f>
        <v>72533.508456805372</v>
      </c>
      <c r="E69" s="133">
        <f>E68*E67</f>
        <v>74336.820377483469</v>
      </c>
      <c r="G69" s="133">
        <f t="shared" ref="G69" si="7">G68*G67</f>
        <v>51953.141454706805</v>
      </c>
      <c r="H69" s="133">
        <f>H68*H67</f>
        <v>48864.206069297717</v>
      </c>
      <c r="I69" s="133">
        <f>I68*I67</f>
        <v>62952.92521685407</v>
      </c>
      <c r="J69" s="133">
        <f>J68*J67</f>
        <v>43932.665381220009</v>
      </c>
    </row>
    <row r="70" spans="1:10">
      <c r="A70" s="125" t="s">
        <v>266</v>
      </c>
      <c r="B70" s="126"/>
      <c r="C70" s="127">
        <f>C142</f>
        <v>0.9</v>
      </c>
      <c r="D70" s="127">
        <f>D142</f>
        <v>1.02</v>
      </c>
      <c r="E70" s="127">
        <f>E142</f>
        <v>0.96</v>
      </c>
      <c r="G70" s="127">
        <f>G142</f>
        <v>0.96</v>
      </c>
      <c r="H70" s="127">
        <f>H142</f>
        <v>1.24</v>
      </c>
      <c r="I70" s="127">
        <f>I142</f>
        <v>1</v>
      </c>
      <c r="J70" s="127">
        <f>J142</f>
        <v>1.04</v>
      </c>
    </row>
    <row r="71" spans="1:10" ht="15">
      <c r="A71" s="128" t="s">
        <v>251</v>
      </c>
      <c r="B71" s="129"/>
      <c r="C71" s="129">
        <f>C70*C69</f>
        <v>90397.291948973783</v>
      </c>
      <c r="D71" s="129">
        <f>D70*D69</f>
        <v>73984.17862594148</v>
      </c>
      <c r="E71" s="129">
        <f>E70*E69</f>
        <v>71363.347562384122</v>
      </c>
      <c r="G71" s="129">
        <f>G70*G69</f>
        <v>49875.015796518528</v>
      </c>
      <c r="H71" s="129">
        <f>H70*H69</f>
        <v>60591.61552592917</v>
      </c>
      <c r="I71" s="129">
        <f>I70*I69</f>
        <v>62952.92521685407</v>
      </c>
      <c r="J71" s="129">
        <f>J70*J69</f>
        <v>45689.971996468812</v>
      </c>
    </row>
    <row r="72" spans="1:10">
      <c r="A72" s="130" t="s">
        <v>267</v>
      </c>
      <c r="B72" s="115"/>
      <c r="C72" s="131">
        <v>0.88</v>
      </c>
      <c r="D72" s="131">
        <v>0.92</v>
      </c>
      <c r="E72" s="131">
        <v>0.9</v>
      </c>
      <c r="G72" s="131">
        <v>0.92</v>
      </c>
      <c r="H72" s="131">
        <v>0.88</v>
      </c>
      <c r="I72" s="131">
        <v>0.9</v>
      </c>
      <c r="J72" s="131">
        <v>0.88</v>
      </c>
    </row>
    <row r="73" spans="1:10" ht="15">
      <c r="A73" s="132" t="s">
        <v>251</v>
      </c>
      <c r="B73" s="134"/>
      <c r="C73" s="133">
        <f>C72*C71</f>
        <v>79549.616915096936</v>
      </c>
      <c r="D73" s="133">
        <f>D72*D71</f>
        <v>68065.444335866167</v>
      </c>
      <c r="E73" s="133">
        <f>E72*E71</f>
        <v>64227.012806145714</v>
      </c>
      <c r="G73" s="133">
        <f>G72*G71</f>
        <v>45885.014532797046</v>
      </c>
      <c r="H73" s="133">
        <f>H72*H71</f>
        <v>53320.62166281767</v>
      </c>
      <c r="I73" s="133">
        <f>I72*I71</f>
        <v>56657.632695168664</v>
      </c>
      <c r="J73" s="133">
        <f>J72*J71</f>
        <v>40207.175356892556</v>
      </c>
    </row>
    <row r="74" spans="1:10">
      <c r="A74" s="130" t="s">
        <v>268</v>
      </c>
      <c r="B74" s="134"/>
      <c r="C74" s="131">
        <v>1.1000000000000001</v>
      </c>
      <c r="D74" s="131">
        <v>1.05</v>
      </c>
      <c r="E74" s="131">
        <v>1.1499999999999999</v>
      </c>
      <c r="G74" s="131">
        <v>1.1499999999999999</v>
      </c>
      <c r="H74" s="131">
        <v>1.1499999999999999</v>
      </c>
      <c r="I74" s="131">
        <v>1.1499999999999999</v>
      </c>
      <c r="J74" s="131">
        <v>1.1499999999999999</v>
      </c>
    </row>
    <row r="75" spans="1:10" ht="15">
      <c r="A75" s="132" t="s">
        <v>251</v>
      </c>
      <c r="B75" s="134"/>
      <c r="C75" s="133">
        <f>C73*C74</f>
        <v>87504.578606606636</v>
      </c>
      <c r="D75" s="133">
        <f>D73*D74</f>
        <v>71468.716552659476</v>
      </c>
      <c r="E75" s="133">
        <f>E73*E74</f>
        <v>73861.064727067569</v>
      </c>
      <c r="G75" s="133">
        <f>G73*G74</f>
        <v>52767.766712716599</v>
      </c>
      <c r="H75" s="133">
        <f>H73*H74</f>
        <v>61318.714912240313</v>
      </c>
      <c r="I75" s="133">
        <f>I73*I74</f>
        <v>65156.277599443958</v>
      </c>
      <c r="J75" s="133">
        <f>J73*J74</f>
        <v>46238.251660426438</v>
      </c>
    </row>
    <row r="76" spans="1:10">
      <c r="A76" s="130" t="s">
        <v>269</v>
      </c>
      <c r="B76" s="134"/>
      <c r="C76" s="131">
        <v>1</v>
      </c>
      <c r="D76" s="131">
        <v>1</v>
      </c>
      <c r="E76" s="131">
        <v>1</v>
      </c>
      <c r="G76" s="131">
        <v>1</v>
      </c>
      <c r="H76" s="131">
        <v>0.8</v>
      </c>
      <c r="I76" s="131">
        <v>1</v>
      </c>
      <c r="J76" s="131">
        <v>1</v>
      </c>
    </row>
    <row r="77" spans="1:10" ht="15">
      <c r="A77" s="132" t="s">
        <v>251</v>
      </c>
      <c r="B77" s="134"/>
      <c r="C77" s="133">
        <f>C75*C76</f>
        <v>87504.578606606636</v>
      </c>
      <c r="D77" s="133">
        <f>D75*D76</f>
        <v>71468.716552659476</v>
      </c>
      <c r="E77" s="133">
        <f>E75*E76</f>
        <v>73861.064727067569</v>
      </c>
      <c r="G77" s="133">
        <f>G75*G76</f>
        <v>52767.766712716599</v>
      </c>
      <c r="H77" s="133">
        <f>H75*H76</f>
        <v>49054.971929792257</v>
      </c>
      <c r="I77" s="133">
        <f>I75*I76</f>
        <v>65156.277599443958</v>
      </c>
      <c r="J77" s="133">
        <f>J75*J76</f>
        <v>46238.251660426438</v>
      </c>
    </row>
    <row r="78" spans="1:10" ht="15">
      <c r="A78" s="132" t="s">
        <v>270</v>
      </c>
      <c r="B78" s="133"/>
      <c r="C78" s="133">
        <f>C77/долл</f>
        <v>1000.6241121395841</v>
      </c>
      <c r="D78" s="133">
        <f>D77/долл</f>
        <v>817.2523333637447</v>
      </c>
      <c r="E78" s="133">
        <f>E77/долл</f>
        <v>844.60908778807971</v>
      </c>
      <c r="G78" s="133">
        <f>G77/долл</f>
        <v>603.40499385610747</v>
      </c>
      <c r="H78" s="133">
        <f>H77/долл</f>
        <v>560.94879279350778</v>
      </c>
      <c r="I78" s="133">
        <f>I77/долл</f>
        <v>745.06892623720933</v>
      </c>
      <c r="J78" s="133">
        <f>J77/долл</f>
        <v>528.73929857548808</v>
      </c>
    </row>
    <row r="79" spans="1:10">
      <c r="A79" s="119" t="s">
        <v>271</v>
      </c>
      <c r="B79" s="87" t="s">
        <v>159</v>
      </c>
      <c r="C79" s="135"/>
      <c r="D79" s="135"/>
      <c r="E79" s="135"/>
      <c r="G79" s="135"/>
      <c r="H79" s="135"/>
      <c r="I79" s="135"/>
      <c r="J79" s="135"/>
    </row>
    <row r="80" spans="1:10" ht="15">
      <c r="A80" s="136" t="s">
        <v>272</v>
      </c>
      <c r="B80" s="115">
        <f>ROUND(AVERAGE(C77:E77),-1)</f>
        <v>77610</v>
      </c>
      <c r="C80" s="104"/>
      <c r="D80" s="104"/>
      <c r="E80" s="104"/>
      <c r="G80" s="104"/>
      <c r="H80" s="104"/>
      <c r="I80" s="104"/>
      <c r="J80" s="104"/>
    </row>
    <row r="81" spans="1:10" ht="14.25" customHeight="1">
      <c r="A81" s="136" t="s">
        <v>273</v>
      </c>
      <c r="B81" s="115">
        <f>ROUND(B80/долл,2)</f>
        <v>887.48</v>
      </c>
      <c r="C81" s="104"/>
      <c r="D81" s="104"/>
      <c r="E81" s="104"/>
      <c r="G81" s="104"/>
      <c r="H81" s="104"/>
      <c r="I81" s="104"/>
      <c r="J81" s="104"/>
    </row>
    <row r="82" spans="1:10">
      <c r="A82" s="132" t="s">
        <v>274</v>
      </c>
      <c r="B82" s="133">
        <f>ROUND(B80*B14,-3)</f>
        <v>1665604000</v>
      </c>
      <c r="C82" s="104"/>
      <c r="D82" s="104"/>
      <c r="E82" s="104"/>
      <c r="G82" s="104"/>
      <c r="H82" s="104"/>
      <c r="I82" s="104"/>
      <c r="J82" s="104"/>
    </row>
    <row r="83" spans="1:10">
      <c r="A83" s="132" t="s">
        <v>275</v>
      </c>
      <c r="B83" s="133">
        <f>ROUND(B82/долл,-2)</f>
        <v>19046400</v>
      </c>
      <c r="C83" s="133"/>
      <c r="D83" s="133"/>
      <c r="E83" s="133"/>
      <c r="G83" s="133"/>
      <c r="H83" s="133"/>
      <c r="I83" s="133"/>
      <c r="J83" s="133"/>
    </row>
    <row r="84" spans="1:10">
      <c r="A84" s="137"/>
      <c r="B84" s="138"/>
      <c r="C84" s="138"/>
      <c r="D84" s="138"/>
      <c r="E84" s="138"/>
      <c r="G84" s="138"/>
      <c r="H84" s="138"/>
      <c r="I84" s="138"/>
      <c r="J84" s="138"/>
    </row>
    <row r="85" spans="1:10">
      <c r="A85" s="137"/>
      <c r="B85" s="138"/>
      <c r="C85" s="138"/>
      <c r="D85" s="138"/>
      <c r="E85" s="138"/>
      <c r="G85" s="138"/>
      <c r="H85" s="138"/>
      <c r="I85" s="138"/>
      <c r="J85" s="138"/>
    </row>
    <row r="86" spans="1:10" ht="14.25">
      <c r="A86"/>
      <c r="B86"/>
      <c r="C86" s="138"/>
      <c r="D86" s="138"/>
      <c r="E86" s="138"/>
      <c r="G86" s="138"/>
      <c r="H86" s="138"/>
      <c r="I86" s="138"/>
      <c r="J86" s="138"/>
    </row>
    <row r="87" spans="1:10" ht="14.25">
      <c r="A87"/>
      <c r="B87"/>
      <c r="C87" s="138"/>
      <c r="D87" s="138"/>
      <c r="E87" s="138"/>
      <c r="G87" s="138"/>
      <c r="H87" s="138"/>
      <c r="I87" s="138"/>
      <c r="J87" s="138"/>
    </row>
    <row r="88" spans="1:10" ht="14.25">
      <c r="A88"/>
      <c r="B88"/>
      <c r="C88" s="138"/>
      <c r="D88" s="138"/>
      <c r="E88" s="138"/>
      <c r="G88" s="138"/>
      <c r="H88" s="138"/>
      <c r="I88" s="138"/>
      <c r="J88" s="138"/>
    </row>
    <row r="89" spans="1:10" ht="14.25">
      <c r="A89"/>
      <c r="B89"/>
      <c r="C89" s="138"/>
      <c r="D89" s="138"/>
      <c r="E89" s="138"/>
      <c r="G89" s="138"/>
      <c r="H89" s="138"/>
      <c r="I89" s="138"/>
      <c r="J89" s="138"/>
    </row>
    <row r="90" spans="1:10" ht="14.25">
      <c r="A90"/>
      <c r="B90"/>
      <c r="C90" s="138"/>
      <c r="D90" s="138"/>
      <c r="E90" s="138"/>
      <c r="G90" s="138"/>
      <c r="H90" s="138"/>
      <c r="I90" s="138"/>
      <c r="J90" s="138"/>
    </row>
    <row r="91" spans="1:10">
      <c r="A91" s="137"/>
      <c r="B91" s="138"/>
      <c r="C91" s="138"/>
      <c r="D91" s="138"/>
      <c r="E91" s="138"/>
      <c r="G91" s="138"/>
      <c r="H91" s="138"/>
      <c r="I91" s="138"/>
      <c r="J91" s="138"/>
    </row>
    <row r="92" spans="1:10">
      <c r="A92" s="137"/>
      <c r="B92" s="137"/>
      <c r="C92" s="138"/>
      <c r="D92" s="138"/>
      <c r="E92" s="138"/>
      <c r="G92" s="138"/>
      <c r="H92" s="138"/>
      <c r="I92" s="138"/>
      <c r="J92" s="138"/>
    </row>
    <row r="94" spans="1:10" ht="15">
      <c r="A94" s="196" t="s">
        <v>311</v>
      </c>
      <c r="B94" s="197">
        <f>SUM(B95:B103)</f>
        <v>21461.200000000001</v>
      </c>
      <c r="C94" s="197">
        <f t="shared" ref="C94" si="8">SUM(C95:C103)</f>
        <v>1870</v>
      </c>
      <c r="D94" s="197">
        <f>SUM(D95:D103)</f>
        <v>6996</v>
      </c>
      <c r="E94" s="197">
        <f>SUM(E95:E103)</f>
        <v>3337.1</v>
      </c>
      <c r="G94" s="140">
        <f t="shared" ref="G94" si="9">SUM(G95:G103)</f>
        <v>5699.9999999999991</v>
      </c>
      <c r="H94" s="140">
        <f>SUM(H95:H103)</f>
        <v>1906</v>
      </c>
      <c r="I94" s="140">
        <f>SUM(I95:I103)</f>
        <v>3400</v>
      </c>
      <c r="J94" s="140">
        <f>SUM(J95:J103)</f>
        <v>1800</v>
      </c>
    </row>
    <row r="95" spans="1:10">
      <c r="A95" s="185" t="str">
        <f>A15</f>
        <v>произв класс 4</v>
      </c>
      <c r="B95" s="142">
        <f>B15</f>
        <v>11633.8</v>
      </c>
      <c r="C95" s="142">
        <f>C15</f>
        <v>1760</v>
      </c>
      <c r="D95" s="142">
        <f>D15</f>
        <v>1112.2</v>
      </c>
      <c r="E95" s="142">
        <f>E15</f>
        <v>0</v>
      </c>
      <c r="G95" s="142">
        <f t="shared" ref="G95:J98" si="10">G15</f>
        <v>877.69999999999993</v>
      </c>
      <c r="H95" s="142">
        <f t="shared" si="10"/>
        <v>1260</v>
      </c>
      <c r="I95" s="142">
        <f t="shared" si="10"/>
        <v>3400</v>
      </c>
      <c r="J95" s="142">
        <f t="shared" si="10"/>
        <v>258.7</v>
      </c>
    </row>
    <row r="96" spans="1:10">
      <c r="A96" s="185" t="str">
        <f t="shared" ref="A96:E103" si="11">A16</f>
        <v>произв класс 3</v>
      </c>
      <c r="B96" s="142">
        <f t="shared" si="11"/>
        <v>9671.5</v>
      </c>
      <c r="C96" s="142">
        <f t="shared" si="11"/>
        <v>0</v>
      </c>
      <c r="D96" s="142">
        <f t="shared" si="11"/>
        <v>5523.8</v>
      </c>
      <c r="E96" s="142">
        <f t="shared" si="11"/>
        <v>0</v>
      </c>
      <c r="G96" s="142">
        <f t="shared" si="10"/>
        <v>0</v>
      </c>
      <c r="H96" s="142">
        <f t="shared" si="10"/>
        <v>646</v>
      </c>
      <c r="I96" s="142">
        <f t="shared" si="10"/>
        <v>0</v>
      </c>
      <c r="J96" s="142">
        <f t="shared" si="10"/>
        <v>0</v>
      </c>
    </row>
    <row r="97" spans="1:10">
      <c r="A97" s="185" t="str">
        <f t="shared" si="11"/>
        <v>произв класс 2</v>
      </c>
      <c r="B97" s="142">
        <f t="shared" si="11"/>
        <v>0</v>
      </c>
      <c r="C97" s="142">
        <f t="shared" si="11"/>
        <v>0</v>
      </c>
      <c r="D97" s="142">
        <f t="shared" si="11"/>
        <v>0</v>
      </c>
      <c r="E97" s="142">
        <f t="shared" si="11"/>
        <v>1947.1</v>
      </c>
      <c r="G97" s="142">
        <f t="shared" si="10"/>
        <v>4822.2999999999993</v>
      </c>
      <c r="H97" s="142">
        <f t="shared" si="10"/>
        <v>0</v>
      </c>
      <c r="I97" s="142">
        <f t="shared" si="10"/>
        <v>0</v>
      </c>
      <c r="J97" s="142">
        <f t="shared" si="10"/>
        <v>1541.3</v>
      </c>
    </row>
    <row r="98" spans="1:10">
      <c r="A98" s="185" t="str">
        <f t="shared" si="11"/>
        <v>произв класс 1</v>
      </c>
      <c r="B98" s="142">
        <f t="shared" si="11"/>
        <v>0</v>
      </c>
      <c r="C98" s="142">
        <f t="shared" si="11"/>
        <v>0</v>
      </c>
      <c r="D98" s="142">
        <f t="shared" si="11"/>
        <v>0</v>
      </c>
      <c r="E98" s="142">
        <f t="shared" si="11"/>
        <v>0</v>
      </c>
      <c r="G98" s="142">
        <f t="shared" si="10"/>
        <v>0</v>
      </c>
      <c r="H98" s="142">
        <f t="shared" si="10"/>
        <v>0</v>
      </c>
      <c r="I98" s="142">
        <f t="shared" si="10"/>
        <v>0</v>
      </c>
      <c r="J98" s="142">
        <f t="shared" si="10"/>
        <v>0</v>
      </c>
    </row>
    <row r="99" spans="1:10">
      <c r="A99" s="186" t="str">
        <f t="shared" si="11"/>
        <v>гражд класс 4</v>
      </c>
      <c r="B99" s="142">
        <f t="shared" si="11"/>
        <v>155.9</v>
      </c>
      <c r="C99" s="142">
        <f t="shared" si="11"/>
        <v>110</v>
      </c>
      <c r="D99" s="142">
        <f t="shared" si="11"/>
        <v>0</v>
      </c>
      <c r="E99" s="142">
        <f t="shared" si="11"/>
        <v>0</v>
      </c>
      <c r="G99" s="142"/>
      <c r="H99" s="142"/>
      <c r="I99" s="142"/>
      <c r="J99" s="142"/>
    </row>
    <row r="100" spans="1:10">
      <c r="A100" s="186" t="str">
        <f t="shared" si="11"/>
        <v>гражд класс 3</v>
      </c>
      <c r="B100" s="142">
        <f t="shared" si="11"/>
        <v>0</v>
      </c>
      <c r="C100" s="142">
        <f t="shared" si="11"/>
        <v>0</v>
      </c>
      <c r="D100" s="142">
        <f t="shared" si="11"/>
        <v>360</v>
      </c>
      <c r="E100" s="142">
        <f t="shared" si="11"/>
        <v>1390</v>
      </c>
      <c r="G100" s="142"/>
      <c r="H100" s="142"/>
      <c r="I100" s="142"/>
      <c r="J100" s="142"/>
    </row>
    <row r="101" spans="1:10">
      <c r="A101" s="186" t="str">
        <f t="shared" si="11"/>
        <v>гражд класс 2</v>
      </c>
      <c r="B101" s="142">
        <f t="shared" si="11"/>
        <v>0</v>
      </c>
      <c r="C101" s="142">
        <f t="shared" si="11"/>
        <v>0</v>
      </c>
      <c r="D101" s="142">
        <f t="shared" si="11"/>
        <v>0</v>
      </c>
      <c r="E101" s="142">
        <f t="shared" si="11"/>
        <v>0</v>
      </c>
      <c r="G101" s="142"/>
      <c r="H101" s="142"/>
      <c r="I101" s="142"/>
      <c r="J101" s="142"/>
    </row>
    <row r="102" spans="1:10">
      <c r="A102" s="186" t="str">
        <f t="shared" si="11"/>
        <v>гражд класс 1</v>
      </c>
      <c r="B102" s="142">
        <f t="shared" si="11"/>
        <v>0</v>
      </c>
      <c r="C102" s="142">
        <f t="shared" si="11"/>
        <v>0</v>
      </c>
      <c r="D102" s="142">
        <f t="shared" si="11"/>
        <v>0</v>
      </c>
      <c r="E102" s="142">
        <f t="shared" si="11"/>
        <v>0</v>
      </c>
      <c r="G102" s="142"/>
      <c r="H102" s="142"/>
      <c r="I102" s="142"/>
      <c r="J102" s="142"/>
    </row>
    <row r="103" spans="1:10">
      <c r="A103" s="141" t="str">
        <f t="shared" si="11"/>
        <v>прочие</v>
      </c>
      <c r="B103" s="142">
        <f t="shared" si="11"/>
        <v>0</v>
      </c>
      <c r="C103" s="142">
        <f t="shared" si="11"/>
        <v>0</v>
      </c>
      <c r="D103" s="142">
        <f t="shared" si="11"/>
        <v>0</v>
      </c>
      <c r="E103" s="142">
        <f t="shared" si="11"/>
        <v>0</v>
      </c>
      <c r="G103" s="144">
        <f t="shared" ref="G103:J103" si="12">G23</f>
        <v>0</v>
      </c>
      <c r="H103" s="144">
        <f t="shared" si="12"/>
        <v>0</v>
      </c>
      <c r="I103" s="144">
        <f t="shared" si="12"/>
        <v>0</v>
      </c>
      <c r="J103" s="144">
        <f t="shared" si="12"/>
        <v>0</v>
      </c>
    </row>
    <row r="104" spans="1:10">
      <c r="A104" s="145"/>
      <c r="B104" s="145"/>
      <c r="C104" s="145"/>
      <c r="D104" s="145"/>
      <c r="E104" s="145"/>
      <c r="G104" s="145"/>
      <c r="H104" s="145"/>
      <c r="I104" s="145"/>
      <c r="J104" s="145"/>
    </row>
    <row r="105" spans="1:10">
      <c r="B105" s="145"/>
      <c r="C105" s="145"/>
      <c r="D105" s="145"/>
      <c r="E105" s="145"/>
      <c r="G105" s="145"/>
      <c r="H105" s="145"/>
      <c r="I105" s="145"/>
      <c r="J105" s="145"/>
    </row>
    <row r="106" spans="1:10" ht="14.25">
      <c r="A106" s="194" t="s">
        <v>277</v>
      </c>
      <c r="B106" s="195"/>
      <c r="C106" s="195"/>
      <c r="D106" s="195"/>
      <c r="E106" s="195"/>
      <c r="G106" s="144"/>
      <c r="H106" s="144"/>
      <c r="I106" s="144"/>
      <c r="J106" s="144"/>
    </row>
    <row r="107" spans="1:10">
      <c r="A107" s="190">
        <v>0.33</v>
      </c>
      <c r="B107" s="147">
        <f>B95/B$94</f>
        <v>0.54208525152367992</v>
      </c>
      <c r="C107" s="147">
        <f>C95/C$94</f>
        <v>0.94117647058823528</v>
      </c>
      <c r="D107" s="147">
        <f>D95/D$94</f>
        <v>0.15897655803316182</v>
      </c>
      <c r="E107" s="147">
        <f>E95/E$94</f>
        <v>0</v>
      </c>
      <c r="F107" s="74">
        <v>0.22</v>
      </c>
      <c r="G107" s="147">
        <f t="shared" ref="G107:J109" si="13">G95/G$94</f>
        <v>0.15398245614035089</v>
      </c>
      <c r="H107" s="147">
        <f t="shared" si="13"/>
        <v>0.66107030430220359</v>
      </c>
      <c r="I107" s="147">
        <f t="shared" si="13"/>
        <v>1</v>
      </c>
      <c r="J107" s="147">
        <f t="shared" si="13"/>
        <v>0.14372222222222222</v>
      </c>
    </row>
    <row r="108" spans="1:10">
      <c r="A108" s="190">
        <v>0.55000000000000004</v>
      </c>
      <c r="B108" s="147">
        <f t="shared" ref="B108:E115" si="14">B96/B$94</f>
        <v>0.4506504762082269</v>
      </c>
      <c r="C108" s="147">
        <f t="shared" si="14"/>
        <v>0</v>
      </c>
      <c r="D108" s="147">
        <f t="shared" si="14"/>
        <v>0.78956546598056032</v>
      </c>
      <c r="E108" s="147">
        <f t="shared" si="14"/>
        <v>0</v>
      </c>
      <c r="F108" s="74">
        <v>0.44</v>
      </c>
      <c r="G108" s="147">
        <f t="shared" si="13"/>
        <v>0</v>
      </c>
      <c r="H108" s="147">
        <f t="shared" si="13"/>
        <v>0.33892969569779641</v>
      </c>
      <c r="I108" s="147">
        <f t="shared" si="13"/>
        <v>0</v>
      </c>
      <c r="J108" s="147">
        <f t="shared" si="13"/>
        <v>0</v>
      </c>
    </row>
    <row r="109" spans="1:10">
      <c r="A109" s="190">
        <v>0.77</v>
      </c>
      <c r="B109" s="147">
        <f t="shared" si="14"/>
        <v>0</v>
      </c>
      <c r="C109" s="147">
        <f t="shared" si="14"/>
        <v>0</v>
      </c>
      <c r="D109" s="147">
        <f t="shared" si="14"/>
        <v>0</v>
      </c>
      <c r="E109" s="147">
        <f t="shared" si="14"/>
        <v>0.5834706781337089</v>
      </c>
      <c r="F109" s="74">
        <v>0.66</v>
      </c>
      <c r="G109" s="147">
        <f t="shared" si="13"/>
        <v>0.84601754385964911</v>
      </c>
      <c r="H109" s="147">
        <f t="shared" si="13"/>
        <v>0</v>
      </c>
      <c r="I109" s="147">
        <f t="shared" si="13"/>
        <v>0</v>
      </c>
      <c r="J109" s="147">
        <f t="shared" si="13"/>
        <v>0.8562777777777778</v>
      </c>
    </row>
    <row r="110" spans="1:10">
      <c r="A110" s="190">
        <v>1</v>
      </c>
      <c r="B110" s="147">
        <f t="shared" si="14"/>
        <v>0</v>
      </c>
      <c r="C110" s="147">
        <f t="shared" si="14"/>
        <v>0</v>
      </c>
      <c r="D110" s="147">
        <f t="shared" si="14"/>
        <v>0</v>
      </c>
      <c r="E110" s="147">
        <f t="shared" si="14"/>
        <v>0</v>
      </c>
      <c r="F110" s="74">
        <v>0.89</v>
      </c>
      <c r="G110" s="147"/>
      <c r="H110" s="147"/>
      <c r="I110" s="147"/>
      <c r="J110" s="147"/>
    </row>
    <row r="111" spans="1:10">
      <c r="A111" s="192">
        <v>0.33</v>
      </c>
      <c r="B111" s="147">
        <f t="shared" si="14"/>
        <v>7.2642722680931167E-3</v>
      </c>
      <c r="C111" s="147">
        <f t="shared" si="14"/>
        <v>5.8823529411764705E-2</v>
      </c>
      <c r="D111" s="147">
        <f t="shared" si="14"/>
        <v>0</v>
      </c>
      <c r="E111" s="147">
        <f t="shared" si="14"/>
        <v>0</v>
      </c>
      <c r="F111" s="74">
        <v>0.24</v>
      </c>
      <c r="G111" s="147"/>
      <c r="H111" s="147"/>
      <c r="I111" s="147"/>
      <c r="J111" s="147"/>
    </row>
    <row r="112" spans="1:10">
      <c r="A112" s="192">
        <v>0.55000000000000004</v>
      </c>
      <c r="B112" s="147">
        <f t="shared" si="14"/>
        <v>0</v>
      </c>
      <c r="C112" s="147">
        <f t="shared" si="14"/>
        <v>0</v>
      </c>
      <c r="D112" s="147">
        <f t="shared" si="14"/>
        <v>5.1457975986277875E-2</v>
      </c>
      <c r="E112" s="147">
        <f t="shared" si="14"/>
        <v>0.4165293218662911</v>
      </c>
      <c r="F112" s="74">
        <v>0.44</v>
      </c>
      <c r="G112" s="147"/>
      <c r="H112" s="147"/>
      <c r="I112" s="147"/>
      <c r="J112" s="147"/>
    </row>
    <row r="113" spans="1:10">
      <c r="A113" s="192">
        <v>0.77</v>
      </c>
      <c r="B113" s="147">
        <f t="shared" si="14"/>
        <v>0</v>
      </c>
      <c r="C113" s="147">
        <f t="shared" si="14"/>
        <v>0</v>
      </c>
      <c r="D113" s="147">
        <f t="shared" si="14"/>
        <v>0</v>
      </c>
      <c r="E113" s="147">
        <f t="shared" si="14"/>
        <v>0</v>
      </c>
      <c r="F113" s="74">
        <v>0.66</v>
      </c>
      <c r="G113" s="147"/>
      <c r="H113" s="147"/>
      <c r="I113" s="147"/>
      <c r="J113" s="147"/>
    </row>
    <row r="114" spans="1:10">
      <c r="A114" s="192">
        <v>1</v>
      </c>
      <c r="B114" s="147">
        <f t="shared" si="14"/>
        <v>0</v>
      </c>
      <c r="C114" s="147">
        <f t="shared" si="14"/>
        <v>0</v>
      </c>
      <c r="D114" s="147">
        <f t="shared" si="14"/>
        <v>0</v>
      </c>
      <c r="E114" s="147">
        <f t="shared" si="14"/>
        <v>0</v>
      </c>
      <c r="F114" s="74">
        <v>0.89</v>
      </c>
      <c r="G114" s="147">
        <f>G98/G$94</f>
        <v>0</v>
      </c>
      <c r="H114" s="147">
        <f>H98/H$94</f>
        <v>0</v>
      </c>
      <c r="I114" s="147">
        <f>I98/I$94</f>
        <v>0</v>
      </c>
      <c r="J114" s="147">
        <f>J98/J$94</f>
        <v>0</v>
      </c>
    </row>
    <row r="115" spans="1:10">
      <c r="A115" s="148">
        <v>0.05</v>
      </c>
      <c r="B115" s="147">
        <f t="shared" si="14"/>
        <v>0</v>
      </c>
      <c r="C115" s="147">
        <f t="shared" si="14"/>
        <v>0</v>
      </c>
      <c r="D115" s="147">
        <f t="shared" si="14"/>
        <v>0</v>
      </c>
      <c r="E115" s="147">
        <f t="shared" si="14"/>
        <v>0</v>
      </c>
      <c r="G115" s="191"/>
      <c r="H115" s="191"/>
      <c r="I115" s="191"/>
      <c r="J115" s="191"/>
    </row>
    <row r="116" spans="1:10">
      <c r="B116" s="149"/>
      <c r="C116" s="149"/>
      <c r="D116" s="149"/>
      <c r="E116" s="149"/>
      <c r="G116" s="149"/>
      <c r="H116" s="149"/>
      <c r="I116" s="149"/>
      <c r="J116" s="149"/>
    </row>
    <row r="117" spans="1:10">
      <c r="A117" s="193" t="s">
        <v>278</v>
      </c>
      <c r="B117" s="193"/>
      <c r="C117" s="193"/>
      <c r="D117" s="193"/>
      <c r="E117" s="193"/>
      <c r="G117" s="145"/>
      <c r="H117" s="145"/>
      <c r="I117" s="145"/>
      <c r="J117" s="145"/>
    </row>
    <row r="118" spans="1:10">
      <c r="A118" s="146"/>
      <c r="B118" s="147">
        <f>$A107*B107</f>
        <v>0.17888813300281439</v>
      </c>
      <c r="C118" s="147">
        <f>$A107*C107</f>
        <v>0.31058823529411766</v>
      </c>
      <c r="D118" s="147">
        <f>$A107*D107</f>
        <v>5.2462264150943405E-2</v>
      </c>
      <c r="E118" s="147">
        <f>$A107*E107</f>
        <v>0</v>
      </c>
      <c r="G118" s="147">
        <f t="shared" ref="G118:J120" si="15">$A107*G107</f>
        <v>5.0814210526315795E-2</v>
      </c>
      <c r="H118" s="147">
        <f t="shared" si="15"/>
        <v>0.21815320041972719</v>
      </c>
      <c r="I118" s="147">
        <f t="shared" si="15"/>
        <v>0.33</v>
      </c>
      <c r="J118" s="147">
        <f t="shared" si="15"/>
        <v>4.7428333333333336E-2</v>
      </c>
    </row>
    <row r="119" spans="1:10">
      <c r="A119" s="146"/>
      <c r="B119" s="147">
        <f t="shared" ref="B119:E126" si="16">$A108*B108</f>
        <v>0.24785776191452483</v>
      </c>
      <c r="C119" s="147">
        <f t="shared" si="16"/>
        <v>0</v>
      </c>
      <c r="D119" s="147">
        <f t="shared" si="16"/>
        <v>0.43426100628930819</v>
      </c>
      <c r="E119" s="147">
        <f t="shared" si="16"/>
        <v>0</v>
      </c>
      <c r="G119" s="147">
        <f t="shared" si="15"/>
        <v>0</v>
      </c>
      <c r="H119" s="147">
        <f t="shared" si="15"/>
        <v>0.18641133263378803</v>
      </c>
      <c r="I119" s="147">
        <f t="shared" si="15"/>
        <v>0</v>
      </c>
      <c r="J119" s="147">
        <f t="shared" si="15"/>
        <v>0</v>
      </c>
    </row>
    <row r="120" spans="1:10">
      <c r="A120" s="146"/>
      <c r="B120" s="147">
        <f t="shared" si="16"/>
        <v>0</v>
      </c>
      <c r="C120" s="147">
        <f t="shared" si="16"/>
        <v>0</v>
      </c>
      <c r="D120" s="147">
        <f t="shared" si="16"/>
        <v>0</v>
      </c>
      <c r="E120" s="147">
        <f t="shared" si="16"/>
        <v>0.44927242216295588</v>
      </c>
      <c r="G120" s="147">
        <f t="shared" si="15"/>
        <v>0.65143350877192985</v>
      </c>
      <c r="H120" s="147">
        <f t="shared" si="15"/>
        <v>0</v>
      </c>
      <c r="I120" s="147">
        <f t="shared" si="15"/>
        <v>0</v>
      </c>
      <c r="J120" s="147">
        <f t="shared" si="15"/>
        <v>0.65933388888888889</v>
      </c>
    </row>
    <row r="121" spans="1:10">
      <c r="A121" s="146"/>
      <c r="B121" s="147">
        <f t="shared" si="16"/>
        <v>0</v>
      </c>
      <c r="C121" s="147">
        <f t="shared" si="16"/>
        <v>0</v>
      </c>
      <c r="D121" s="147">
        <f t="shared" si="16"/>
        <v>0</v>
      </c>
      <c r="E121" s="147">
        <f t="shared" si="16"/>
        <v>0</v>
      </c>
      <c r="G121" s="147"/>
      <c r="H121" s="147"/>
      <c r="I121" s="147"/>
      <c r="J121" s="147"/>
    </row>
    <row r="122" spans="1:10">
      <c r="A122" s="146"/>
      <c r="B122" s="147">
        <f t="shared" si="16"/>
        <v>2.3972098484707285E-3</v>
      </c>
      <c r="C122" s="147">
        <f t="shared" si="16"/>
        <v>1.9411764705882354E-2</v>
      </c>
      <c r="D122" s="147">
        <f t="shared" si="16"/>
        <v>0</v>
      </c>
      <c r="E122" s="147">
        <f t="shared" si="16"/>
        <v>0</v>
      </c>
      <c r="G122" s="147"/>
      <c r="H122" s="147"/>
      <c r="I122" s="147"/>
      <c r="J122" s="147"/>
    </row>
    <row r="123" spans="1:10">
      <c r="A123" s="146"/>
      <c r="B123" s="147">
        <f t="shared" si="16"/>
        <v>0</v>
      </c>
      <c r="C123" s="147">
        <f t="shared" si="16"/>
        <v>0</v>
      </c>
      <c r="D123" s="147">
        <f t="shared" si="16"/>
        <v>2.8301886792452834E-2</v>
      </c>
      <c r="E123" s="147">
        <f t="shared" si="16"/>
        <v>0.22909112702646012</v>
      </c>
      <c r="G123" s="147"/>
      <c r="H123" s="147"/>
      <c r="I123" s="147"/>
      <c r="J123" s="147"/>
    </row>
    <row r="124" spans="1:10">
      <c r="A124" s="146"/>
      <c r="B124" s="147">
        <f t="shared" si="16"/>
        <v>0</v>
      </c>
      <c r="C124" s="147">
        <f t="shared" si="16"/>
        <v>0</v>
      </c>
      <c r="D124" s="147">
        <f t="shared" si="16"/>
        <v>0</v>
      </c>
      <c r="E124" s="147">
        <f t="shared" si="16"/>
        <v>0</v>
      </c>
      <c r="G124" s="147"/>
      <c r="H124" s="147"/>
      <c r="I124" s="147"/>
      <c r="J124" s="147"/>
    </row>
    <row r="125" spans="1:10">
      <c r="A125" s="146"/>
      <c r="B125" s="147">
        <f t="shared" si="16"/>
        <v>0</v>
      </c>
      <c r="C125" s="147">
        <f t="shared" si="16"/>
        <v>0</v>
      </c>
      <c r="D125" s="147">
        <f t="shared" si="16"/>
        <v>0</v>
      </c>
      <c r="E125" s="147">
        <f t="shared" si="16"/>
        <v>0</v>
      </c>
      <c r="G125" s="147">
        <f t="shared" ref="G125:J125" si="17">$A114*G114</f>
        <v>0</v>
      </c>
      <c r="H125" s="147">
        <f t="shared" si="17"/>
        <v>0</v>
      </c>
      <c r="I125" s="147">
        <f t="shared" si="17"/>
        <v>0</v>
      </c>
      <c r="J125" s="147">
        <f t="shared" si="17"/>
        <v>0</v>
      </c>
    </row>
    <row r="126" spans="1:10">
      <c r="A126" s="146"/>
      <c r="B126" s="147">
        <f t="shared" si="16"/>
        <v>0</v>
      </c>
      <c r="C126" s="147">
        <f t="shared" si="16"/>
        <v>0</v>
      </c>
      <c r="D126" s="147">
        <f t="shared" si="16"/>
        <v>0</v>
      </c>
      <c r="E126" s="147">
        <f t="shared" si="16"/>
        <v>0</v>
      </c>
      <c r="G126" s="147"/>
      <c r="H126" s="147"/>
      <c r="I126" s="147"/>
      <c r="J126" s="147"/>
    </row>
    <row r="127" spans="1:10">
      <c r="A127" s="151" t="s">
        <v>279</v>
      </c>
      <c r="B127" s="152">
        <f>SUM(B118:B126)</f>
        <v>0.42914310476580997</v>
      </c>
      <c r="C127" s="152">
        <f t="shared" ref="C127:E127" si="18">SUM(C118:C126)</f>
        <v>0.33</v>
      </c>
      <c r="D127" s="152">
        <f t="shared" si="18"/>
        <v>0.51502515723270448</v>
      </c>
      <c r="E127" s="152">
        <f t="shared" si="18"/>
        <v>0.67836354918941599</v>
      </c>
      <c r="G127" s="152">
        <f t="shared" ref="G127" si="19">SUM(G118:G125)</f>
        <v>0.7022477192982457</v>
      </c>
      <c r="H127" s="152">
        <f>SUM(H118:H125)</f>
        <v>0.40456453305351525</v>
      </c>
      <c r="I127" s="152">
        <f>SUM(I118:I125)</f>
        <v>0.33</v>
      </c>
      <c r="J127" s="152">
        <f>SUM(J118:J125)</f>
        <v>0.70676222222222218</v>
      </c>
    </row>
    <row r="128" spans="1:10">
      <c r="A128" s="150" t="s">
        <v>280</v>
      </c>
      <c r="B128" s="153"/>
      <c r="C128" s="154">
        <f>$B$127/C127</f>
        <v>1.3004336508054848</v>
      </c>
      <c r="D128" s="154">
        <f>$B$127/D127</f>
        <v>0.83324687879646564</v>
      </c>
      <c r="E128" s="154">
        <f>$B$127/E127</f>
        <v>0.6326152183126551</v>
      </c>
      <c r="G128" s="154">
        <f>$B$127/G127</f>
        <v>0.61109932146828694</v>
      </c>
      <c r="H128" s="154">
        <f>$B$127/H127</f>
        <v>1.0607531548225051</v>
      </c>
      <c r="I128" s="154">
        <f>$B$127/I127</f>
        <v>1.3004336508054848</v>
      </c>
      <c r="J128" s="154">
        <f>$B$127/J127</f>
        <v>0.60719587333981406</v>
      </c>
    </row>
    <row r="129" spans="1:10">
      <c r="A129" s="155" t="s">
        <v>281</v>
      </c>
      <c r="B129" s="144">
        <f t="shared" ref="B129" si="20">$B$136*B29</f>
        <v>7919865.4088050313</v>
      </c>
      <c r="C129" s="144">
        <f>$B$136*C29</f>
        <v>1027069.1823899371</v>
      </c>
      <c r="D129" s="144">
        <f>$B$136*D29</f>
        <v>2365257.8616352202</v>
      </c>
      <c r="E129" s="144">
        <f t="shared" ref="E129" si="21">$B$136*E29</f>
        <v>1461886.7924528301</v>
      </c>
      <c r="G129" s="144">
        <f>$B$136*G29</f>
        <v>2293100.6289308174</v>
      </c>
      <c r="H129" s="144">
        <f>$B$136*H29</f>
        <v>243647.79874213834</v>
      </c>
      <c r="I129" s="144">
        <f t="shared" ref="I129" si="22">$B$136*I29</f>
        <v>1218238.9937106918</v>
      </c>
      <c r="J129" s="144">
        <f>$B$136*J29</f>
        <v>599748.42767295591</v>
      </c>
    </row>
    <row r="130" spans="1:10">
      <c r="A130" s="150" t="s">
        <v>282</v>
      </c>
      <c r="B130" s="156"/>
      <c r="C130" s="157">
        <f>1-C129/C35</f>
        <v>0.42940600978336829</v>
      </c>
      <c r="D130" s="157">
        <f>1-D129/D35</f>
        <v>0.67149196366177499</v>
      </c>
      <c r="E130" s="157">
        <f>1-E129/E35</f>
        <v>0.40331151328455916</v>
      </c>
      <c r="G130" s="157">
        <f>1-G129/G35</f>
        <v>0.60463782259813492</v>
      </c>
      <c r="H130" s="157">
        <f>1-H129/H35</f>
        <v>0.8125786163522013</v>
      </c>
      <c r="I130" s="157">
        <f>1-I129/I35</f>
        <v>0.56491464510332434</v>
      </c>
      <c r="J130" s="157">
        <f>1-J129/J35</f>
        <v>0.600167714884696</v>
      </c>
    </row>
    <row r="131" spans="1:10">
      <c r="A131" s="158" t="s">
        <v>283</v>
      </c>
      <c r="B131" s="159"/>
      <c r="C131" s="160">
        <f>1-(1-C128)*C130</f>
        <v>1.129008015197033</v>
      </c>
      <c r="D131" s="160">
        <f>1-(1-D128)*D130</f>
        <v>0.88802661919630876</v>
      </c>
      <c r="E131" s="160">
        <f>1-(1-E128)*E130</f>
        <v>0.85182948773995948</v>
      </c>
      <c r="G131" s="160">
        <f>1-(1-G128)*G130</f>
        <v>0.76485594052564776</v>
      </c>
      <c r="H131" s="160">
        <f>1-(1-H128)*H130</f>
        <v>1.0493667144847023</v>
      </c>
      <c r="I131" s="160">
        <f>1-(1-I128)*I130</f>
        <v>1.1697193692218766</v>
      </c>
      <c r="J131" s="160">
        <f>1-(1-J128)*J130</f>
        <v>0.76425164490507758</v>
      </c>
    </row>
    <row r="133" spans="1:10">
      <c r="C133" s="161"/>
      <c r="D133" s="161"/>
      <c r="E133" s="161"/>
      <c r="G133" s="161"/>
      <c r="H133" s="161"/>
      <c r="I133" s="161"/>
      <c r="J133" s="161"/>
    </row>
    <row r="135" spans="1:10">
      <c r="A135" s="162" t="s">
        <v>284</v>
      </c>
      <c r="B135" s="147">
        <f>B29/B14</f>
        <v>1.9689952099603003</v>
      </c>
      <c r="C135" s="147">
        <f>C29/C14</f>
        <v>2.9304812834224601</v>
      </c>
      <c r="D135" s="147">
        <f>D29/D14</f>
        <v>1.8038879359634077</v>
      </c>
      <c r="E135" s="147">
        <f>E29/E14</f>
        <v>2.337358784573432</v>
      </c>
      <c r="G135" s="147">
        <f>G29/G14</f>
        <v>2.1464912280701758</v>
      </c>
      <c r="H135" s="147">
        <f>H29/H14</f>
        <v>0.6820566631689402</v>
      </c>
      <c r="I135" s="147">
        <f>I29/I14</f>
        <v>1.911764705882353</v>
      </c>
      <c r="J135" s="147">
        <f>J29/J14</f>
        <v>1.7777777777777777</v>
      </c>
    </row>
    <row r="136" spans="1:10" ht="18">
      <c r="A136" s="163" t="s">
        <v>285</v>
      </c>
      <c r="B136" s="164">
        <v>187.42138364779873</v>
      </c>
      <c r="C136" s="147">
        <f>$B$135-C135</f>
        <v>-0.96148607346215975</v>
      </c>
      <c r="D136" s="147">
        <f>$B$135-D135</f>
        <v>0.16510727399689262</v>
      </c>
      <c r="E136" s="147">
        <f>$B$135-E135</f>
        <v>-0.36836357461313174</v>
      </c>
      <c r="G136" s="147">
        <f>$B$135-G135</f>
        <v>-0.17749601810987548</v>
      </c>
      <c r="H136" s="147">
        <f>$B$135-H135</f>
        <v>1.2869385467913601</v>
      </c>
      <c r="I136" s="147">
        <f>$B$135-I135</f>
        <v>5.7230504077947275E-2</v>
      </c>
      <c r="J136" s="147">
        <f>$B$135-J135</f>
        <v>0.19121743218252263</v>
      </c>
    </row>
    <row r="137" spans="1:10">
      <c r="A137" s="146"/>
      <c r="B137" s="146"/>
      <c r="C137" s="147">
        <f>$B$136*C136</f>
        <v>-180.20305024636704</v>
      </c>
      <c r="D137" s="147">
        <f>$B$136*D136</f>
        <v>30.944633742813835</v>
      </c>
      <c r="E137" s="147">
        <f>$B$136*E136</f>
        <v>-69.039210839442305</v>
      </c>
      <c r="G137" s="147">
        <f>$B$136*G136</f>
        <v>-33.266549306127601</v>
      </c>
      <c r="H137" s="147">
        <f>$B$136*H136</f>
        <v>241.19980310932408</v>
      </c>
      <c r="I137" s="147">
        <f>$B$136*I136</f>
        <v>10.726220261149866</v>
      </c>
      <c r="J137" s="147">
        <f>$B$136*J136</f>
        <v>35.838235717227512</v>
      </c>
    </row>
    <row r="138" spans="1:10">
      <c r="A138" s="146"/>
      <c r="B138" s="146"/>
      <c r="C138" s="144">
        <f>C137*долл</f>
        <v>-15758.756744044798</v>
      </c>
      <c r="D138" s="144">
        <f>D137*долл</f>
        <v>2706.1082208090697</v>
      </c>
      <c r="E138" s="144">
        <f>E137*долл</f>
        <v>-6037.4789879092295</v>
      </c>
      <c r="G138" s="144">
        <f>G137*долл</f>
        <v>-2909.1597368208586</v>
      </c>
      <c r="H138" s="144">
        <f>H137*долл</f>
        <v>21092.922781910391</v>
      </c>
      <c r="I138" s="144">
        <f>I137*долл</f>
        <v>938.00796183755574</v>
      </c>
      <c r="J138" s="144">
        <f>J137*долл</f>
        <v>3134.053713471546</v>
      </c>
    </row>
    <row r="139" spans="1:10">
      <c r="A139" s="146"/>
      <c r="B139" s="146"/>
      <c r="C139" s="156">
        <f>1+C138/C69</f>
        <v>0.84310502268534693</v>
      </c>
      <c r="D139" s="156">
        <f>1+D138/D69</f>
        <v>1.037308387232097</v>
      </c>
      <c r="E139" s="156">
        <f>1+E138/E69</f>
        <v>0.91878211958420031</v>
      </c>
      <c r="G139" s="156">
        <f>1+G138/G69</f>
        <v>0.94400416114669239</v>
      </c>
      <c r="H139" s="156">
        <f>1+H138/H69</f>
        <v>1.4316640845856998</v>
      </c>
      <c r="I139" s="156">
        <f>1+I138/I69</f>
        <v>1.0149001489383758</v>
      </c>
      <c r="J139" s="156">
        <f>1+J138/J69</f>
        <v>1.071337663815209</v>
      </c>
    </row>
    <row r="140" spans="1:10">
      <c r="A140" s="158"/>
      <c r="B140" s="159"/>
      <c r="C140" s="160"/>
      <c r="D140" s="160"/>
      <c r="E140" s="160"/>
      <c r="G140" s="160"/>
      <c r="H140" s="160"/>
      <c r="I140" s="160"/>
      <c r="J140" s="160"/>
    </row>
    <row r="141" spans="1:10">
      <c r="A141" s="155" t="s">
        <v>286</v>
      </c>
      <c r="B141" s="146">
        <v>0.02</v>
      </c>
      <c r="C141" s="165">
        <f>C138/C69</f>
        <v>-0.15689497731465313</v>
      </c>
      <c r="D141" s="165">
        <f>D138/D69</f>
        <v>3.7308387232096896E-2</v>
      </c>
      <c r="E141" s="165">
        <f>E138/E69</f>
        <v>-8.1217880415799637E-2</v>
      </c>
      <c r="G141" s="165">
        <f>G138/G69</f>
        <v>-5.5995838853307632E-2</v>
      </c>
      <c r="H141" s="165">
        <f>H138/H69</f>
        <v>0.43166408458569971</v>
      </c>
      <c r="I141" s="165">
        <f>I138/I69</f>
        <v>1.4900148938375744E-2</v>
      </c>
      <c r="J141" s="165">
        <f>J138/J69</f>
        <v>7.1337663815209049E-2</v>
      </c>
    </row>
    <row r="142" spans="1:10" ht="20.25">
      <c r="A142" s="146"/>
      <c r="B142" s="166">
        <v>0.58999821210405556</v>
      </c>
      <c r="C142" s="167">
        <f>MROUND((1+C141)^$B$142,$B$141)</f>
        <v>0.9</v>
      </c>
      <c r="D142" s="167">
        <f>MROUND((1+D141)^$B$142,$B$141)</f>
        <v>1.02</v>
      </c>
      <c r="E142" s="167">
        <f>MROUND((1+E141)^$B$142,$B$141)</f>
        <v>0.96</v>
      </c>
      <c r="G142" s="167">
        <f>MROUND((1+G141)^$B$142,$B$141)</f>
        <v>0.96</v>
      </c>
      <c r="H142" s="167">
        <f>MROUND((1+H141)^$B$142,$B$141)</f>
        <v>1.24</v>
      </c>
      <c r="I142" s="167">
        <f>MROUND((1+I141)^$B$142,$B$141)</f>
        <v>1</v>
      </c>
      <c r="J142" s="167">
        <f>MROUND((1+J141)^$B$142,$B$141)</f>
        <v>1.04</v>
      </c>
    </row>
    <row r="143" spans="1:10" ht="15.75">
      <c r="A143" s="168" t="s">
        <v>287</v>
      </c>
      <c r="B143" s="74" t="s">
        <v>288</v>
      </c>
    </row>
    <row r="144" spans="1:10" ht="15.75">
      <c r="A144" s="168" t="s">
        <v>289</v>
      </c>
      <c r="B144" s="169" t="s">
        <v>290</v>
      </c>
      <c r="C144" s="170"/>
      <c r="D144" s="161"/>
      <c r="E144" s="170"/>
      <c r="G144" s="170"/>
      <c r="H144" s="161"/>
      <c r="I144" s="170"/>
      <c r="J144" s="161"/>
    </row>
    <row r="145" spans="1:10" ht="15.75">
      <c r="A145" s="168" t="s">
        <v>291</v>
      </c>
      <c r="B145" s="169" t="s">
        <v>292</v>
      </c>
      <c r="C145" s="169"/>
      <c r="E145" s="169"/>
      <c r="G145" s="169"/>
      <c r="I145" s="169"/>
    </row>
    <row r="146" spans="1:10" ht="15.75">
      <c r="A146" s="168" t="s">
        <v>293</v>
      </c>
      <c r="B146" s="169" t="s">
        <v>294</v>
      </c>
      <c r="C146" s="169"/>
      <c r="E146" s="169"/>
      <c r="G146" s="169"/>
      <c r="I146" s="169"/>
    </row>
    <row r="147" spans="1:10" ht="15.75">
      <c r="A147" s="168" t="s">
        <v>295</v>
      </c>
      <c r="B147" s="74" t="s">
        <v>296</v>
      </c>
    </row>
    <row r="150" spans="1:10">
      <c r="C150" s="161"/>
      <c r="D150" s="161"/>
      <c r="E150" s="161"/>
      <c r="G150" s="161"/>
      <c r="H150" s="161"/>
      <c r="I150" s="161"/>
      <c r="J150" s="161"/>
    </row>
  </sheetData>
  <hyperlinks>
    <hyperlink ref="J3" r:id="rId1" xr:uid="{23A0BE0A-A29A-4456-9608-0D39DC67E9DB}"/>
    <hyperlink ref="J4" r:id="rId2" xr:uid="{AA1B4546-01A5-40D5-972F-6A4164089097}"/>
    <hyperlink ref="J2" r:id="rId3" xr:uid="{549EEC8B-9DED-41E3-8FED-03ABCCA39098}"/>
    <hyperlink ref="J6" r:id="rId4" xr:uid="{405D16CC-B4F5-4725-8B45-D2CE92C569C6}"/>
    <hyperlink ref="H6" r:id="rId5" xr:uid="{CB293F7F-0B08-4398-9450-6FA98A911630}"/>
    <hyperlink ref="C6" r:id="rId6" xr:uid="{A5FE573A-CDE8-4558-A71C-EB3341D14048}"/>
    <hyperlink ref="I6" r:id="rId7" xr:uid="{10FA1636-7C49-47F3-BC2C-2AEAC298AC10}"/>
    <hyperlink ref="G6" r:id="rId8" xr:uid="{DBC3450C-2326-48B3-AEA5-83E9C70511D7}"/>
    <hyperlink ref="D6" r:id="rId9" xr:uid="{F5457790-D8C1-4F32-B545-317A552C8BFC}"/>
    <hyperlink ref="I3" r:id="rId10" xr:uid="{B3FEEE7A-6E16-48DD-84BF-6EF1141BD432}"/>
    <hyperlink ref="E6" r:id="rId11" xr:uid="{CCCC6F5E-1163-481F-82AD-BCE9540FF291}"/>
  </hyperlinks>
  <pageMargins left="0.7" right="0.7" top="0.75" bottom="0.75" header="0.3" footer="0.3"/>
  <pageSetup paperSize="9" orientation="portrait" verticalDpi="0" r:id="rId12"/>
  <legacyDrawing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4656-8A2B-4573-A367-4E3A5ADED2B7}">
  <sheetPr>
    <tabColor theme="4" tint="0.39997558519241921"/>
  </sheetPr>
  <dimension ref="A1:Q150"/>
  <sheetViews>
    <sheetView topLeftCell="A7" zoomScale="85" zoomScaleNormal="85" workbookViewId="0">
      <selection activeCell="D25" sqref="D25"/>
    </sheetView>
  </sheetViews>
  <sheetFormatPr defaultRowHeight="12.75" outlineLevelRow="1"/>
  <cols>
    <col min="1" max="1" width="48.625" style="74" customWidth="1"/>
    <col min="2" max="4" width="36.375" style="74" customWidth="1"/>
    <col min="5" max="5" width="36.125" style="74" customWidth="1"/>
    <col min="6" max="6" width="24.875" style="74" customWidth="1"/>
    <col min="7" max="7" width="36.125" style="74" customWidth="1"/>
    <col min="8" max="8" width="36.375" style="74" customWidth="1"/>
    <col min="9" max="9" width="36.125" style="74" customWidth="1"/>
    <col min="10" max="10" width="36.375" style="74" customWidth="1"/>
    <col min="11" max="243" width="9" style="74"/>
    <col min="244" max="244" width="44" style="74" customWidth="1"/>
    <col min="245" max="245" width="24" style="74" customWidth="1"/>
    <col min="246" max="246" width="26.25" style="74" customWidth="1"/>
    <col min="247" max="247" width="25.375" style="74" customWidth="1"/>
    <col min="248" max="250" width="26" style="74" customWidth="1"/>
    <col min="251" max="251" width="9" style="74"/>
    <col min="252" max="253" width="26" style="74" customWidth="1"/>
    <col min="254" max="499" width="9" style="74"/>
    <col min="500" max="500" width="44" style="74" customWidth="1"/>
    <col min="501" max="501" width="24" style="74" customWidth="1"/>
    <col min="502" max="502" width="26.25" style="74" customWidth="1"/>
    <col min="503" max="503" width="25.375" style="74" customWidth="1"/>
    <col min="504" max="506" width="26" style="74" customWidth="1"/>
    <col min="507" max="507" width="9" style="74"/>
    <col min="508" max="509" width="26" style="74" customWidth="1"/>
    <col min="510" max="755" width="9" style="74"/>
    <col min="756" max="756" width="44" style="74" customWidth="1"/>
    <col min="757" max="757" width="24" style="74" customWidth="1"/>
    <col min="758" max="758" width="26.25" style="74" customWidth="1"/>
    <col min="759" max="759" width="25.375" style="74" customWidth="1"/>
    <col min="760" max="762" width="26" style="74" customWidth="1"/>
    <col min="763" max="763" width="9" style="74"/>
    <col min="764" max="765" width="26" style="74" customWidth="1"/>
    <col min="766" max="1011" width="9" style="74"/>
    <col min="1012" max="1012" width="44" style="74" customWidth="1"/>
    <col min="1013" max="1013" width="24" style="74" customWidth="1"/>
    <col min="1014" max="1014" width="26.25" style="74" customWidth="1"/>
    <col min="1015" max="1015" width="25.375" style="74" customWidth="1"/>
    <col min="1016" max="1018" width="26" style="74" customWidth="1"/>
    <col min="1019" max="1019" width="9" style="74"/>
    <col min="1020" max="1021" width="26" style="74" customWidth="1"/>
    <col min="1022" max="1267" width="9" style="74"/>
    <col min="1268" max="1268" width="44" style="74" customWidth="1"/>
    <col min="1269" max="1269" width="24" style="74" customWidth="1"/>
    <col min="1270" max="1270" width="26.25" style="74" customWidth="1"/>
    <col min="1271" max="1271" width="25.375" style="74" customWidth="1"/>
    <col min="1272" max="1274" width="26" style="74" customWidth="1"/>
    <col min="1275" max="1275" width="9" style="74"/>
    <col min="1276" max="1277" width="26" style="74" customWidth="1"/>
    <col min="1278" max="1523" width="9" style="74"/>
    <col min="1524" max="1524" width="44" style="74" customWidth="1"/>
    <col min="1525" max="1525" width="24" style="74" customWidth="1"/>
    <col min="1526" max="1526" width="26.25" style="74" customWidth="1"/>
    <col min="1527" max="1527" width="25.375" style="74" customWidth="1"/>
    <col min="1528" max="1530" width="26" style="74" customWidth="1"/>
    <col min="1531" max="1531" width="9" style="74"/>
    <col min="1532" max="1533" width="26" style="74" customWidth="1"/>
    <col min="1534" max="1779" width="9" style="74"/>
    <col min="1780" max="1780" width="44" style="74" customWidth="1"/>
    <col min="1781" max="1781" width="24" style="74" customWidth="1"/>
    <col min="1782" max="1782" width="26.25" style="74" customWidth="1"/>
    <col min="1783" max="1783" width="25.375" style="74" customWidth="1"/>
    <col min="1784" max="1786" width="26" style="74" customWidth="1"/>
    <col min="1787" max="1787" width="9" style="74"/>
    <col min="1788" max="1789" width="26" style="74" customWidth="1"/>
    <col min="1790" max="2035" width="9" style="74"/>
    <col min="2036" max="2036" width="44" style="74" customWidth="1"/>
    <col min="2037" max="2037" width="24" style="74" customWidth="1"/>
    <col min="2038" max="2038" width="26.25" style="74" customWidth="1"/>
    <col min="2039" max="2039" width="25.375" style="74" customWidth="1"/>
    <col min="2040" max="2042" width="26" style="74" customWidth="1"/>
    <col min="2043" max="2043" width="9" style="74"/>
    <col min="2044" max="2045" width="26" style="74" customWidth="1"/>
    <col min="2046" max="2291" width="9" style="74"/>
    <col min="2292" max="2292" width="44" style="74" customWidth="1"/>
    <col min="2293" max="2293" width="24" style="74" customWidth="1"/>
    <col min="2294" max="2294" width="26.25" style="74" customWidth="1"/>
    <col min="2295" max="2295" width="25.375" style="74" customWidth="1"/>
    <col min="2296" max="2298" width="26" style="74" customWidth="1"/>
    <col min="2299" max="2299" width="9" style="74"/>
    <col min="2300" max="2301" width="26" style="74" customWidth="1"/>
    <col min="2302" max="2547" width="9" style="74"/>
    <col min="2548" max="2548" width="44" style="74" customWidth="1"/>
    <col min="2549" max="2549" width="24" style="74" customWidth="1"/>
    <col min="2550" max="2550" width="26.25" style="74" customWidth="1"/>
    <col min="2551" max="2551" width="25.375" style="74" customWidth="1"/>
    <col min="2552" max="2554" width="26" style="74" customWidth="1"/>
    <col min="2555" max="2555" width="9" style="74"/>
    <col min="2556" max="2557" width="26" style="74" customWidth="1"/>
    <col min="2558" max="2803" width="9" style="74"/>
    <col min="2804" max="2804" width="44" style="74" customWidth="1"/>
    <col min="2805" max="2805" width="24" style="74" customWidth="1"/>
    <col min="2806" max="2806" width="26.25" style="74" customWidth="1"/>
    <col min="2807" max="2807" width="25.375" style="74" customWidth="1"/>
    <col min="2808" max="2810" width="26" style="74" customWidth="1"/>
    <col min="2811" max="2811" width="9" style="74"/>
    <col min="2812" max="2813" width="26" style="74" customWidth="1"/>
    <col min="2814" max="3059" width="9" style="74"/>
    <col min="3060" max="3060" width="44" style="74" customWidth="1"/>
    <col min="3061" max="3061" width="24" style="74" customWidth="1"/>
    <col min="3062" max="3062" width="26.25" style="74" customWidth="1"/>
    <col min="3063" max="3063" width="25.375" style="74" customWidth="1"/>
    <col min="3064" max="3066" width="26" style="74" customWidth="1"/>
    <col min="3067" max="3067" width="9" style="74"/>
    <col min="3068" max="3069" width="26" style="74" customWidth="1"/>
    <col min="3070" max="3315" width="9" style="74"/>
    <col min="3316" max="3316" width="44" style="74" customWidth="1"/>
    <col min="3317" max="3317" width="24" style="74" customWidth="1"/>
    <col min="3318" max="3318" width="26.25" style="74" customWidth="1"/>
    <col min="3319" max="3319" width="25.375" style="74" customWidth="1"/>
    <col min="3320" max="3322" width="26" style="74" customWidth="1"/>
    <col min="3323" max="3323" width="9" style="74"/>
    <col min="3324" max="3325" width="26" style="74" customWidth="1"/>
    <col min="3326" max="3571" width="9" style="74"/>
    <col min="3572" max="3572" width="44" style="74" customWidth="1"/>
    <col min="3573" max="3573" width="24" style="74" customWidth="1"/>
    <col min="3574" max="3574" width="26.25" style="74" customWidth="1"/>
    <col min="3575" max="3575" width="25.375" style="74" customWidth="1"/>
    <col min="3576" max="3578" width="26" style="74" customWidth="1"/>
    <col min="3579" max="3579" width="9" style="74"/>
    <col min="3580" max="3581" width="26" style="74" customWidth="1"/>
    <col min="3582" max="3827" width="9" style="74"/>
    <col min="3828" max="3828" width="44" style="74" customWidth="1"/>
    <col min="3829" max="3829" width="24" style="74" customWidth="1"/>
    <col min="3830" max="3830" width="26.25" style="74" customWidth="1"/>
    <col min="3831" max="3831" width="25.375" style="74" customWidth="1"/>
    <col min="3832" max="3834" width="26" style="74" customWidth="1"/>
    <col min="3835" max="3835" width="9" style="74"/>
    <col min="3836" max="3837" width="26" style="74" customWidth="1"/>
    <col min="3838" max="4083" width="9" style="74"/>
    <col min="4084" max="4084" width="44" style="74" customWidth="1"/>
    <col min="4085" max="4085" width="24" style="74" customWidth="1"/>
    <col min="4086" max="4086" width="26.25" style="74" customWidth="1"/>
    <col min="4087" max="4087" width="25.375" style="74" customWidth="1"/>
    <col min="4088" max="4090" width="26" style="74" customWidth="1"/>
    <col min="4091" max="4091" width="9" style="74"/>
    <col min="4092" max="4093" width="26" style="74" customWidth="1"/>
    <col min="4094" max="4339" width="9" style="74"/>
    <col min="4340" max="4340" width="44" style="74" customWidth="1"/>
    <col min="4341" max="4341" width="24" style="74" customWidth="1"/>
    <col min="4342" max="4342" width="26.25" style="74" customWidth="1"/>
    <col min="4343" max="4343" width="25.375" style="74" customWidth="1"/>
    <col min="4344" max="4346" width="26" style="74" customWidth="1"/>
    <col min="4347" max="4347" width="9" style="74"/>
    <col min="4348" max="4349" width="26" style="74" customWidth="1"/>
    <col min="4350" max="4595" width="9" style="74"/>
    <col min="4596" max="4596" width="44" style="74" customWidth="1"/>
    <col min="4597" max="4597" width="24" style="74" customWidth="1"/>
    <col min="4598" max="4598" width="26.25" style="74" customWidth="1"/>
    <col min="4599" max="4599" width="25.375" style="74" customWidth="1"/>
    <col min="4600" max="4602" width="26" style="74" customWidth="1"/>
    <col min="4603" max="4603" width="9" style="74"/>
    <col min="4604" max="4605" width="26" style="74" customWidth="1"/>
    <col min="4606" max="4851" width="9" style="74"/>
    <col min="4852" max="4852" width="44" style="74" customWidth="1"/>
    <col min="4853" max="4853" width="24" style="74" customWidth="1"/>
    <col min="4854" max="4854" width="26.25" style="74" customWidth="1"/>
    <col min="4855" max="4855" width="25.375" style="74" customWidth="1"/>
    <col min="4856" max="4858" width="26" style="74" customWidth="1"/>
    <col min="4859" max="4859" width="9" style="74"/>
    <col min="4860" max="4861" width="26" style="74" customWidth="1"/>
    <col min="4862" max="5107" width="9" style="74"/>
    <col min="5108" max="5108" width="44" style="74" customWidth="1"/>
    <col min="5109" max="5109" width="24" style="74" customWidth="1"/>
    <col min="5110" max="5110" width="26.25" style="74" customWidth="1"/>
    <col min="5111" max="5111" width="25.375" style="74" customWidth="1"/>
    <col min="5112" max="5114" width="26" style="74" customWidth="1"/>
    <col min="5115" max="5115" width="9" style="74"/>
    <col min="5116" max="5117" width="26" style="74" customWidth="1"/>
    <col min="5118" max="5363" width="9" style="74"/>
    <col min="5364" max="5364" width="44" style="74" customWidth="1"/>
    <col min="5365" max="5365" width="24" style="74" customWidth="1"/>
    <col min="5366" max="5366" width="26.25" style="74" customWidth="1"/>
    <col min="5367" max="5367" width="25.375" style="74" customWidth="1"/>
    <col min="5368" max="5370" width="26" style="74" customWidth="1"/>
    <col min="5371" max="5371" width="9" style="74"/>
    <col min="5372" max="5373" width="26" style="74" customWidth="1"/>
    <col min="5374" max="5619" width="9" style="74"/>
    <col min="5620" max="5620" width="44" style="74" customWidth="1"/>
    <col min="5621" max="5621" width="24" style="74" customWidth="1"/>
    <col min="5622" max="5622" width="26.25" style="74" customWidth="1"/>
    <col min="5623" max="5623" width="25.375" style="74" customWidth="1"/>
    <col min="5624" max="5626" width="26" style="74" customWidth="1"/>
    <col min="5627" max="5627" width="9" style="74"/>
    <col min="5628" max="5629" width="26" style="74" customWidth="1"/>
    <col min="5630" max="5875" width="9" style="74"/>
    <col min="5876" max="5876" width="44" style="74" customWidth="1"/>
    <col min="5877" max="5877" width="24" style="74" customWidth="1"/>
    <col min="5878" max="5878" width="26.25" style="74" customWidth="1"/>
    <col min="5879" max="5879" width="25.375" style="74" customWidth="1"/>
    <col min="5880" max="5882" width="26" style="74" customWidth="1"/>
    <col min="5883" max="5883" width="9" style="74"/>
    <col min="5884" max="5885" width="26" style="74" customWidth="1"/>
    <col min="5886" max="6131" width="9" style="74"/>
    <col min="6132" max="6132" width="44" style="74" customWidth="1"/>
    <col min="6133" max="6133" width="24" style="74" customWidth="1"/>
    <col min="6134" max="6134" width="26.25" style="74" customWidth="1"/>
    <col min="6135" max="6135" width="25.375" style="74" customWidth="1"/>
    <col min="6136" max="6138" width="26" style="74" customWidth="1"/>
    <col min="6139" max="6139" width="9" style="74"/>
    <col min="6140" max="6141" width="26" style="74" customWidth="1"/>
    <col min="6142" max="6387" width="9" style="74"/>
    <col min="6388" max="6388" width="44" style="74" customWidth="1"/>
    <col min="6389" max="6389" width="24" style="74" customWidth="1"/>
    <col min="6390" max="6390" width="26.25" style="74" customWidth="1"/>
    <col min="6391" max="6391" width="25.375" style="74" customWidth="1"/>
    <col min="6392" max="6394" width="26" style="74" customWidth="1"/>
    <col min="6395" max="6395" width="9" style="74"/>
    <col min="6396" max="6397" width="26" style="74" customWidth="1"/>
    <col min="6398" max="6643" width="9" style="74"/>
    <col min="6644" max="6644" width="44" style="74" customWidth="1"/>
    <col min="6645" max="6645" width="24" style="74" customWidth="1"/>
    <col min="6646" max="6646" width="26.25" style="74" customWidth="1"/>
    <col min="6647" max="6647" width="25.375" style="74" customWidth="1"/>
    <col min="6648" max="6650" width="26" style="74" customWidth="1"/>
    <col min="6651" max="6651" width="9" style="74"/>
    <col min="6652" max="6653" width="26" style="74" customWidth="1"/>
    <col min="6654" max="6899" width="9" style="74"/>
    <col min="6900" max="6900" width="44" style="74" customWidth="1"/>
    <col min="6901" max="6901" width="24" style="74" customWidth="1"/>
    <col min="6902" max="6902" width="26.25" style="74" customWidth="1"/>
    <col min="6903" max="6903" width="25.375" style="74" customWidth="1"/>
    <col min="6904" max="6906" width="26" style="74" customWidth="1"/>
    <col min="6907" max="6907" width="9" style="74"/>
    <col min="6908" max="6909" width="26" style="74" customWidth="1"/>
    <col min="6910" max="7155" width="9" style="74"/>
    <col min="7156" max="7156" width="44" style="74" customWidth="1"/>
    <col min="7157" max="7157" width="24" style="74" customWidth="1"/>
    <col min="7158" max="7158" width="26.25" style="74" customWidth="1"/>
    <col min="7159" max="7159" width="25.375" style="74" customWidth="1"/>
    <col min="7160" max="7162" width="26" style="74" customWidth="1"/>
    <col min="7163" max="7163" width="9" style="74"/>
    <col min="7164" max="7165" width="26" style="74" customWidth="1"/>
    <col min="7166" max="7411" width="9" style="74"/>
    <col min="7412" max="7412" width="44" style="74" customWidth="1"/>
    <col min="7413" max="7413" width="24" style="74" customWidth="1"/>
    <col min="7414" max="7414" width="26.25" style="74" customWidth="1"/>
    <col min="7415" max="7415" width="25.375" style="74" customWidth="1"/>
    <col min="7416" max="7418" width="26" style="74" customWidth="1"/>
    <col min="7419" max="7419" width="9" style="74"/>
    <col min="7420" max="7421" width="26" style="74" customWidth="1"/>
    <col min="7422" max="7667" width="9" style="74"/>
    <col min="7668" max="7668" width="44" style="74" customWidth="1"/>
    <col min="7669" max="7669" width="24" style="74" customWidth="1"/>
    <col min="7670" max="7670" width="26.25" style="74" customWidth="1"/>
    <col min="7671" max="7671" width="25.375" style="74" customWidth="1"/>
    <col min="7672" max="7674" width="26" style="74" customWidth="1"/>
    <col min="7675" max="7675" width="9" style="74"/>
    <col min="7676" max="7677" width="26" style="74" customWidth="1"/>
    <col min="7678" max="7923" width="9" style="74"/>
    <col min="7924" max="7924" width="44" style="74" customWidth="1"/>
    <col min="7925" max="7925" width="24" style="74" customWidth="1"/>
    <col min="7926" max="7926" width="26.25" style="74" customWidth="1"/>
    <col min="7927" max="7927" width="25.375" style="74" customWidth="1"/>
    <col min="7928" max="7930" width="26" style="74" customWidth="1"/>
    <col min="7931" max="7931" width="9" style="74"/>
    <col min="7932" max="7933" width="26" style="74" customWidth="1"/>
    <col min="7934" max="8179" width="9" style="74"/>
    <col min="8180" max="8180" width="44" style="74" customWidth="1"/>
    <col min="8181" max="8181" width="24" style="74" customWidth="1"/>
    <col min="8182" max="8182" width="26.25" style="74" customWidth="1"/>
    <col min="8183" max="8183" width="25.375" style="74" customWidth="1"/>
    <col min="8184" max="8186" width="26" style="74" customWidth="1"/>
    <col min="8187" max="8187" width="9" style="74"/>
    <col min="8188" max="8189" width="26" style="74" customWidth="1"/>
    <col min="8190" max="8435" width="9" style="74"/>
    <col min="8436" max="8436" width="44" style="74" customWidth="1"/>
    <col min="8437" max="8437" width="24" style="74" customWidth="1"/>
    <col min="8438" max="8438" width="26.25" style="74" customWidth="1"/>
    <col min="8439" max="8439" width="25.375" style="74" customWidth="1"/>
    <col min="8440" max="8442" width="26" style="74" customWidth="1"/>
    <col min="8443" max="8443" width="9" style="74"/>
    <col min="8444" max="8445" width="26" style="74" customWidth="1"/>
    <col min="8446" max="8691" width="9" style="74"/>
    <col min="8692" max="8692" width="44" style="74" customWidth="1"/>
    <col min="8693" max="8693" width="24" style="74" customWidth="1"/>
    <col min="8694" max="8694" width="26.25" style="74" customWidth="1"/>
    <col min="8695" max="8695" width="25.375" style="74" customWidth="1"/>
    <col min="8696" max="8698" width="26" style="74" customWidth="1"/>
    <col min="8699" max="8699" width="9" style="74"/>
    <col min="8700" max="8701" width="26" style="74" customWidth="1"/>
    <col min="8702" max="8947" width="9" style="74"/>
    <col min="8948" max="8948" width="44" style="74" customWidth="1"/>
    <col min="8949" max="8949" width="24" style="74" customWidth="1"/>
    <col min="8950" max="8950" width="26.25" style="74" customWidth="1"/>
    <col min="8951" max="8951" width="25.375" style="74" customWidth="1"/>
    <col min="8952" max="8954" width="26" style="74" customWidth="1"/>
    <col min="8955" max="8955" width="9" style="74"/>
    <col min="8956" max="8957" width="26" style="74" customWidth="1"/>
    <col min="8958" max="9203" width="9" style="74"/>
    <col min="9204" max="9204" width="44" style="74" customWidth="1"/>
    <col min="9205" max="9205" width="24" style="74" customWidth="1"/>
    <col min="9206" max="9206" width="26.25" style="74" customWidth="1"/>
    <col min="9207" max="9207" width="25.375" style="74" customWidth="1"/>
    <col min="9208" max="9210" width="26" style="74" customWidth="1"/>
    <col min="9211" max="9211" width="9" style="74"/>
    <col min="9212" max="9213" width="26" style="74" customWidth="1"/>
    <col min="9214" max="9459" width="9" style="74"/>
    <col min="9460" max="9460" width="44" style="74" customWidth="1"/>
    <col min="9461" max="9461" width="24" style="74" customWidth="1"/>
    <col min="9462" max="9462" width="26.25" style="74" customWidth="1"/>
    <col min="9463" max="9463" width="25.375" style="74" customWidth="1"/>
    <col min="9464" max="9466" width="26" style="74" customWidth="1"/>
    <col min="9467" max="9467" width="9" style="74"/>
    <col min="9468" max="9469" width="26" style="74" customWidth="1"/>
    <col min="9470" max="9715" width="9" style="74"/>
    <col min="9716" max="9716" width="44" style="74" customWidth="1"/>
    <col min="9717" max="9717" width="24" style="74" customWidth="1"/>
    <col min="9718" max="9718" width="26.25" style="74" customWidth="1"/>
    <col min="9719" max="9719" width="25.375" style="74" customWidth="1"/>
    <col min="9720" max="9722" width="26" style="74" customWidth="1"/>
    <col min="9723" max="9723" width="9" style="74"/>
    <col min="9724" max="9725" width="26" style="74" customWidth="1"/>
    <col min="9726" max="9971" width="9" style="74"/>
    <col min="9972" max="9972" width="44" style="74" customWidth="1"/>
    <col min="9973" max="9973" width="24" style="74" customWidth="1"/>
    <col min="9974" max="9974" width="26.25" style="74" customWidth="1"/>
    <col min="9975" max="9975" width="25.375" style="74" customWidth="1"/>
    <col min="9976" max="9978" width="26" style="74" customWidth="1"/>
    <col min="9979" max="9979" width="9" style="74"/>
    <col min="9980" max="9981" width="26" style="74" customWidth="1"/>
    <col min="9982" max="10227" width="9" style="74"/>
    <col min="10228" max="10228" width="44" style="74" customWidth="1"/>
    <col min="10229" max="10229" width="24" style="74" customWidth="1"/>
    <col min="10230" max="10230" width="26.25" style="74" customWidth="1"/>
    <col min="10231" max="10231" width="25.375" style="74" customWidth="1"/>
    <col min="10232" max="10234" width="26" style="74" customWidth="1"/>
    <col min="10235" max="10235" width="9" style="74"/>
    <col min="10236" max="10237" width="26" style="74" customWidth="1"/>
    <col min="10238" max="10483" width="9" style="74"/>
    <col min="10484" max="10484" width="44" style="74" customWidth="1"/>
    <col min="10485" max="10485" width="24" style="74" customWidth="1"/>
    <col min="10486" max="10486" width="26.25" style="74" customWidth="1"/>
    <col min="10487" max="10487" width="25.375" style="74" customWidth="1"/>
    <col min="10488" max="10490" width="26" style="74" customWidth="1"/>
    <col min="10491" max="10491" width="9" style="74"/>
    <col min="10492" max="10493" width="26" style="74" customWidth="1"/>
    <col min="10494" max="10739" width="9" style="74"/>
    <col min="10740" max="10740" width="44" style="74" customWidth="1"/>
    <col min="10741" max="10741" width="24" style="74" customWidth="1"/>
    <col min="10742" max="10742" width="26.25" style="74" customWidth="1"/>
    <col min="10743" max="10743" width="25.375" style="74" customWidth="1"/>
    <col min="10744" max="10746" width="26" style="74" customWidth="1"/>
    <col min="10747" max="10747" width="9" style="74"/>
    <col min="10748" max="10749" width="26" style="74" customWidth="1"/>
    <col min="10750" max="10995" width="9" style="74"/>
    <col min="10996" max="10996" width="44" style="74" customWidth="1"/>
    <col min="10997" max="10997" width="24" style="74" customWidth="1"/>
    <col min="10998" max="10998" width="26.25" style="74" customWidth="1"/>
    <col min="10999" max="10999" width="25.375" style="74" customWidth="1"/>
    <col min="11000" max="11002" width="26" style="74" customWidth="1"/>
    <col min="11003" max="11003" width="9" style="74"/>
    <col min="11004" max="11005" width="26" style="74" customWidth="1"/>
    <col min="11006" max="11251" width="9" style="74"/>
    <col min="11252" max="11252" width="44" style="74" customWidth="1"/>
    <col min="11253" max="11253" width="24" style="74" customWidth="1"/>
    <col min="11254" max="11254" width="26.25" style="74" customWidth="1"/>
    <col min="11255" max="11255" width="25.375" style="74" customWidth="1"/>
    <col min="11256" max="11258" width="26" style="74" customWidth="1"/>
    <col min="11259" max="11259" width="9" style="74"/>
    <col min="11260" max="11261" width="26" style="74" customWidth="1"/>
    <col min="11262" max="11507" width="9" style="74"/>
    <col min="11508" max="11508" width="44" style="74" customWidth="1"/>
    <col min="11509" max="11509" width="24" style="74" customWidth="1"/>
    <col min="11510" max="11510" width="26.25" style="74" customWidth="1"/>
    <col min="11511" max="11511" width="25.375" style="74" customWidth="1"/>
    <col min="11512" max="11514" width="26" style="74" customWidth="1"/>
    <col min="11515" max="11515" width="9" style="74"/>
    <col min="11516" max="11517" width="26" style="74" customWidth="1"/>
    <col min="11518" max="11763" width="9" style="74"/>
    <col min="11764" max="11764" width="44" style="74" customWidth="1"/>
    <col min="11765" max="11765" width="24" style="74" customWidth="1"/>
    <col min="11766" max="11766" width="26.25" style="74" customWidth="1"/>
    <col min="11767" max="11767" width="25.375" style="74" customWidth="1"/>
    <col min="11768" max="11770" width="26" style="74" customWidth="1"/>
    <col min="11771" max="11771" width="9" style="74"/>
    <col min="11772" max="11773" width="26" style="74" customWidth="1"/>
    <col min="11774" max="12019" width="9" style="74"/>
    <col min="12020" max="12020" width="44" style="74" customWidth="1"/>
    <col min="12021" max="12021" width="24" style="74" customWidth="1"/>
    <col min="12022" max="12022" width="26.25" style="74" customWidth="1"/>
    <col min="12023" max="12023" width="25.375" style="74" customWidth="1"/>
    <col min="12024" max="12026" width="26" style="74" customWidth="1"/>
    <col min="12027" max="12027" width="9" style="74"/>
    <col min="12028" max="12029" width="26" style="74" customWidth="1"/>
    <col min="12030" max="12275" width="9" style="74"/>
    <col min="12276" max="12276" width="44" style="74" customWidth="1"/>
    <col min="12277" max="12277" width="24" style="74" customWidth="1"/>
    <col min="12278" max="12278" width="26.25" style="74" customWidth="1"/>
    <col min="12279" max="12279" width="25.375" style="74" customWidth="1"/>
    <col min="12280" max="12282" width="26" style="74" customWidth="1"/>
    <col min="12283" max="12283" width="9" style="74"/>
    <col min="12284" max="12285" width="26" style="74" customWidth="1"/>
    <col min="12286" max="12531" width="9" style="74"/>
    <col min="12532" max="12532" width="44" style="74" customWidth="1"/>
    <col min="12533" max="12533" width="24" style="74" customWidth="1"/>
    <col min="12534" max="12534" width="26.25" style="74" customWidth="1"/>
    <col min="12535" max="12535" width="25.375" style="74" customWidth="1"/>
    <col min="12536" max="12538" width="26" style="74" customWidth="1"/>
    <col min="12539" max="12539" width="9" style="74"/>
    <col min="12540" max="12541" width="26" style="74" customWidth="1"/>
    <col min="12542" max="12787" width="9" style="74"/>
    <col min="12788" max="12788" width="44" style="74" customWidth="1"/>
    <col min="12789" max="12789" width="24" style="74" customWidth="1"/>
    <col min="12790" max="12790" width="26.25" style="74" customWidth="1"/>
    <col min="12791" max="12791" width="25.375" style="74" customWidth="1"/>
    <col min="12792" max="12794" width="26" style="74" customWidth="1"/>
    <col min="12795" max="12795" width="9" style="74"/>
    <col min="12796" max="12797" width="26" style="74" customWidth="1"/>
    <col min="12798" max="13043" width="9" style="74"/>
    <col min="13044" max="13044" width="44" style="74" customWidth="1"/>
    <col min="13045" max="13045" width="24" style="74" customWidth="1"/>
    <col min="13046" max="13046" width="26.25" style="74" customWidth="1"/>
    <col min="13047" max="13047" width="25.375" style="74" customWidth="1"/>
    <col min="13048" max="13050" width="26" style="74" customWidth="1"/>
    <col min="13051" max="13051" width="9" style="74"/>
    <col min="13052" max="13053" width="26" style="74" customWidth="1"/>
    <col min="13054" max="13299" width="9" style="74"/>
    <col min="13300" max="13300" width="44" style="74" customWidth="1"/>
    <col min="13301" max="13301" width="24" style="74" customWidth="1"/>
    <col min="13302" max="13302" width="26.25" style="74" customWidth="1"/>
    <col min="13303" max="13303" width="25.375" style="74" customWidth="1"/>
    <col min="13304" max="13306" width="26" style="74" customWidth="1"/>
    <col min="13307" max="13307" width="9" style="74"/>
    <col min="13308" max="13309" width="26" style="74" customWidth="1"/>
    <col min="13310" max="13555" width="9" style="74"/>
    <col min="13556" max="13556" width="44" style="74" customWidth="1"/>
    <col min="13557" max="13557" width="24" style="74" customWidth="1"/>
    <col min="13558" max="13558" width="26.25" style="74" customWidth="1"/>
    <col min="13559" max="13559" width="25.375" style="74" customWidth="1"/>
    <col min="13560" max="13562" width="26" style="74" customWidth="1"/>
    <col min="13563" max="13563" width="9" style="74"/>
    <col min="13564" max="13565" width="26" style="74" customWidth="1"/>
    <col min="13566" max="13811" width="9" style="74"/>
    <col min="13812" max="13812" width="44" style="74" customWidth="1"/>
    <col min="13813" max="13813" width="24" style="74" customWidth="1"/>
    <col min="13814" max="13814" width="26.25" style="74" customWidth="1"/>
    <col min="13815" max="13815" width="25.375" style="74" customWidth="1"/>
    <col min="13816" max="13818" width="26" style="74" customWidth="1"/>
    <col min="13819" max="13819" width="9" style="74"/>
    <col min="13820" max="13821" width="26" style="74" customWidth="1"/>
    <col min="13822" max="14067" width="9" style="74"/>
    <col min="14068" max="14068" width="44" style="74" customWidth="1"/>
    <col min="14069" max="14069" width="24" style="74" customWidth="1"/>
    <col min="14070" max="14070" width="26.25" style="74" customWidth="1"/>
    <col min="14071" max="14071" width="25.375" style="74" customWidth="1"/>
    <col min="14072" max="14074" width="26" style="74" customWidth="1"/>
    <col min="14075" max="14075" width="9" style="74"/>
    <col min="14076" max="14077" width="26" style="74" customWidth="1"/>
    <col min="14078" max="14323" width="9" style="74"/>
    <col min="14324" max="14324" width="44" style="74" customWidth="1"/>
    <col min="14325" max="14325" width="24" style="74" customWidth="1"/>
    <col min="14326" max="14326" width="26.25" style="74" customWidth="1"/>
    <col min="14327" max="14327" width="25.375" style="74" customWidth="1"/>
    <col min="14328" max="14330" width="26" style="74" customWidth="1"/>
    <col min="14331" max="14331" width="9" style="74"/>
    <col min="14332" max="14333" width="26" style="74" customWidth="1"/>
    <col min="14334" max="14579" width="9" style="74"/>
    <col min="14580" max="14580" width="44" style="74" customWidth="1"/>
    <col min="14581" max="14581" width="24" style="74" customWidth="1"/>
    <col min="14582" max="14582" width="26.25" style="74" customWidth="1"/>
    <col min="14583" max="14583" width="25.375" style="74" customWidth="1"/>
    <col min="14584" max="14586" width="26" style="74" customWidth="1"/>
    <col min="14587" max="14587" width="9" style="74"/>
    <col min="14588" max="14589" width="26" style="74" customWidth="1"/>
    <col min="14590" max="14835" width="9" style="74"/>
    <col min="14836" max="14836" width="44" style="74" customWidth="1"/>
    <col min="14837" max="14837" width="24" style="74" customWidth="1"/>
    <col min="14838" max="14838" width="26.25" style="74" customWidth="1"/>
    <col min="14839" max="14839" width="25.375" style="74" customWidth="1"/>
    <col min="14840" max="14842" width="26" style="74" customWidth="1"/>
    <col min="14843" max="14843" width="9" style="74"/>
    <col min="14844" max="14845" width="26" style="74" customWidth="1"/>
    <col min="14846" max="15091" width="9" style="74"/>
    <col min="15092" max="15092" width="44" style="74" customWidth="1"/>
    <col min="15093" max="15093" width="24" style="74" customWidth="1"/>
    <col min="15094" max="15094" width="26.25" style="74" customWidth="1"/>
    <col min="15095" max="15095" width="25.375" style="74" customWidth="1"/>
    <col min="15096" max="15098" width="26" style="74" customWidth="1"/>
    <col min="15099" max="15099" width="9" style="74"/>
    <col min="15100" max="15101" width="26" style="74" customWidth="1"/>
    <col min="15102" max="15347" width="9" style="74"/>
    <col min="15348" max="15348" width="44" style="74" customWidth="1"/>
    <col min="15349" max="15349" width="24" style="74" customWidth="1"/>
    <col min="15350" max="15350" width="26.25" style="74" customWidth="1"/>
    <col min="15351" max="15351" width="25.375" style="74" customWidth="1"/>
    <col min="15352" max="15354" width="26" style="74" customWidth="1"/>
    <col min="15355" max="15355" width="9" style="74"/>
    <col min="15356" max="15357" width="26" style="74" customWidth="1"/>
    <col min="15358" max="15603" width="9" style="74"/>
    <col min="15604" max="15604" width="44" style="74" customWidth="1"/>
    <col min="15605" max="15605" width="24" style="74" customWidth="1"/>
    <col min="15606" max="15606" width="26.25" style="74" customWidth="1"/>
    <col min="15607" max="15607" width="25.375" style="74" customWidth="1"/>
    <col min="15608" max="15610" width="26" style="74" customWidth="1"/>
    <col min="15611" max="15611" width="9" style="74"/>
    <col min="15612" max="15613" width="26" style="74" customWidth="1"/>
    <col min="15614" max="15859" width="9" style="74"/>
    <col min="15860" max="15860" width="44" style="74" customWidth="1"/>
    <col min="15861" max="15861" width="24" style="74" customWidth="1"/>
    <col min="15862" max="15862" width="26.25" style="74" customWidth="1"/>
    <col min="15863" max="15863" width="25.375" style="74" customWidth="1"/>
    <col min="15864" max="15866" width="26" style="74" customWidth="1"/>
    <col min="15867" max="15867" width="9" style="74"/>
    <col min="15868" max="15869" width="26" style="74" customWidth="1"/>
    <col min="15870" max="16115" width="9" style="74"/>
    <col min="16116" max="16116" width="44" style="74" customWidth="1"/>
    <col min="16117" max="16117" width="24" style="74" customWidth="1"/>
    <col min="16118" max="16118" width="26.25" style="74" customWidth="1"/>
    <col min="16119" max="16119" width="25.375" style="74" customWidth="1"/>
    <col min="16120" max="16122" width="26" style="74" customWidth="1"/>
    <col min="16123" max="16123" width="9" style="74"/>
    <col min="16124" max="16125" width="26" style="74" customWidth="1"/>
    <col min="16126" max="16384" width="9" style="74"/>
  </cols>
  <sheetData>
    <row r="1" spans="1:10">
      <c r="D1" s="75"/>
      <c r="J1" s="75" t="s">
        <v>138</v>
      </c>
    </row>
    <row r="2" spans="1:10">
      <c r="B2" s="76"/>
      <c r="D2" s="77"/>
      <c r="I2" s="74" t="s">
        <v>139</v>
      </c>
      <c r="J2" s="77" t="s">
        <v>140</v>
      </c>
    </row>
    <row r="3" spans="1:10">
      <c r="B3" s="76"/>
      <c r="D3" s="78"/>
      <c r="I3" s="79" t="s">
        <v>141</v>
      </c>
      <c r="J3" s="78" t="s">
        <v>142</v>
      </c>
    </row>
    <row r="4" spans="1:10">
      <c r="B4" s="76"/>
      <c r="C4" s="80" t="s">
        <v>143</v>
      </c>
      <c r="D4" s="77"/>
      <c r="E4" s="81"/>
      <c r="G4" s="81"/>
      <c r="H4" s="80" t="s">
        <v>144</v>
      </c>
      <c r="I4" s="81" t="s">
        <v>145</v>
      </c>
      <c r="J4" s="77" t="s">
        <v>146</v>
      </c>
    </row>
    <row r="5" spans="1:10">
      <c r="C5" s="81" t="s">
        <v>128</v>
      </c>
      <c r="D5" s="81" t="s">
        <v>147</v>
      </c>
      <c r="E5" s="81" t="s">
        <v>148</v>
      </c>
      <c r="G5" s="82" t="s">
        <v>149</v>
      </c>
      <c r="H5" s="81" t="s">
        <v>124</v>
      </c>
      <c r="I5" s="81" t="s">
        <v>150</v>
      </c>
      <c r="J5" s="81" t="s">
        <v>123</v>
      </c>
    </row>
    <row r="6" spans="1:10">
      <c r="B6" s="83"/>
      <c r="C6" s="84" t="s">
        <v>151</v>
      </c>
      <c r="D6" s="85" t="s">
        <v>152</v>
      </c>
      <c r="E6" s="77" t="s">
        <v>153</v>
      </c>
      <c r="G6" s="77" t="s">
        <v>154</v>
      </c>
      <c r="H6" s="86" t="s">
        <v>155</v>
      </c>
      <c r="I6" s="77" t="s">
        <v>156</v>
      </c>
      <c r="J6" s="78" t="s">
        <v>157</v>
      </c>
    </row>
    <row r="7" spans="1:10">
      <c r="A7" s="87" t="s">
        <v>158</v>
      </c>
      <c r="B7" s="87" t="s">
        <v>159</v>
      </c>
      <c r="C7" s="87" t="s">
        <v>123</v>
      </c>
      <c r="D7" s="87" t="s">
        <v>124</v>
      </c>
      <c r="E7" s="87" t="s">
        <v>126</v>
      </c>
      <c r="G7" s="87" t="s">
        <v>126</v>
      </c>
      <c r="H7" s="87" t="s">
        <v>123</v>
      </c>
      <c r="I7" s="87" t="s">
        <v>126</v>
      </c>
      <c r="J7" s="87" t="s">
        <v>123</v>
      </c>
    </row>
    <row r="8" spans="1:10">
      <c r="A8" s="88" t="s">
        <v>160</v>
      </c>
      <c r="B8" s="89" t="e">
        <f t="shared" ref="B8:J8" si="0">датоц</f>
        <v>#NAME?</v>
      </c>
      <c r="C8" s="89" t="e">
        <f t="shared" si="0"/>
        <v>#NAME?</v>
      </c>
      <c r="D8" s="89" t="e">
        <f t="shared" si="0"/>
        <v>#NAME?</v>
      </c>
      <c r="E8" s="89" t="e">
        <f t="shared" si="0"/>
        <v>#NAME?</v>
      </c>
      <c r="G8" s="89" t="e">
        <f t="shared" si="0"/>
        <v>#NAME?</v>
      </c>
      <c r="H8" s="89" t="e">
        <f t="shared" si="0"/>
        <v>#NAME?</v>
      </c>
      <c r="I8" s="89" t="e">
        <f t="shared" si="0"/>
        <v>#NAME?</v>
      </c>
      <c r="J8" s="89" t="e">
        <f t="shared" si="0"/>
        <v>#NAME?</v>
      </c>
    </row>
    <row r="9" spans="1:10">
      <c r="A9" s="88" t="s">
        <v>161</v>
      </c>
      <c r="B9" s="90"/>
      <c r="C9" s="91" t="s">
        <v>162</v>
      </c>
      <c r="D9" s="91" t="s">
        <v>163</v>
      </c>
      <c r="E9" s="92" t="s">
        <v>164</v>
      </c>
      <c r="G9" s="92" t="s">
        <v>165</v>
      </c>
      <c r="H9" s="93" t="s">
        <v>166</v>
      </c>
      <c r="I9" s="92" t="s">
        <v>167</v>
      </c>
      <c r="J9" s="93" t="s">
        <v>168</v>
      </c>
    </row>
    <row r="10" spans="1:10" ht="25.5">
      <c r="A10" s="88" t="s">
        <v>169</v>
      </c>
      <c r="B10" s="94" t="s">
        <v>170</v>
      </c>
      <c r="C10" s="95" t="s">
        <v>170</v>
      </c>
      <c r="D10" s="94" t="s">
        <v>170</v>
      </c>
      <c r="E10" s="94" t="s">
        <v>170</v>
      </c>
      <c r="G10" s="94" t="s">
        <v>171</v>
      </c>
      <c r="H10" s="94" t="s">
        <v>170</v>
      </c>
      <c r="I10" s="94" t="s">
        <v>170</v>
      </c>
      <c r="J10" s="94" t="s">
        <v>170</v>
      </c>
    </row>
    <row r="11" spans="1:10" ht="42" customHeight="1">
      <c r="A11" s="88" t="s">
        <v>172</v>
      </c>
      <c r="B11" s="96" t="s">
        <v>297</v>
      </c>
      <c r="C11" s="97" t="s">
        <v>173</v>
      </c>
      <c r="D11" s="98" t="s">
        <v>174</v>
      </c>
      <c r="E11" s="99" t="s">
        <v>175</v>
      </c>
      <c r="G11" s="99" t="s">
        <v>176</v>
      </c>
      <c r="H11" s="99" t="s">
        <v>177</v>
      </c>
      <c r="I11" s="99" t="s">
        <v>178</v>
      </c>
      <c r="J11" s="99" t="s">
        <v>179</v>
      </c>
    </row>
    <row r="12" spans="1:10" ht="25.5">
      <c r="A12" s="88" t="s">
        <v>180</v>
      </c>
      <c r="B12" s="100" t="s">
        <v>298</v>
      </c>
      <c r="C12" s="101" t="s">
        <v>181</v>
      </c>
      <c r="D12" s="93" t="s">
        <v>181</v>
      </c>
      <c r="E12" s="99" t="s">
        <v>182</v>
      </c>
      <c r="G12" s="99" t="s">
        <v>183</v>
      </c>
      <c r="H12" s="99" t="s">
        <v>181</v>
      </c>
      <c r="I12" s="99" t="s">
        <v>184</v>
      </c>
      <c r="J12" s="99" t="s">
        <v>185</v>
      </c>
    </row>
    <row r="13" spans="1:10">
      <c r="A13" s="88" t="s">
        <v>186</v>
      </c>
      <c r="B13" s="91" t="s">
        <v>299</v>
      </c>
      <c r="C13" s="94" t="s">
        <v>187</v>
      </c>
      <c r="D13" s="93" t="s">
        <v>187</v>
      </c>
      <c r="E13" s="94" t="s">
        <v>187</v>
      </c>
      <c r="G13" s="94" t="s">
        <v>187</v>
      </c>
      <c r="H13" s="102" t="s">
        <v>188</v>
      </c>
      <c r="I13" s="94" t="s">
        <v>187</v>
      </c>
      <c r="J13" s="102" t="s">
        <v>189</v>
      </c>
    </row>
    <row r="14" spans="1:10" ht="15">
      <c r="A14" s="88" t="s">
        <v>190</v>
      </c>
      <c r="B14" s="103">
        <f>SUM(B15:B22)</f>
        <v>21461.200000000001</v>
      </c>
      <c r="C14" s="103">
        <f>SUM(C15:C22)</f>
        <v>1870</v>
      </c>
      <c r="D14" s="103">
        <f>SUM(D15:D22)</f>
        <v>6996</v>
      </c>
      <c r="E14" s="103">
        <f>SUM(E15:E22)</f>
        <v>3337.1</v>
      </c>
      <c r="G14" s="103">
        <f>SUM(G15:G18)</f>
        <v>5699.9999999999991</v>
      </c>
      <c r="H14" s="104">
        <f>SUM(H15:H18)</f>
        <v>1906</v>
      </c>
      <c r="I14" s="103">
        <f>SUM(I15:I18)</f>
        <v>3400</v>
      </c>
      <c r="J14" s="103">
        <f>SUM(J15:J18)</f>
        <v>1800</v>
      </c>
    </row>
    <row r="15" spans="1:10">
      <c r="A15" s="105" t="str">
        <f>Выжимка!B3</f>
        <v>произв класс 4</v>
      </c>
      <c r="B15" s="106">
        <f>Выжимка!C3</f>
        <v>11633.8</v>
      </c>
      <c r="C15" s="106">
        <f>Выжимка!L3</f>
        <v>1760</v>
      </c>
      <c r="D15" s="106">
        <f>Выжимка!H3</f>
        <v>1112.2</v>
      </c>
      <c r="E15" s="106">
        <f>Выжимка!I3</f>
        <v>0</v>
      </c>
      <c r="F15" s="107"/>
      <c r="G15" s="106">
        <f>36.7+40.5+82.2+718.3</f>
        <v>877.69999999999993</v>
      </c>
      <c r="H15" s="108">
        <v>1260</v>
      </c>
      <c r="I15" s="109">
        <f>2550+850</f>
        <v>3400</v>
      </c>
      <c r="J15" s="106">
        <v>258.7</v>
      </c>
    </row>
    <row r="16" spans="1:10">
      <c r="A16" s="105" t="str">
        <f>Выжимка!B4</f>
        <v>произв класс 3</v>
      </c>
      <c r="B16" s="106">
        <f>Выжимка!C4</f>
        <v>9671.5</v>
      </c>
      <c r="C16" s="106">
        <f>Выжимка!L4</f>
        <v>0</v>
      </c>
      <c r="D16" s="106">
        <f>Выжимка!H4</f>
        <v>5523.8</v>
      </c>
      <c r="E16" s="106">
        <f>Выжимка!I4</f>
        <v>0</v>
      </c>
      <c r="G16" s="106">
        <v>0</v>
      </c>
      <c r="H16" s="108">
        <v>646</v>
      </c>
      <c r="I16" s="109">
        <v>0</v>
      </c>
      <c r="J16" s="106">
        <v>0</v>
      </c>
    </row>
    <row r="17" spans="1:17">
      <c r="A17" s="105" t="str">
        <f>Выжимка!B5</f>
        <v>произв класс 2</v>
      </c>
      <c r="B17" s="106">
        <f>Выжимка!C5</f>
        <v>0</v>
      </c>
      <c r="C17" s="106">
        <f>Выжимка!L5</f>
        <v>0</v>
      </c>
      <c r="D17" s="106">
        <f>Выжимка!H5</f>
        <v>0</v>
      </c>
      <c r="E17" s="106">
        <f>Выжимка!I5</f>
        <v>1947.1</v>
      </c>
      <c r="G17" s="106">
        <f>3961.7-159.4+1020</f>
        <v>4822.2999999999993</v>
      </c>
      <c r="H17" s="108">
        <v>0</v>
      </c>
      <c r="I17" s="109">
        <v>0</v>
      </c>
      <c r="J17" s="106">
        <v>1541.3</v>
      </c>
    </row>
    <row r="18" spans="1:17">
      <c r="A18" s="105" t="str">
        <f>Выжимка!B6</f>
        <v>произв класс 1</v>
      </c>
      <c r="B18" s="106">
        <f>Выжимка!C6</f>
        <v>0</v>
      </c>
      <c r="C18" s="106">
        <f>Выжимка!L6</f>
        <v>0</v>
      </c>
      <c r="D18" s="106">
        <f>Выжимка!H6</f>
        <v>0</v>
      </c>
      <c r="E18" s="106">
        <f>Выжимка!I6</f>
        <v>0</v>
      </c>
      <c r="G18" s="106">
        <v>0</v>
      </c>
      <c r="H18" s="108">
        <v>0</v>
      </c>
      <c r="I18" s="109">
        <v>0</v>
      </c>
      <c r="J18" s="106">
        <v>0</v>
      </c>
      <c r="L18" s="110" t="s">
        <v>195</v>
      </c>
      <c r="M18" s="110" t="s">
        <v>196</v>
      </c>
      <c r="N18" s="110" t="s">
        <v>197</v>
      </c>
      <c r="O18" s="110" t="s">
        <v>198</v>
      </c>
      <c r="P18" s="110" t="s">
        <v>199</v>
      </c>
      <c r="Q18" s="110" t="s">
        <v>200</v>
      </c>
    </row>
    <row r="19" spans="1:17">
      <c r="A19" s="105" t="str">
        <f>Выжимка!B7</f>
        <v>гражд класс 4</v>
      </c>
      <c r="B19" s="106">
        <f>Выжимка!C7</f>
        <v>155.9</v>
      </c>
      <c r="C19" s="106">
        <f>Выжимка!L7</f>
        <v>110</v>
      </c>
      <c r="D19" s="106">
        <f>Выжимка!H7</f>
        <v>0</v>
      </c>
      <c r="E19" s="106">
        <f>Выжимка!I7</f>
        <v>0</v>
      </c>
      <c r="G19" s="106"/>
      <c r="H19" s="108"/>
      <c r="I19" s="109"/>
      <c r="J19" s="106"/>
      <c r="L19" s="110"/>
      <c r="M19" s="110"/>
      <c r="N19" s="110"/>
      <c r="O19" s="110"/>
      <c r="P19" s="110"/>
      <c r="Q19" s="110"/>
    </row>
    <row r="20" spans="1:17">
      <c r="A20" s="105" t="str">
        <f>Выжимка!B8</f>
        <v>гражд класс 3</v>
      </c>
      <c r="B20" s="106">
        <f>Выжимка!C8</f>
        <v>0</v>
      </c>
      <c r="C20" s="106">
        <f>Выжимка!L8</f>
        <v>0</v>
      </c>
      <c r="D20" s="106">
        <f>Выжимка!H8</f>
        <v>360</v>
      </c>
      <c r="E20" s="106">
        <f>Выжимка!I8</f>
        <v>1390</v>
      </c>
      <c r="G20" s="106"/>
      <c r="H20" s="108"/>
      <c r="I20" s="109"/>
      <c r="J20" s="106"/>
      <c r="L20" s="110"/>
      <c r="M20" s="110"/>
      <c r="N20" s="110"/>
      <c r="O20" s="110"/>
      <c r="P20" s="110"/>
      <c r="Q20" s="110"/>
    </row>
    <row r="21" spans="1:17">
      <c r="A21" s="105" t="str">
        <f>Выжимка!B9</f>
        <v>гражд класс 2</v>
      </c>
      <c r="B21" s="106">
        <f>Выжимка!C9</f>
        <v>0</v>
      </c>
      <c r="C21" s="106">
        <f>Выжимка!L9</f>
        <v>0</v>
      </c>
      <c r="D21" s="106">
        <f>Выжимка!H9</f>
        <v>0</v>
      </c>
      <c r="E21" s="106">
        <f>Выжимка!I9</f>
        <v>0</v>
      </c>
      <c r="G21" s="106"/>
      <c r="H21" s="108"/>
      <c r="I21" s="109"/>
      <c r="J21" s="106"/>
      <c r="L21" s="110"/>
      <c r="M21" s="110"/>
      <c r="N21" s="110"/>
      <c r="O21" s="110"/>
      <c r="P21" s="110"/>
      <c r="Q21" s="110"/>
    </row>
    <row r="22" spans="1:17">
      <c r="A22" s="105" t="str">
        <f>Выжимка!B10</f>
        <v>гражд класс 1</v>
      </c>
      <c r="B22" s="106">
        <f>Выжимка!C10</f>
        <v>0</v>
      </c>
      <c r="C22" s="106">
        <f>Выжимка!L10</f>
        <v>0</v>
      </c>
      <c r="D22" s="106">
        <f>Выжимка!H10</f>
        <v>0</v>
      </c>
      <c r="E22" s="106">
        <f>Выжимка!I10</f>
        <v>0</v>
      </c>
      <c r="G22" s="106"/>
      <c r="H22" s="108"/>
      <c r="I22" s="109"/>
      <c r="J22" s="106"/>
      <c r="L22" s="110"/>
      <c r="M22" s="110"/>
      <c r="N22" s="110"/>
      <c r="O22" s="110"/>
      <c r="P22" s="110"/>
      <c r="Q22" s="110"/>
    </row>
    <row r="23" spans="1:17" s="113" customFormat="1" ht="18" customHeight="1">
      <c r="A23" s="266" t="str">
        <f>Выжимка!B11</f>
        <v>прочие</v>
      </c>
      <c r="B23" s="106">
        <f>Выжимка!C11</f>
        <v>0</v>
      </c>
      <c r="C23" s="106">
        <f>Выжимка!L11</f>
        <v>0</v>
      </c>
      <c r="D23" s="106">
        <f>Выжимка!H11</f>
        <v>0</v>
      </c>
      <c r="E23" s="106">
        <f>Выжимка!I11</f>
        <v>0</v>
      </c>
      <c r="F23" s="74"/>
      <c r="G23" s="112">
        <v>0</v>
      </c>
      <c r="H23" s="114">
        <v>0</v>
      </c>
      <c r="I23" s="112">
        <v>0</v>
      </c>
      <c r="J23" s="103">
        <v>0</v>
      </c>
      <c r="L23" s="110"/>
      <c r="M23" s="110"/>
      <c r="N23" s="110"/>
      <c r="O23" s="110"/>
      <c r="P23" s="110"/>
      <c r="Q23" s="110"/>
    </row>
    <row r="24" spans="1:17" ht="25.5">
      <c r="A24" s="88" t="s">
        <v>202</v>
      </c>
      <c r="B24" s="94" t="s">
        <v>203</v>
      </c>
      <c r="C24" s="115" t="s">
        <v>204</v>
      </c>
      <c r="D24" s="94" t="s">
        <v>205</v>
      </c>
      <c r="E24" s="115" t="s">
        <v>206</v>
      </c>
      <c r="G24" s="115" t="s">
        <v>207</v>
      </c>
      <c r="H24" s="94" t="s">
        <v>208</v>
      </c>
      <c r="I24" s="94" t="s">
        <v>209</v>
      </c>
      <c r="J24" s="115" t="s">
        <v>210</v>
      </c>
      <c r="L24" s="110">
        <f>36.7+66.4+218.4+32.4</f>
        <v>353.9</v>
      </c>
      <c r="M24" s="110">
        <f>31.9+15.5+16+16</f>
        <v>79.400000000000006</v>
      </c>
      <c r="N24" s="110">
        <f>89.8</f>
        <v>89.8</v>
      </c>
      <c r="O24" s="110">
        <f>1763.9</f>
        <v>1763.9</v>
      </c>
      <c r="P24" s="110">
        <f>1452.9+34.3+14.3+13.5+13.5+13.5+11.3+7.7+2.1</f>
        <v>1563.1</v>
      </c>
      <c r="Q24" s="110">
        <f>29.4+19.4+13.5+13.5+13.5+22.3</f>
        <v>111.6</v>
      </c>
    </row>
    <row r="25" spans="1:17">
      <c r="A25" s="88" t="s">
        <v>211</v>
      </c>
      <c r="B25" s="205" t="s">
        <v>614</v>
      </c>
      <c r="C25" s="205" t="s">
        <v>213</v>
      </c>
      <c r="D25" s="205" t="s">
        <v>212</v>
      </c>
      <c r="E25" s="205" t="s">
        <v>214</v>
      </c>
      <c r="G25" s="94" t="s">
        <v>214</v>
      </c>
      <c r="H25" s="101" t="s">
        <v>213</v>
      </c>
      <c r="I25" s="94" t="s">
        <v>214</v>
      </c>
      <c r="J25" s="94" t="s">
        <v>214</v>
      </c>
      <c r="L25" s="110">
        <f>SUM(L24:Q24)</f>
        <v>3961.7</v>
      </c>
      <c r="M25" s="110"/>
      <c r="N25" s="110"/>
      <c r="O25" s="110"/>
      <c r="P25" s="110"/>
      <c r="Q25" s="110"/>
    </row>
    <row r="26" spans="1:17">
      <c r="A26" s="88" t="s">
        <v>215</v>
      </c>
      <c r="B26" s="94" t="s">
        <v>300</v>
      </c>
      <c r="C26" s="94" t="s">
        <v>216</v>
      </c>
      <c r="D26" s="94" t="s">
        <v>217</v>
      </c>
      <c r="E26" s="94" t="s">
        <v>217</v>
      </c>
      <c r="G26" s="94" t="s">
        <v>216</v>
      </c>
      <c r="H26" s="115" t="s">
        <v>216</v>
      </c>
      <c r="I26" s="94" t="s">
        <v>218</v>
      </c>
      <c r="J26" s="102" t="s">
        <v>219</v>
      </c>
    </row>
    <row r="27" spans="1:17">
      <c r="A27" s="88" t="s">
        <v>220</v>
      </c>
      <c r="B27" s="94" t="s">
        <v>221</v>
      </c>
      <c r="C27" s="115" t="s">
        <v>221</v>
      </c>
      <c r="D27" s="94" t="s">
        <v>221</v>
      </c>
      <c r="E27" s="94" t="s">
        <v>221</v>
      </c>
      <c r="G27" s="94" t="s">
        <v>221</v>
      </c>
      <c r="H27" s="115" t="s">
        <v>221</v>
      </c>
      <c r="I27" s="94" t="s">
        <v>221</v>
      </c>
      <c r="J27" s="115" t="s">
        <v>221</v>
      </c>
    </row>
    <row r="28" spans="1:17" ht="15">
      <c r="A28" s="88" t="s">
        <v>222</v>
      </c>
      <c r="B28" s="94" t="s">
        <v>223</v>
      </c>
      <c r="C28" s="94" t="s">
        <v>224</v>
      </c>
      <c r="D28" s="94" t="s">
        <v>224</v>
      </c>
      <c r="E28" s="94" t="s">
        <v>224</v>
      </c>
      <c r="G28" s="94" t="s">
        <v>224</v>
      </c>
      <c r="H28" s="94" t="s">
        <v>224</v>
      </c>
      <c r="I28" s="94" t="s">
        <v>224</v>
      </c>
      <c r="J28" s="94" t="s">
        <v>224</v>
      </c>
    </row>
    <row r="29" spans="1:17" ht="15">
      <c r="A29" s="88" t="s">
        <v>225</v>
      </c>
      <c r="B29" s="103">
        <v>42257</v>
      </c>
      <c r="C29" s="104">
        <v>5480</v>
      </c>
      <c r="D29" s="103">
        <v>12620</v>
      </c>
      <c r="E29" s="103">
        <v>7800</v>
      </c>
      <c r="G29" s="103">
        <f>6640+5000+595</f>
        <v>12235</v>
      </c>
      <c r="H29" s="104">
        <v>1300</v>
      </c>
      <c r="I29" s="103">
        <v>6500</v>
      </c>
      <c r="J29" s="104">
        <v>3200</v>
      </c>
      <c r="L29" s="107"/>
    </row>
    <row r="30" spans="1:17" ht="25.5">
      <c r="A30" s="88" t="s">
        <v>226</v>
      </c>
      <c r="B30" s="94" t="s">
        <v>227</v>
      </c>
      <c r="C30" s="94" t="s">
        <v>227</v>
      </c>
      <c r="D30" s="94" t="s">
        <v>228</v>
      </c>
      <c r="E30" s="94" t="s">
        <v>228</v>
      </c>
      <c r="G30" s="94" t="s">
        <v>228</v>
      </c>
      <c r="H30" s="94" t="s">
        <v>227</v>
      </c>
      <c r="I30" s="115" t="s">
        <v>229</v>
      </c>
      <c r="J30" s="94" t="s">
        <v>227</v>
      </c>
    </row>
    <row r="31" spans="1:17">
      <c r="A31" s="88" t="s">
        <v>230</v>
      </c>
      <c r="B31" s="97" t="s">
        <v>231</v>
      </c>
      <c r="C31" s="116" t="s">
        <v>231</v>
      </c>
      <c r="D31" s="97" t="s">
        <v>232</v>
      </c>
      <c r="E31" s="116" t="s">
        <v>233</v>
      </c>
      <c r="G31" s="116" t="s">
        <v>231</v>
      </c>
      <c r="H31" s="116" t="s">
        <v>233</v>
      </c>
      <c r="I31" s="116" t="s">
        <v>231</v>
      </c>
      <c r="J31" s="116" t="s">
        <v>234</v>
      </c>
    </row>
    <row r="32" spans="1:17">
      <c r="A32" s="88" t="s">
        <v>235</v>
      </c>
      <c r="B32" s="94" t="s">
        <v>301</v>
      </c>
      <c r="C32" s="94" t="s">
        <v>236</v>
      </c>
      <c r="D32" s="94" t="s">
        <v>237</v>
      </c>
      <c r="E32" s="97" t="s">
        <v>238</v>
      </c>
      <c r="G32" s="97" t="s">
        <v>238</v>
      </c>
      <c r="H32" s="94" t="s">
        <v>239</v>
      </c>
      <c r="I32" s="97" t="s">
        <v>238</v>
      </c>
      <c r="J32" s="94" t="s">
        <v>239</v>
      </c>
    </row>
    <row r="33" spans="1:10" ht="51">
      <c r="A33" s="88" t="s">
        <v>240</v>
      </c>
      <c r="B33" s="94" t="s">
        <v>241</v>
      </c>
      <c r="C33" s="94" t="s">
        <v>239</v>
      </c>
      <c r="D33" s="94" t="s">
        <v>239</v>
      </c>
      <c r="E33" s="94" t="s">
        <v>239</v>
      </c>
      <c r="G33" s="94" t="s">
        <v>239</v>
      </c>
      <c r="H33" s="97" t="s">
        <v>242</v>
      </c>
      <c r="I33" s="94" t="s">
        <v>239</v>
      </c>
      <c r="J33" s="94" t="s">
        <v>239</v>
      </c>
    </row>
    <row r="34" spans="1:10">
      <c r="A34" s="88" t="s">
        <v>243</v>
      </c>
      <c r="B34" s="117"/>
      <c r="C34" s="94" t="s">
        <v>244</v>
      </c>
      <c r="D34" s="94" t="s">
        <v>245</v>
      </c>
      <c r="E34" s="118" t="s">
        <v>245</v>
      </c>
      <c r="G34" s="118" t="s">
        <v>245</v>
      </c>
      <c r="H34" s="94" t="s">
        <v>245</v>
      </c>
      <c r="I34" s="118" t="s">
        <v>245</v>
      </c>
      <c r="J34" s="94" t="s">
        <v>245</v>
      </c>
    </row>
    <row r="35" spans="1:10">
      <c r="A35" s="88" t="s">
        <v>122</v>
      </c>
      <c r="B35" s="117"/>
      <c r="C35" s="94">
        <v>1800000</v>
      </c>
      <c r="D35" s="118">
        <v>7200000</v>
      </c>
      <c r="E35" s="94">
        <v>2450000</v>
      </c>
      <c r="G35" s="94">
        <v>5800000</v>
      </c>
      <c r="H35" s="94">
        <v>1300000</v>
      </c>
      <c r="I35" s="94">
        <v>2800000</v>
      </c>
      <c r="J35" s="94">
        <v>1500000</v>
      </c>
    </row>
    <row r="36" spans="1:10">
      <c r="A36" s="88" t="s">
        <v>246</v>
      </c>
      <c r="B36" s="117"/>
      <c r="C36" s="94">
        <f>C35*долл</f>
        <v>157410000</v>
      </c>
      <c r="D36" s="94">
        <f>D35*долл</f>
        <v>629640000</v>
      </c>
      <c r="E36" s="94">
        <f>E35*долл</f>
        <v>214252500</v>
      </c>
      <c r="G36" s="94">
        <f>G35*долл</f>
        <v>507210000</v>
      </c>
      <c r="H36" s="94">
        <v>212000000</v>
      </c>
      <c r="I36" s="94">
        <f>I35*долл</f>
        <v>244860000</v>
      </c>
      <c r="J36" s="94">
        <f>J35*долл</f>
        <v>131175000</v>
      </c>
    </row>
    <row r="37" spans="1:10" ht="15">
      <c r="A37" s="88" t="s">
        <v>247</v>
      </c>
      <c r="B37" s="115"/>
      <c r="C37" s="115">
        <f>C35/C14</f>
        <v>962.56684491978615</v>
      </c>
      <c r="D37" s="115">
        <f>D35/D14</f>
        <v>1029.1595197255574</v>
      </c>
      <c r="E37" s="115">
        <f>E35/E14</f>
        <v>734.17038746216781</v>
      </c>
      <c r="G37" s="115">
        <f>G35/G14</f>
        <v>1017.543859649123</v>
      </c>
      <c r="H37" s="115">
        <f>H35/H14</f>
        <v>682.05666316894019</v>
      </c>
      <c r="I37" s="115">
        <f>I35/I14</f>
        <v>823.52941176470586</v>
      </c>
      <c r="J37" s="115">
        <f>J35/J14</f>
        <v>833.33333333333337</v>
      </c>
    </row>
    <row r="38" spans="1:10" ht="15">
      <c r="A38" s="88" t="s">
        <v>248</v>
      </c>
      <c r="B38" s="115"/>
      <c r="C38" s="115">
        <f>C37*долл</f>
        <v>84176.470588235301</v>
      </c>
      <c r="D38" s="115">
        <f>D37*долл</f>
        <v>90000</v>
      </c>
      <c r="E38" s="115">
        <f>E37*долл</f>
        <v>64203.200383566575</v>
      </c>
      <c r="G38" s="115">
        <f>G37*долл</f>
        <v>88984.210526315801</v>
      </c>
      <c r="H38" s="115">
        <f>H37*долл</f>
        <v>59645.855194123818</v>
      </c>
      <c r="I38" s="115">
        <f>I37*долл</f>
        <v>72017.647058823524</v>
      </c>
      <c r="J38" s="115">
        <f>J37*долл</f>
        <v>72875</v>
      </c>
    </row>
    <row r="39" spans="1:10">
      <c r="A39" s="119" t="s">
        <v>249</v>
      </c>
      <c r="B39" s="87"/>
      <c r="C39" s="87" t="str">
        <f>C7</f>
        <v>Аналог 1</v>
      </c>
      <c r="D39" s="87" t="str">
        <f>D7</f>
        <v>Аналог 2</v>
      </c>
      <c r="E39" s="87" t="str">
        <f>E7</f>
        <v>Аналог 3</v>
      </c>
      <c r="G39" s="87" t="str">
        <f>G7</f>
        <v>Аналог 3</v>
      </c>
      <c r="H39" s="87" t="str">
        <f>H7</f>
        <v>Аналог 1</v>
      </c>
      <c r="I39" s="87" t="str">
        <f>I7</f>
        <v>Аналог 3</v>
      </c>
      <c r="J39" s="87" t="str">
        <f>J7</f>
        <v>Аналог 1</v>
      </c>
    </row>
    <row r="40" spans="1:10" s="113" customFormat="1" ht="14.25" hidden="1" customHeight="1" outlineLevel="1">
      <c r="A40" s="120" t="s">
        <v>250</v>
      </c>
      <c r="B40" s="121"/>
      <c r="C40" s="122">
        <v>1</v>
      </c>
      <c r="D40" s="122">
        <v>1</v>
      </c>
      <c r="E40" s="122">
        <v>1</v>
      </c>
      <c r="G40" s="122">
        <v>1</v>
      </c>
      <c r="H40" s="122">
        <v>1</v>
      </c>
      <c r="I40" s="122">
        <v>1</v>
      </c>
      <c r="J40" s="122">
        <v>1</v>
      </c>
    </row>
    <row r="41" spans="1:10" s="113" customFormat="1" ht="16.5" hidden="1" customHeight="1" outlineLevel="1">
      <c r="A41" s="123" t="s">
        <v>251</v>
      </c>
      <c r="B41" s="124"/>
      <c r="C41" s="124">
        <f>C40*C38</f>
        <v>84176.470588235301</v>
      </c>
      <c r="D41" s="124">
        <f>D40*D38</f>
        <v>90000</v>
      </c>
      <c r="E41" s="124">
        <f>E40*E38</f>
        <v>64203.200383566575</v>
      </c>
      <c r="G41" s="124">
        <f>G40*G38</f>
        <v>88984.210526315801</v>
      </c>
      <c r="H41" s="124">
        <f>H40*H38</f>
        <v>59645.855194123818</v>
      </c>
      <c r="I41" s="124">
        <f>I40*I38</f>
        <v>72017.647058823524</v>
      </c>
      <c r="J41" s="124">
        <f>J40*J38</f>
        <v>72875</v>
      </c>
    </row>
    <row r="42" spans="1:10" collapsed="1">
      <c r="A42" s="125" t="s">
        <v>252</v>
      </c>
      <c r="B42" s="126"/>
      <c r="C42" s="127">
        <v>0.95</v>
      </c>
      <c r="D42" s="127">
        <v>0.9</v>
      </c>
      <c r="E42" s="127">
        <v>0.9</v>
      </c>
      <c r="G42" s="127">
        <v>0.9</v>
      </c>
      <c r="H42" s="127">
        <v>0.9</v>
      </c>
      <c r="I42" s="127">
        <v>0.9</v>
      </c>
      <c r="J42" s="127">
        <v>0.9</v>
      </c>
    </row>
    <row r="43" spans="1:10" ht="15">
      <c r="A43" s="128" t="s">
        <v>251</v>
      </c>
      <c r="B43" s="129"/>
      <c r="C43" s="129">
        <f>C42*C41</f>
        <v>79967.647058823539</v>
      </c>
      <c r="D43" s="129">
        <f>D42*D41</f>
        <v>81000</v>
      </c>
      <c r="E43" s="129">
        <f>E42*E41</f>
        <v>57782.880345209916</v>
      </c>
      <c r="G43" s="129">
        <f>G42*G41</f>
        <v>80085.789473684228</v>
      </c>
      <c r="H43" s="129">
        <f>H42*H41</f>
        <v>53681.269674711439</v>
      </c>
      <c r="I43" s="129">
        <f>I42*I41</f>
        <v>64815.882352941175</v>
      </c>
      <c r="J43" s="129">
        <f>J42*J41</f>
        <v>65587.5</v>
      </c>
    </row>
    <row r="44" spans="1:10">
      <c r="A44" s="130" t="s">
        <v>253</v>
      </c>
      <c r="B44" s="115"/>
      <c r="C44" s="131">
        <v>1</v>
      </c>
      <c r="D44" s="131">
        <v>1</v>
      </c>
      <c r="E44" s="131">
        <v>1</v>
      </c>
      <c r="G44" s="131">
        <v>1.1000000000000001</v>
      </c>
      <c r="H44" s="131">
        <v>1</v>
      </c>
      <c r="I44" s="131">
        <v>1</v>
      </c>
      <c r="J44" s="131">
        <v>1</v>
      </c>
    </row>
    <row r="45" spans="1:10" ht="15">
      <c r="A45" s="132" t="s">
        <v>251</v>
      </c>
      <c r="B45" s="133"/>
      <c r="C45" s="133">
        <f>C44*C43</f>
        <v>79967.647058823539</v>
      </c>
      <c r="D45" s="133">
        <f>D44*D43</f>
        <v>81000</v>
      </c>
      <c r="E45" s="133">
        <f>E44*E43</f>
        <v>57782.880345209916</v>
      </c>
      <c r="G45" s="133">
        <f>G44*G43</f>
        <v>88094.368421052655</v>
      </c>
      <c r="H45" s="133">
        <f>H44*H43</f>
        <v>53681.269674711439</v>
      </c>
      <c r="I45" s="133">
        <f>I44*I43</f>
        <v>64815.882352941175</v>
      </c>
      <c r="J45" s="133">
        <f>J44*J43</f>
        <v>65587.5</v>
      </c>
    </row>
    <row r="46" spans="1:10">
      <c r="A46" s="130" t="s">
        <v>254</v>
      </c>
      <c r="B46" s="115"/>
      <c r="C46" s="131">
        <v>0.92</v>
      </c>
      <c r="D46" s="131">
        <v>0.8</v>
      </c>
      <c r="E46" s="131">
        <v>1.1000000000000001</v>
      </c>
      <c r="G46" s="131">
        <v>0.9</v>
      </c>
      <c r="H46" s="131">
        <v>0.9</v>
      </c>
      <c r="I46" s="131">
        <v>0.95</v>
      </c>
      <c r="J46" s="131">
        <v>1</v>
      </c>
    </row>
    <row r="47" spans="1:10" ht="15">
      <c r="A47" s="132" t="s">
        <v>251</v>
      </c>
      <c r="B47" s="133"/>
      <c r="C47" s="133">
        <f>C46*C45</f>
        <v>73570.235294117665</v>
      </c>
      <c r="D47" s="133">
        <f>D46*D45</f>
        <v>64800</v>
      </c>
      <c r="E47" s="133">
        <f>E46*E45</f>
        <v>63561.168379730916</v>
      </c>
      <c r="G47" s="133">
        <f>G46*G45</f>
        <v>79284.931578947391</v>
      </c>
      <c r="H47" s="133">
        <f>H46*H45</f>
        <v>48313.142707240295</v>
      </c>
      <c r="I47" s="133">
        <f>I46*I45</f>
        <v>61575.088235294112</v>
      </c>
      <c r="J47" s="133">
        <f>J46*J45</f>
        <v>65587.5</v>
      </c>
    </row>
    <row r="48" spans="1:10">
      <c r="A48" s="130" t="s">
        <v>255</v>
      </c>
      <c r="B48" s="115"/>
      <c r="C48" s="131">
        <v>1.1000000000000001</v>
      </c>
      <c r="D48" s="131">
        <v>1.1000000000000001</v>
      </c>
      <c r="E48" s="131">
        <v>1</v>
      </c>
      <c r="G48" s="131">
        <v>0.9</v>
      </c>
      <c r="H48" s="131">
        <v>1.1000000000000001</v>
      </c>
      <c r="I48" s="131">
        <v>0.92</v>
      </c>
      <c r="J48" s="131">
        <v>0.92</v>
      </c>
    </row>
    <row r="49" spans="1:10" ht="15">
      <c r="A49" s="132" t="s">
        <v>251</v>
      </c>
      <c r="B49" s="133"/>
      <c r="C49" s="133">
        <f>C48*C47</f>
        <v>80927.258823529439</v>
      </c>
      <c r="D49" s="133">
        <f>D48*D47</f>
        <v>71280</v>
      </c>
      <c r="E49" s="133">
        <f>E48*E47</f>
        <v>63561.168379730916</v>
      </c>
      <c r="G49" s="133">
        <f>G48*G47</f>
        <v>71356.438421052648</v>
      </c>
      <c r="H49" s="133">
        <f>H48*H47</f>
        <v>53144.456977964328</v>
      </c>
      <c r="I49" s="133">
        <f>I48*I47</f>
        <v>56649.081176470587</v>
      </c>
      <c r="J49" s="133">
        <f>J48*J47</f>
        <v>60340.5</v>
      </c>
    </row>
    <row r="50" spans="1:10">
      <c r="A50" s="130" t="s">
        <v>256</v>
      </c>
      <c r="B50" s="133"/>
      <c r="C50" s="131">
        <v>1</v>
      </c>
      <c r="D50" s="131">
        <v>1</v>
      </c>
      <c r="E50" s="131">
        <v>1</v>
      </c>
      <c r="G50" s="131">
        <v>1</v>
      </c>
      <c r="H50" s="131">
        <v>1</v>
      </c>
      <c r="I50" s="131">
        <v>1</v>
      </c>
      <c r="J50" s="131">
        <v>1</v>
      </c>
    </row>
    <row r="51" spans="1:10" ht="15">
      <c r="A51" s="132" t="s">
        <v>251</v>
      </c>
      <c r="B51" s="133"/>
      <c r="C51" s="133">
        <f>C49*C50</f>
        <v>80927.258823529439</v>
      </c>
      <c r="D51" s="133">
        <f>D49*D50</f>
        <v>71280</v>
      </c>
      <c r="E51" s="133">
        <f>E49*E50</f>
        <v>63561.168379730916</v>
      </c>
      <c r="G51" s="133">
        <f>G49*G50</f>
        <v>71356.438421052648</v>
      </c>
      <c r="H51" s="133">
        <f>H49*H50</f>
        <v>53144.456977964328</v>
      </c>
      <c r="I51" s="133">
        <f>I49*I50</f>
        <v>56649.081176470587</v>
      </c>
      <c r="J51" s="133">
        <f>J49*J50</f>
        <v>60340.5</v>
      </c>
    </row>
    <row r="52" spans="1:10">
      <c r="A52" s="130" t="s">
        <v>257</v>
      </c>
      <c r="B52" s="115"/>
      <c r="C52" s="131">
        <v>0.98</v>
      </c>
      <c r="D52" s="131">
        <v>1</v>
      </c>
      <c r="E52" s="131">
        <v>1</v>
      </c>
      <c r="G52" s="131">
        <v>0.98</v>
      </c>
      <c r="H52" s="131">
        <v>0.98</v>
      </c>
      <c r="I52" s="131">
        <v>0.98</v>
      </c>
      <c r="J52" s="131">
        <v>0.98</v>
      </c>
    </row>
    <row r="53" spans="1:10" ht="15">
      <c r="A53" s="132" t="s">
        <v>251</v>
      </c>
      <c r="B53" s="133"/>
      <c r="C53" s="133">
        <f>C52*C51</f>
        <v>79308.713647058845</v>
      </c>
      <c r="D53" s="133">
        <f>D52*D51</f>
        <v>71280</v>
      </c>
      <c r="E53" s="133">
        <f>E52*E51</f>
        <v>63561.168379730916</v>
      </c>
      <c r="G53" s="133">
        <f>G52*G51</f>
        <v>69929.309652631593</v>
      </c>
      <c r="H53" s="133">
        <f>H52*H51</f>
        <v>52081.567838405041</v>
      </c>
      <c r="I53" s="133">
        <f>I52*I51</f>
        <v>55516.099552941174</v>
      </c>
      <c r="J53" s="133">
        <f>J52*J51</f>
        <v>59133.69</v>
      </c>
    </row>
    <row r="54" spans="1:10" ht="13.5" customHeight="1">
      <c r="A54" s="125" t="s">
        <v>258</v>
      </c>
      <c r="B54" s="129"/>
      <c r="C54" s="127">
        <f>MROUND(C131,0.02)</f>
        <v>1.1200000000000001</v>
      </c>
      <c r="D54" s="127">
        <f>MROUND(D131,0.02)</f>
        <v>0.88</v>
      </c>
      <c r="E54" s="127">
        <f>MROUND(E131,0.02)</f>
        <v>0.86</v>
      </c>
      <c r="G54" s="127">
        <f>MROUND(G131,0.02)</f>
        <v>0.76</v>
      </c>
      <c r="H54" s="127">
        <f>MROUND(H131,0.02)</f>
        <v>1.04</v>
      </c>
      <c r="I54" s="127">
        <f>MROUND(I131,0.02)</f>
        <v>1.1599999999999999</v>
      </c>
      <c r="J54" s="127">
        <f>MROUND(J131,0.02)</f>
        <v>0.76</v>
      </c>
    </row>
    <row r="55" spans="1:10" s="113" customFormat="1" ht="15" outlineLevel="1">
      <c r="A55" s="128" t="s">
        <v>251</v>
      </c>
      <c r="B55" s="129"/>
      <c r="C55" s="129">
        <f>C54*C53</f>
        <v>88825.759284705913</v>
      </c>
      <c r="D55" s="129">
        <f>D54*D53</f>
        <v>62726.400000000001</v>
      </c>
      <c r="E55" s="129">
        <f>E54*E53</f>
        <v>54662.60480656859</v>
      </c>
      <c r="F55" s="74"/>
      <c r="G55" s="129">
        <f>G54*G53</f>
        <v>53146.275336000013</v>
      </c>
      <c r="H55" s="129">
        <f>H54*H53</f>
        <v>54164.830551941246</v>
      </c>
      <c r="I55" s="129">
        <f>I54*I53</f>
        <v>64398.675481411759</v>
      </c>
      <c r="J55" s="129">
        <f>J54*J53</f>
        <v>44941.604400000004</v>
      </c>
    </row>
    <row r="56" spans="1:10" s="113" customFormat="1" outlineLevel="1">
      <c r="A56" s="125" t="s">
        <v>259</v>
      </c>
      <c r="B56" s="126"/>
      <c r="C56" s="127">
        <v>1</v>
      </c>
      <c r="D56" s="127">
        <v>1</v>
      </c>
      <c r="E56" s="127">
        <v>1</v>
      </c>
      <c r="F56" s="74"/>
      <c r="G56" s="127">
        <v>1</v>
      </c>
      <c r="H56" s="127">
        <v>1</v>
      </c>
      <c r="I56" s="127">
        <v>1</v>
      </c>
      <c r="J56" s="127">
        <v>1</v>
      </c>
    </row>
    <row r="57" spans="1:10" ht="15">
      <c r="A57" s="128" t="s">
        <v>251</v>
      </c>
      <c r="B57" s="129"/>
      <c r="C57" s="129">
        <f>C56*C55</f>
        <v>88825.759284705913</v>
      </c>
      <c r="D57" s="129">
        <f>D56*D55</f>
        <v>62726.400000000001</v>
      </c>
      <c r="E57" s="129">
        <f>E56*E55</f>
        <v>54662.60480656859</v>
      </c>
      <c r="G57" s="129">
        <f>G56*G55</f>
        <v>53146.275336000013</v>
      </c>
      <c r="H57" s="129">
        <f>H56*H55</f>
        <v>54164.830551941246</v>
      </c>
      <c r="I57" s="129">
        <f>I56*I55</f>
        <v>64398.675481411759</v>
      </c>
      <c r="J57" s="129">
        <f>J56*J55</f>
        <v>44941.604400000004</v>
      </c>
    </row>
    <row r="58" spans="1:10">
      <c r="A58" s="130" t="s">
        <v>260</v>
      </c>
      <c r="B58" s="133"/>
      <c r="C58" s="131">
        <v>1</v>
      </c>
      <c r="D58" s="131">
        <v>0.92</v>
      </c>
      <c r="E58" s="131">
        <v>0.9</v>
      </c>
      <c r="G58" s="131">
        <v>0.95</v>
      </c>
      <c r="H58" s="131">
        <v>0.95</v>
      </c>
      <c r="I58" s="131">
        <v>1</v>
      </c>
      <c r="J58" s="131">
        <v>1</v>
      </c>
    </row>
    <row r="59" spans="1:10" ht="15">
      <c r="A59" s="132" t="s">
        <v>251</v>
      </c>
      <c r="B59" s="133"/>
      <c r="C59" s="133">
        <f>C58*C57</f>
        <v>88825.759284705913</v>
      </c>
      <c r="D59" s="133">
        <f>D58*D57</f>
        <v>57708.288</v>
      </c>
      <c r="E59" s="133">
        <f>E58*E57</f>
        <v>49196.344325911734</v>
      </c>
      <c r="G59" s="133">
        <f>G58*G57</f>
        <v>50488.961569200008</v>
      </c>
      <c r="H59" s="133">
        <f>H58*H57</f>
        <v>51456.589024344183</v>
      </c>
      <c r="I59" s="133">
        <f>I58*I57</f>
        <v>64398.675481411759</v>
      </c>
      <c r="J59" s="133">
        <f>J58*J57</f>
        <v>44941.604400000004</v>
      </c>
    </row>
    <row r="60" spans="1:10">
      <c r="A60" s="130" t="s">
        <v>261</v>
      </c>
      <c r="B60" s="133"/>
      <c r="C60" s="122">
        <v>1.1000000000000001</v>
      </c>
      <c r="D60" s="122">
        <v>1.1499999999999999</v>
      </c>
      <c r="E60" s="122">
        <v>1.2</v>
      </c>
      <c r="G60" s="131">
        <v>1.05</v>
      </c>
      <c r="H60" s="131">
        <v>0.95</v>
      </c>
      <c r="I60" s="131">
        <v>1.05</v>
      </c>
      <c r="J60" s="131">
        <v>1.05</v>
      </c>
    </row>
    <row r="61" spans="1:10" ht="15">
      <c r="A61" s="132" t="s">
        <v>251</v>
      </c>
      <c r="B61" s="133"/>
      <c r="C61" s="133">
        <f>C60*C59</f>
        <v>97708.335213176513</v>
      </c>
      <c r="D61" s="133">
        <f>D60*D59</f>
        <v>66364.531199999998</v>
      </c>
      <c r="E61" s="133">
        <f>E60*E59</f>
        <v>59035.613191094075</v>
      </c>
      <c r="G61" s="133">
        <f>G60*G59</f>
        <v>53013.40964766001</v>
      </c>
      <c r="H61" s="133">
        <f>H60*H59</f>
        <v>48883.759573126968</v>
      </c>
      <c r="I61" s="133">
        <f>I60*I59</f>
        <v>67618.609255482355</v>
      </c>
      <c r="J61" s="133">
        <f>J60*J59</f>
        <v>47188.684620000007</v>
      </c>
    </row>
    <row r="62" spans="1:10">
      <c r="A62" s="130" t="s">
        <v>262</v>
      </c>
      <c r="B62" s="115"/>
      <c r="C62" s="131">
        <v>1</v>
      </c>
      <c r="D62" s="131">
        <v>1</v>
      </c>
      <c r="E62" s="131">
        <v>1</v>
      </c>
      <c r="G62" s="131">
        <v>1</v>
      </c>
      <c r="H62" s="131">
        <v>1</v>
      </c>
      <c r="I62" s="131">
        <v>0.95</v>
      </c>
      <c r="J62" s="131">
        <v>0.95</v>
      </c>
    </row>
    <row r="63" spans="1:10" ht="15">
      <c r="A63" s="132" t="s">
        <v>251</v>
      </c>
      <c r="B63" s="133"/>
      <c r="C63" s="133">
        <f>C62*C61</f>
        <v>97708.335213176513</v>
      </c>
      <c r="D63" s="133">
        <f>D62*D61</f>
        <v>66364.531199999998</v>
      </c>
      <c r="E63" s="133">
        <f>E62*E61</f>
        <v>59035.613191094075</v>
      </c>
      <c r="G63" s="133">
        <f>G62*G61</f>
        <v>53013.40964766001</v>
      </c>
      <c r="H63" s="133">
        <f>H62*H61</f>
        <v>48883.759573126968</v>
      </c>
      <c r="I63" s="133">
        <f>I62*I61</f>
        <v>64237.678792708233</v>
      </c>
      <c r="J63" s="133">
        <f>J62*J61</f>
        <v>44829.250389000008</v>
      </c>
    </row>
    <row r="64" spans="1:10">
      <c r="A64" s="130" t="s">
        <v>263</v>
      </c>
      <c r="B64" s="133"/>
      <c r="C64" s="131">
        <v>1</v>
      </c>
      <c r="D64" s="131">
        <v>1</v>
      </c>
      <c r="E64" s="131">
        <v>1</v>
      </c>
      <c r="G64" s="131">
        <v>1</v>
      </c>
      <c r="H64" s="131">
        <v>1</v>
      </c>
      <c r="I64" s="131">
        <v>1</v>
      </c>
      <c r="J64" s="131">
        <v>1</v>
      </c>
    </row>
    <row r="65" spans="1:10" ht="15">
      <c r="A65" s="132" t="s">
        <v>251</v>
      </c>
      <c r="B65" s="133"/>
      <c r="C65" s="133">
        <f t="shared" ref="C65" si="1">C64*C63</f>
        <v>97708.335213176513</v>
      </c>
      <c r="D65" s="133">
        <f>D64*D63</f>
        <v>66364.531199999998</v>
      </c>
      <c r="E65" s="133">
        <f>E64*E63</f>
        <v>59035.613191094075</v>
      </c>
      <c r="G65" s="133">
        <f t="shared" ref="G65" si="2">G64*G63</f>
        <v>53013.40964766001</v>
      </c>
      <c r="H65" s="133">
        <f>H64*H63</f>
        <v>48883.759573126968</v>
      </c>
      <c r="I65" s="133">
        <f>I64*I63</f>
        <v>64237.678792708233</v>
      </c>
      <c r="J65" s="133">
        <f>J64*J63</f>
        <v>44829.250389000008</v>
      </c>
    </row>
    <row r="66" spans="1:10">
      <c r="A66" s="130" t="s">
        <v>264</v>
      </c>
      <c r="B66" s="133"/>
      <c r="C66" s="131">
        <v>0.98</v>
      </c>
      <c r="D66" s="131">
        <v>0.98</v>
      </c>
      <c r="E66" s="131">
        <v>0.98</v>
      </c>
      <c r="G66" s="131">
        <v>0.98</v>
      </c>
      <c r="H66" s="131">
        <v>0.98</v>
      </c>
      <c r="I66" s="131">
        <v>0.98</v>
      </c>
      <c r="J66" s="131">
        <v>0.98</v>
      </c>
    </row>
    <row r="67" spans="1:10" ht="15">
      <c r="A67" s="132" t="s">
        <v>251</v>
      </c>
      <c r="B67" s="133"/>
      <c r="C67" s="133">
        <f t="shared" ref="C67" si="3">C66*C65</f>
        <v>95754.168508912975</v>
      </c>
      <c r="D67" s="133">
        <f>D66*D65</f>
        <v>65037.240575999997</v>
      </c>
      <c r="E67" s="133">
        <f>E66*E65</f>
        <v>57854.900927272189</v>
      </c>
      <c r="G67" s="133">
        <f t="shared" ref="G67" si="4">G66*G65</f>
        <v>51953.141454706805</v>
      </c>
      <c r="H67" s="133">
        <f>H66*H65</f>
        <v>47906.084381664426</v>
      </c>
      <c r="I67" s="133">
        <f>I66*I65</f>
        <v>62952.92521685407</v>
      </c>
      <c r="J67" s="133">
        <f>J66*J65</f>
        <v>43932.665381220009</v>
      </c>
    </row>
    <row r="68" spans="1:10">
      <c r="A68" s="130" t="s">
        <v>265</v>
      </c>
      <c r="B68" s="115"/>
      <c r="C68" s="131">
        <v>1</v>
      </c>
      <c r="D68" s="131">
        <v>0.98</v>
      </c>
      <c r="E68" s="131">
        <v>1.02</v>
      </c>
      <c r="G68" s="131">
        <v>1</v>
      </c>
      <c r="H68" s="131">
        <v>1.02</v>
      </c>
      <c r="I68" s="131">
        <v>1</v>
      </c>
      <c r="J68" s="131">
        <v>1</v>
      </c>
    </row>
    <row r="69" spans="1:10" ht="15">
      <c r="A69" s="132" t="s">
        <v>251</v>
      </c>
      <c r="B69" s="133"/>
      <c r="C69" s="133">
        <f t="shared" ref="C69" si="5">C68*C67</f>
        <v>95754.168508912975</v>
      </c>
      <c r="D69" s="133">
        <f>D68*D67</f>
        <v>63736.495764479994</v>
      </c>
      <c r="E69" s="133">
        <f>E68*E67</f>
        <v>59011.998945817635</v>
      </c>
      <c r="G69" s="133">
        <f t="shared" ref="G69" si="6">G68*G67</f>
        <v>51953.141454706805</v>
      </c>
      <c r="H69" s="133">
        <f>H68*H67</f>
        <v>48864.206069297717</v>
      </c>
      <c r="I69" s="133">
        <f>I68*I67</f>
        <v>62952.92521685407</v>
      </c>
      <c r="J69" s="133">
        <f>J68*J67</f>
        <v>43932.665381220009</v>
      </c>
    </row>
    <row r="70" spans="1:10">
      <c r="A70" s="125" t="s">
        <v>266</v>
      </c>
      <c r="B70" s="126"/>
      <c r="C70" s="127">
        <f>C142</f>
        <v>0.9</v>
      </c>
      <c r="D70" s="127">
        <f>D142</f>
        <v>1.02</v>
      </c>
      <c r="E70" s="127">
        <f>E142</f>
        <v>0.94000000000000006</v>
      </c>
      <c r="G70" s="127">
        <f>G142</f>
        <v>0.96</v>
      </c>
      <c r="H70" s="127">
        <f>H142</f>
        <v>1.24</v>
      </c>
      <c r="I70" s="127">
        <f>I142</f>
        <v>1</v>
      </c>
      <c r="J70" s="127">
        <f>J142</f>
        <v>1.04</v>
      </c>
    </row>
    <row r="71" spans="1:10" ht="15">
      <c r="A71" s="128" t="s">
        <v>251</v>
      </c>
      <c r="B71" s="129"/>
      <c r="C71" s="129">
        <f>C70*C69</f>
        <v>86178.751658021676</v>
      </c>
      <c r="D71" s="129">
        <f>D70*D69</f>
        <v>65011.225679769595</v>
      </c>
      <c r="E71" s="129">
        <f>E70*E69</f>
        <v>55471.279009068581</v>
      </c>
      <c r="G71" s="129">
        <f>G70*G69</f>
        <v>49875.015796518528</v>
      </c>
      <c r="H71" s="129">
        <f>H70*H69</f>
        <v>60591.61552592917</v>
      </c>
      <c r="I71" s="129">
        <f>I70*I69</f>
        <v>62952.92521685407</v>
      </c>
      <c r="J71" s="129">
        <f>J70*J69</f>
        <v>45689.971996468812</v>
      </c>
    </row>
    <row r="72" spans="1:10">
      <c r="A72" s="130" t="s">
        <v>267</v>
      </c>
      <c r="B72" s="115"/>
      <c r="C72" s="131">
        <v>0.88</v>
      </c>
      <c r="D72" s="131">
        <v>0.92</v>
      </c>
      <c r="E72" s="131">
        <v>0.9</v>
      </c>
      <c r="G72" s="131">
        <v>0.92</v>
      </c>
      <c r="H72" s="131">
        <v>0.88</v>
      </c>
      <c r="I72" s="131">
        <v>0.9</v>
      </c>
      <c r="J72" s="131">
        <v>0.88</v>
      </c>
    </row>
    <row r="73" spans="1:10" ht="15">
      <c r="A73" s="132" t="s">
        <v>251</v>
      </c>
      <c r="B73" s="134"/>
      <c r="C73" s="133">
        <f>C72*C71</f>
        <v>75837.301459059076</v>
      </c>
      <c r="D73" s="133">
        <f>D72*D71</f>
        <v>59810.327625388032</v>
      </c>
      <c r="E73" s="133">
        <f>E72*E71</f>
        <v>49924.151108161721</v>
      </c>
      <c r="G73" s="133">
        <f>G72*G71</f>
        <v>45885.014532797046</v>
      </c>
      <c r="H73" s="133">
        <f>H72*H71</f>
        <v>53320.62166281767</v>
      </c>
      <c r="I73" s="133">
        <f>I72*I71</f>
        <v>56657.632695168664</v>
      </c>
      <c r="J73" s="133">
        <f>J72*J71</f>
        <v>40207.175356892556</v>
      </c>
    </row>
    <row r="74" spans="1:10">
      <c r="A74" s="130" t="s">
        <v>268</v>
      </c>
      <c r="B74" s="134"/>
      <c r="C74" s="131">
        <v>1.1000000000000001</v>
      </c>
      <c r="D74" s="131">
        <v>1.05</v>
      </c>
      <c r="E74" s="131">
        <v>1.1499999999999999</v>
      </c>
      <c r="G74" s="131">
        <v>1.1499999999999999</v>
      </c>
      <c r="H74" s="131">
        <v>1.1499999999999999</v>
      </c>
      <c r="I74" s="131">
        <v>1.1499999999999999</v>
      </c>
      <c r="J74" s="131">
        <v>1.1499999999999999</v>
      </c>
    </row>
    <row r="75" spans="1:10" ht="15">
      <c r="A75" s="132" t="s">
        <v>251</v>
      </c>
      <c r="B75" s="134"/>
      <c r="C75" s="133">
        <f>C73*C74</f>
        <v>83421.031604964985</v>
      </c>
      <c r="D75" s="133">
        <f>D73*D74</f>
        <v>62800.844006657433</v>
      </c>
      <c r="E75" s="133">
        <f>E73*E74</f>
        <v>57412.773774385976</v>
      </c>
      <c r="G75" s="133">
        <f>G73*G74</f>
        <v>52767.766712716599</v>
      </c>
      <c r="H75" s="133">
        <f>H73*H74</f>
        <v>61318.714912240313</v>
      </c>
      <c r="I75" s="133">
        <f>I73*I74</f>
        <v>65156.277599443958</v>
      </c>
      <c r="J75" s="133">
        <f>J73*J74</f>
        <v>46238.251660426438</v>
      </c>
    </row>
    <row r="76" spans="1:10">
      <c r="A76" s="130" t="s">
        <v>269</v>
      </c>
      <c r="B76" s="134"/>
      <c r="C76" s="131">
        <v>1</v>
      </c>
      <c r="D76" s="131">
        <v>1</v>
      </c>
      <c r="E76" s="131">
        <v>1</v>
      </c>
      <c r="G76" s="131">
        <v>1</v>
      </c>
      <c r="H76" s="131">
        <v>0.8</v>
      </c>
      <c r="I76" s="131">
        <v>1</v>
      </c>
      <c r="J76" s="131">
        <v>1</v>
      </c>
    </row>
    <row r="77" spans="1:10" ht="15">
      <c r="A77" s="132" t="s">
        <v>251</v>
      </c>
      <c r="B77" s="134"/>
      <c r="C77" s="133">
        <f>C75*C76</f>
        <v>83421.031604964985</v>
      </c>
      <c r="D77" s="133">
        <f>D75*D76</f>
        <v>62800.844006657433</v>
      </c>
      <c r="E77" s="133">
        <f>E75*E76</f>
        <v>57412.773774385976</v>
      </c>
      <c r="G77" s="133">
        <f>G75*G76</f>
        <v>52767.766712716599</v>
      </c>
      <c r="H77" s="133">
        <f>H75*H76</f>
        <v>49054.971929792257</v>
      </c>
      <c r="I77" s="133">
        <f>I75*I76</f>
        <v>65156.277599443958</v>
      </c>
      <c r="J77" s="133">
        <f>J75*J76</f>
        <v>46238.251660426438</v>
      </c>
    </row>
    <row r="78" spans="1:10" ht="15">
      <c r="A78" s="132" t="s">
        <v>270</v>
      </c>
      <c r="B78" s="133"/>
      <c r="C78" s="133">
        <f>C77/долл</f>
        <v>953.92832023973676</v>
      </c>
      <c r="D78" s="133">
        <f>D77/долл</f>
        <v>718.1342939583468</v>
      </c>
      <c r="E78" s="133">
        <f>E77/долл</f>
        <v>656.52114093065722</v>
      </c>
      <c r="G78" s="133">
        <f>G77/долл</f>
        <v>603.40499385610747</v>
      </c>
      <c r="H78" s="133">
        <f>H77/долл</f>
        <v>560.94879279350778</v>
      </c>
      <c r="I78" s="133">
        <f>I77/долл</f>
        <v>745.06892623720933</v>
      </c>
      <c r="J78" s="133">
        <f>J77/долл</f>
        <v>528.73929857548808</v>
      </c>
    </row>
    <row r="79" spans="1:10">
      <c r="A79" s="119" t="s">
        <v>271</v>
      </c>
      <c r="B79" s="87" t="s">
        <v>159</v>
      </c>
      <c r="C79" s="135"/>
      <c r="D79" s="135"/>
      <c r="E79" s="135"/>
      <c r="G79" s="135"/>
      <c r="H79" s="135"/>
      <c r="I79" s="135"/>
      <c r="J79" s="135"/>
    </row>
    <row r="80" spans="1:10" ht="15">
      <c r="A80" s="136" t="s">
        <v>272</v>
      </c>
      <c r="B80" s="115">
        <f>ROUND(AVERAGE(C77:E77),-1)</f>
        <v>67880</v>
      </c>
      <c r="C80" s="104"/>
      <c r="D80" s="104"/>
      <c r="E80" s="104"/>
      <c r="G80" s="104"/>
      <c r="H80" s="104"/>
      <c r="I80" s="104"/>
      <c r="J80" s="104"/>
    </row>
    <row r="81" spans="1:10" ht="14.25" customHeight="1">
      <c r="A81" s="136" t="s">
        <v>273</v>
      </c>
      <c r="B81" s="115">
        <f>ROUND(B80/долл,2)</f>
        <v>776.21</v>
      </c>
      <c r="C81" s="104"/>
      <c r="D81" s="104"/>
      <c r="E81" s="104"/>
      <c r="G81" s="104"/>
      <c r="H81" s="104"/>
      <c r="I81" s="104"/>
      <c r="J81" s="104"/>
    </row>
    <row r="82" spans="1:10">
      <c r="A82" s="132" t="s">
        <v>274</v>
      </c>
      <c r="B82" s="133">
        <f>ROUND(B80*B14,-3)</f>
        <v>1456786000</v>
      </c>
      <c r="C82" s="104"/>
      <c r="D82" s="104"/>
      <c r="E82" s="104"/>
      <c r="G82" s="104"/>
      <c r="H82" s="104"/>
      <c r="I82" s="104"/>
      <c r="J82" s="104"/>
    </row>
    <row r="83" spans="1:10">
      <c r="A83" s="132" t="s">
        <v>275</v>
      </c>
      <c r="B83" s="133">
        <f>ROUND(B82/долл,-2)</f>
        <v>16658500</v>
      </c>
      <c r="C83" s="133"/>
      <c r="D83" s="133"/>
      <c r="E83" s="133"/>
      <c r="G83" s="133"/>
      <c r="H83" s="133"/>
      <c r="I83" s="133"/>
      <c r="J83" s="133"/>
    </row>
    <row r="84" spans="1:10">
      <c r="A84" s="137"/>
      <c r="B84" s="138"/>
      <c r="C84" s="138"/>
      <c r="D84" s="138"/>
      <c r="E84" s="138"/>
      <c r="G84" s="138"/>
      <c r="H84" s="138"/>
      <c r="I84" s="138"/>
      <c r="J84" s="138"/>
    </row>
    <row r="85" spans="1:10">
      <c r="A85" s="137"/>
      <c r="B85" s="138"/>
      <c r="C85" s="138"/>
      <c r="D85" s="138"/>
      <c r="E85" s="138"/>
      <c r="G85" s="138"/>
      <c r="H85" s="138"/>
      <c r="I85" s="138"/>
      <c r="J85" s="138"/>
    </row>
    <row r="86" spans="1:10" ht="14.25">
      <c r="A86"/>
      <c r="B86"/>
      <c r="C86" s="138"/>
      <c r="D86" s="138"/>
      <c r="E86" s="138"/>
      <c r="G86" s="138"/>
      <c r="H86" s="138"/>
      <c r="I86" s="138"/>
      <c r="J86" s="138"/>
    </row>
    <row r="87" spans="1:10" ht="14.25">
      <c r="A87"/>
      <c r="B87"/>
      <c r="C87" s="138"/>
      <c r="D87" s="138"/>
      <c r="E87" s="138"/>
      <c r="G87" s="138"/>
      <c r="H87" s="138"/>
      <c r="I87" s="138"/>
      <c r="J87" s="138"/>
    </row>
    <row r="88" spans="1:10" ht="14.25">
      <c r="A88"/>
      <c r="B88"/>
      <c r="C88" s="138"/>
      <c r="D88" s="138"/>
      <c r="E88" s="138"/>
      <c r="G88" s="138"/>
      <c r="H88" s="138"/>
      <c r="I88" s="138"/>
      <c r="J88" s="138"/>
    </row>
    <row r="89" spans="1:10" ht="14.25">
      <c r="A89"/>
      <c r="B89"/>
      <c r="C89" s="138"/>
      <c r="D89" s="138"/>
      <c r="E89" s="138"/>
      <c r="G89" s="138"/>
      <c r="H89" s="138"/>
      <c r="I89" s="138"/>
      <c r="J89" s="138"/>
    </row>
    <row r="90" spans="1:10" ht="14.25">
      <c r="A90"/>
      <c r="B90"/>
      <c r="C90" s="138"/>
      <c r="D90" s="138"/>
      <c r="E90" s="138"/>
      <c r="G90" s="138"/>
      <c r="H90" s="138"/>
      <c r="I90" s="138"/>
      <c r="J90" s="138"/>
    </row>
    <row r="91" spans="1:10">
      <c r="A91" s="137"/>
      <c r="B91" s="138"/>
      <c r="C91" s="138"/>
      <c r="D91" s="138"/>
      <c r="E91" s="138"/>
      <c r="G91" s="138"/>
      <c r="H91" s="138"/>
      <c r="I91" s="138"/>
      <c r="J91" s="138"/>
    </row>
    <row r="92" spans="1:10">
      <c r="A92" s="137"/>
      <c r="B92" s="137"/>
      <c r="C92" s="138"/>
      <c r="D92" s="138"/>
      <c r="E92" s="138"/>
      <c r="G92" s="138"/>
      <c r="H92" s="138"/>
      <c r="I92" s="138"/>
      <c r="J92" s="138"/>
    </row>
    <row r="94" spans="1:10" ht="15">
      <c r="A94" s="196" t="s">
        <v>311</v>
      </c>
      <c r="B94" s="197">
        <f>SUM(B95:B103)</f>
        <v>21461.200000000001</v>
      </c>
      <c r="C94" s="197">
        <f t="shared" ref="C94" si="7">SUM(C95:C103)</f>
        <v>1870</v>
      </c>
      <c r="D94" s="197">
        <f>SUM(D95:D103)</f>
        <v>6996</v>
      </c>
      <c r="E94" s="197">
        <f>SUM(E95:E103)</f>
        <v>3337.1</v>
      </c>
      <c r="G94" s="140">
        <f t="shared" ref="G94" si="8">SUM(G95:G103)</f>
        <v>5699.9999999999991</v>
      </c>
      <c r="H94" s="140">
        <f>SUM(H95:H103)</f>
        <v>1906</v>
      </c>
      <c r="I94" s="140">
        <f>SUM(I95:I103)</f>
        <v>3400</v>
      </c>
      <c r="J94" s="140">
        <f>SUM(J95:J103)</f>
        <v>1800</v>
      </c>
    </row>
    <row r="95" spans="1:10">
      <c r="A95" s="185" t="str">
        <f t="shared" ref="A95:E102" si="9">A15</f>
        <v>произв класс 4</v>
      </c>
      <c r="B95" s="142">
        <f t="shared" si="9"/>
        <v>11633.8</v>
      </c>
      <c r="C95" s="142">
        <f t="shared" si="9"/>
        <v>1760</v>
      </c>
      <c r="D95" s="142">
        <f t="shared" si="9"/>
        <v>1112.2</v>
      </c>
      <c r="E95" s="142">
        <f t="shared" si="9"/>
        <v>0</v>
      </c>
      <c r="G95" s="142">
        <f t="shared" ref="G95:J98" si="10">G15</f>
        <v>877.69999999999993</v>
      </c>
      <c r="H95" s="142">
        <f t="shared" si="10"/>
        <v>1260</v>
      </c>
      <c r="I95" s="142">
        <f t="shared" si="10"/>
        <v>3400</v>
      </c>
      <c r="J95" s="142">
        <f t="shared" si="10"/>
        <v>258.7</v>
      </c>
    </row>
    <row r="96" spans="1:10">
      <c r="A96" s="185" t="str">
        <f t="shared" si="9"/>
        <v>произв класс 3</v>
      </c>
      <c r="B96" s="142">
        <f t="shared" si="9"/>
        <v>9671.5</v>
      </c>
      <c r="C96" s="142">
        <f t="shared" si="9"/>
        <v>0</v>
      </c>
      <c r="D96" s="142">
        <f t="shared" si="9"/>
        <v>5523.8</v>
      </c>
      <c r="E96" s="142">
        <f t="shared" si="9"/>
        <v>0</v>
      </c>
      <c r="G96" s="142">
        <f t="shared" si="10"/>
        <v>0</v>
      </c>
      <c r="H96" s="142">
        <f t="shared" si="10"/>
        <v>646</v>
      </c>
      <c r="I96" s="142">
        <f t="shared" si="10"/>
        <v>0</v>
      </c>
      <c r="J96" s="142">
        <f t="shared" si="10"/>
        <v>0</v>
      </c>
    </row>
    <row r="97" spans="1:10">
      <c r="A97" s="185" t="str">
        <f t="shared" si="9"/>
        <v>произв класс 2</v>
      </c>
      <c r="B97" s="142">
        <f t="shared" si="9"/>
        <v>0</v>
      </c>
      <c r="C97" s="142">
        <f t="shared" si="9"/>
        <v>0</v>
      </c>
      <c r="D97" s="142">
        <f t="shared" si="9"/>
        <v>0</v>
      </c>
      <c r="E97" s="142">
        <f t="shared" si="9"/>
        <v>1947.1</v>
      </c>
      <c r="G97" s="142">
        <f t="shared" si="10"/>
        <v>4822.2999999999993</v>
      </c>
      <c r="H97" s="142">
        <f t="shared" si="10"/>
        <v>0</v>
      </c>
      <c r="I97" s="142">
        <f t="shared" si="10"/>
        <v>0</v>
      </c>
      <c r="J97" s="142">
        <f t="shared" si="10"/>
        <v>1541.3</v>
      </c>
    </row>
    <row r="98" spans="1:10">
      <c r="A98" s="185" t="str">
        <f t="shared" si="9"/>
        <v>произв класс 1</v>
      </c>
      <c r="B98" s="142">
        <f t="shared" si="9"/>
        <v>0</v>
      </c>
      <c r="C98" s="142">
        <f t="shared" si="9"/>
        <v>0</v>
      </c>
      <c r="D98" s="142">
        <f t="shared" si="9"/>
        <v>0</v>
      </c>
      <c r="E98" s="142">
        <f t="shared" si="9"/>
        <v>0</v>
      </c>
      <c r="G98" s="142">
        <f t="shared" si="10"/>
        <v>0</v>
      </c>
      <c r="H98" s="142">
        <f t="shared" si="10"/>
        <v>0</v>
      </c>
      <c r="I98" s="142">
        <f t="shared" si="10"/>
        <v>0</v>
      </c>
      <c r="J98" s="142">
        <f t="shared" si="10"/>
        <v>0</v>
      </c>
    </row>
    <row r="99" spans="1:10">
      <c r="A99" s="186" t="str">
        <f t="shared" si="9"/>
        <v>гражд класс 4</v>
      </c>
      <c r="B99" s="142">
        <f t="shared" si="9"/>
        <v>155.9</v>
      </c>
      <c r="C99" s="142">
        <f t="shared" si="9"/>
        <v>110</v>
      </c>
      <c r="D99" s="142">
        <f t="shared" si="9"/>
        <v>0</v>
      </c>
      <c r="E99" s="142">
        <f t="shared" si="9"/>
        <v>0</v>
      </c>
      <c r="G99" s="142"/>
      <c r="H99" s="142"/>
      <c r="I99" s="142"/>
      <c r="J99" s="142"/>
    </row>
    <row r="100" spans="1:10">
      <c r="A100" s="186" t="str">
        <f t="shared" si="9"/>
        <v>гражд класс 3</v>
      </c>
      <c r="B100" s="142">
        <f t="shared" si="9"/>
        <v>0</v>
      </c>
      <c r="C100" s="142">
        <f t="shared" si="9"/>
        <v>0</v>
      </c>
      <c r="D100" s="142">
        <f t="shared" si="9"/>
        <v>360</v>
      </c>
      <c r="E100" s="142">
        <f t="shared" si="9"/>
        <v>1390</v>
      </c>
      <c r="G100" s="142"/>
      <c r="H100" s="142"/>
      <c r="I100" s="142"/>
      <c r="J100" s="142"/>
    </row>
    <row r="101" spans="1:10">
      <c r="A101" s="186" t="str">
        <f t="shared" si="9"/>
        <v>гражд класс 2</v>
      </c>
      <c r="B101" s="142">
        <f t="shared" si="9"/>
        <v>0</v>
      </c>
      <c r="C101" s="142">
        <f t="shared" si="9"/>
        <v>0</v>
      </c>
      <c r="D101" s="142">
        <f t="shared" si="9"/>
        <v>0</v>
      </c>
      <c r="E101" s="142">
        <f t="shared" si="9"/>
        <v>0</v>
      </c>
      <c r="G101" s="142"/>
      <c r="H101" s="142"/>
      <c r="I101" s="142"/>
      <c r="J101" s="142"/>
    </row>
    <row r="102" spans="1:10">
      <c r="A102" s="186" t="str">
        <f t="shared" si="9"/>
        <v>гражд класс 1</v>
      </c>
      <c r="B102" s="142">
        <f t="shared" si="9"/>
        <v>0</v>
      </c>
      <c r="C102" s="142">
        <f t="shared" si="9"/>
        <v>0</v>
      </c>
      <c r="D102" s="142">
        <f t="shared" si="9"/>
        <v>0</v>
      </c>
      <c r="E102" s="142">
        <f t="shared" si="9"/>
        <v>0</v>
      </c>
      <c r="G102" s="142"/>
      <c r="H102" s="142"/>
      <c r="I102" s="142"/>
      <c r="J102" s="142"/>
    </row>
    <row r="103" spans="1:10">
      <c r="A103" s="141" t="str">
        <f t="shared" ref="A103:E103" si="11">A23</f>
        <v>прочие</v>
      </c>
      <c r="B103" s="142">
        <f t="shared" si="11"/>
        <v>0</v>
      </c>
      <c r="C103" s="142">
        <f t="shared" si="11"/>
        <v>0</v>
      </c>
      <c r="D103" s="142">
        <f t="shared" si="11"/>
        <v>0</v>
      </c>
      <c r="E103" s="142">
        <f t="shared" si="11"/>
        <v>0</v>
      </c>
      <c r="G103" s="144">
        <f t="shared" ref="G103:J103" si="12">G23</f>
        <v>0</v>
      </c>
      <c r="H103" s="144">
        <f t="shared" si="12"/>
        <v>0</v>
      </c>
      <c r="I103" s="144">
        <f t="shared" si="12"/>
        <v>0</v>
      </c>
      <c r="J103" s="144">
        <f t="shared" si="12"/>
        <v>0</v>
      </c>
    </row>
    <row r="104" spans="1:10">
      <c r="A104" s="145"/>
      <c r="B104" s="145"/>
      <c r="C104" s="145"/>
      <c r="D104" s="145"/>
      <c r="E104" s="145"/>
      <c r="G104" s="145"/>
      <c r="H104" s="145"/>
      <c r="I104" s="145"/>
      <c r="J104" s="145"/>
    </row>
    <row r="105" spans="1:10">
      <c r="B105" s="145"/>
      <c r="C105" s="145"/>
      <c r="D105" s="145"/>
      <c r="E105" s="145"/>
      <c r="G105" s="145"/>
      <c r="H105" s="145"/>
      <c r="I105" s="145"/>
      <c r="J105" s="145"/>
    </row>
    <row r="106" spans="1:10" ht="14.25">
      <c r="A106" s="194" t="s">
        <v>277</v>
      </c>
      <c r="B106" s="195"/>
      <c r="C106" s="195"/>
      <c r="D106" s="195"/>
      <c r="E106" s="195"/>
      <c r="G106" s="144"/>
      <c r="H106" s="144"/>
      <c r="I106" s="144"/>
      <c r="J106" s="144"/>
    </row>
    <row r="107" spans="1:10">
      <c r="A107" s="190">
        <v>0.33</v>
      </c>
      <c r="B107" s="147">
        <f>B95/B$94</f>
        <v>0.54208525152367992</v>
      </c>
      <c r="C107" s="147">
        <f>C95/C$94</f>
        <v>0.94117647058823528</v>
      </c>
      <c r="D107" s="147">
        <f>D95/D$94</f>
        <v>0.15897655803316182</v>
      </c>
      <c r="E107" s="147">
        <f>E95/E$94</f>
        <v>0</v>
      </c>
      <c r="F107" s="74">
        <v>0.22</v>
      </c>
      <c r="G107" s="147">
        <f t="shared" ref="G107:J109" si="13">G95/G$94</f>
        <v>0.15398245614035089</v>
      </c>
      <c r="H107" s="147">
        <f t="shared" si="13"/>
        <v>0.66107030430220359</v>
      </c>
      <c r="I107" s="147">
        <f t="shared" si="13"/>
        <v>1</v>
      </c>
      <c r="J107" s="147">
        <f t="shared" si="13"/>
        <v>0.14372222222222222</v>
      </c>
    </row>
    <row r="108" spans="1:10">
      <c r="A108" s="190">
        <v>0.55000000000000004</v>
      </c>
      <c r="B108" s="147">
        <f t="shared" ref="B108:E115" si="14">B96/B$94</f>
        <v>0.4506504762082269</v>
      </c>
      <c r="C108" s="147">
        <f t="shared" si="14"/>
        <v>0</v>
      </c>
      <c r="D108" s="147">
        <f t="shared" si="14"/>
        <v>0.78956546598056032</v>
      </c>
      <c r="E108" s="147">
        <f t="shared" si="14"/>
        <v>0</v>
      </c>
      <c r="F108" s="74">
        <v>0.44</v>
      </c>
      <c r="G108" s="147">
        <f t="shared" si="13"/>
        <v>0</v>
      </c>
      <c r="H108" s="147">
        <f t="shared" si="13"/>
        <v>0.33892969569779641</v>
      </c>
      <c r="I108" s="147">
        <f t="shared" si="13"/>
        <v>0</v>
      </c>
      <c r="J108" s="147">
        <f t="shared" si="13"/>
        <v>0</v>
      </c>
    </row>
    <row r="109" spans="1:10">
      <c r="A109" s="190">
        <v>0.77</v>
      </c>
      <c r="B109" s="147">
        <f t="shared" si="14"/>
        <v>0</v>
      </c>
      <c r="C109" s="147">
        <f t="shared" si="14"/>
        <v>0</v>
      </c>
      <c r="D109" s="147">
        <f t="shared" si="14"/>
        <v>0</v>
      </c>
      <c r="E109" s="147">
        <f t="shared" si="14"/>
        <v>0.5834706781337089</v>
      </c>
      <c r="F109" s="74">
        <v>0.66</v>
      </c>
      <c r="G109" s="147">
        <f t="shared" si="13"/>
        <v>0.84601754385964911</v>
      </c>
      <c r="H109" s="147">
        <f t="shared" si="13"/>
        <v>0</v>
      </c>
      <c r="I109" s="147">
        <f t="shared" si="13"/>
        <v>0</v>
      </c>
      <c r="J109" s="147">
        <f t="shared" si="13"/>
        <v>0.8562777777777778</v>
      </c>
    </row>
    <row r="110" spans="1:10">
      <c r="A110" s="190">
        <v>1</v>
      </c>
      <c r="B110" s="147">
        <f t="shared" si="14"/>
        <v>0</v>
      </c>
      <c r="C110" s="147">
        <f t="shared" si="14"/>
        <v>0</v>
      </c>
      <c r="D110" s="147">
        <f t="shared" si="14"/>
        <v>0</v>
      </c>
      <c r="E110" s="147">
        <f t="shared" si="14"/>
        <v>0</v>
      </c>
      <c r="F110" s="74">
        <v>0.89</v>
      </c>
      <c r="G110" s="147"/>
      <c r="H110" s="147"/>
      <c r="I110" s="147"/>
      <c r="J110" s="147"/>
    </row>
    <row r="111" spans="1:10">
      <c r="A111" s="192">
        <v>0.33</v>
      </c>
      <c r="B111" s="147">
        <f t="shared" si="14"/>
        <v>7.2642722680931167E-3</v>
      </c>
      <c r="C111" s="147">
        <f t="shared" si="14"/>
        <v>5.8823529411764705E-2</v>
      </c>
      <c r="D111" s="147">
        <f t="shared" si="14"/>
        <v>0</v>
      </c>
      <c r="E111" s="147">
        <f t="shared" si="14"/>
        <v>0</v>
      </c>
      <c r="F111" s="74">
        <v>0.24</v>
      </c>
      <c r="G111" s="147"/>
      <c r="H111" s="147"/>
      <c r="I111" s="147"/>
      <c r="J111" s="147"/>
    </row>
    <row r="112" spans="1:10">
      <c r="A112" s="192">
        <v>0.55000000000000004</v>
      </c>
      <c r="B112" s="147">
        <f t="shared" si="14"/>
        <v>0</v>
      </c>
      <c r="C112" s="147">
        <f t="shared" si="14"/>
        <v>0</v>
      </c>
      <c r="D112" s="147">
        <f t="shared" si="14"/>
        <v>5.1457975986277875E-2</v>
      </c>
      <c r="E112" s="147">
        <f t="shared" si="14"/>
        <v>0.4165293218662911</v>
      </c>
      <c r="F112" s="74">
        <v>0.44</v>
      </c>
      <c r="G112" s="147"/>
      <c r="H112" s="147"/>
      <c r="I112" s="147"/>
      <c r="J112" s="147"/>
    </row>
    <row r="113" spans="1:10">
      <c r="A113" s="192">
        <v>0.77</v>
      </c>
      <c r="B113" s="147">
        <f t="shared" si="14"/>
        <v>0</v>
      </c>
      <c r="C113" s="147">
        <f t="shared" si="14"/>
        <v>0</v>
      </c>
      <c r="D113" s="147">
        <f t="shared" si="14"/>
        <v>0</v>
      </c>
      <c r="E113" s="147">
        <f t="shared" si="14"/>
        <v>0</v>
      </c>
      <c r="F113" s="74">
        <v>0.66</v>
      </c>
      <c r="G113" s="147"/>
      <c r="H113" s="147"/>
      <c r="I113" s="147"/>
      <c r="J113" s="147"/>
    </row>
    <row r="114" spans="1:10">
      <c r="A114" s="192">
        <v>1</v>
      </c>
      <c r="B114" s="147">
        <f t="shared" si="14"/>
        <v>0</v>
      </c>
      <c r="C114" s="147">
        <f t="shared" si="14"/>
        <v>0</v>
      </c>
      <c r="D114" s="147">
        <f t="shared" si="14"/>
        <v>0</v>
      </c>
      <c r="E114" s="147">
        <f t="shared" si="14"/>
        <v>0</v>
      </c>
      <c r="F114" s="74">
        <v>0.89</v>
      </c>
      <c r="G114" s="147">
        <f>G98/G$94</f>
        <v>0</v>
      </c>
      <c r="H114" s="147">
        <f>H98/H$94</f>
        <v>0</v>
      </c>
      <c r="I114" s="147">
        <f>I98/I$94</f>
        <v>0</v>
      </c>
      <c r="J114" s="147">
        <f>J98/J$94</f>
        <v>0</v>
      </c>
    </row>
    <row r="115" spans="1:10">
      <c r="A115" s="148">
        <v>0.05</v>
      </c>
      <c r="B115" s="147">
        <f t="shared" si="14"/>
        <v>0</v>
      </c>
      <c r="C115" s="147">
        <f t="shared" si="14"/>
        <v>0</v>
      </c>
      <c r="D115" s="147">
        <f t="shared" si="14"/>
        <v>0</v>
      </c>
      <c r="E115" s="147">
        <f t="shared" si="14"/>
        <v>0</v>
      </c>
      <c r="G115" s="191"/>
      <c r="H115" s="191"/>
      <c r="I115" s="191"/>
      <c r="J115" s="191"/>
    </row>
    <row r="116" spans="1:10">
      <c r="B116" s="149"/>
      <c r="C116" s="149"/>
      <c r="D116" s="149"/>
      <c r="E116" s="149"/>
      <c r="G116" s="149"/>
      <c r="H116" s="149"/>
      <c r="I116" s="149"/>
      <c r="J116" s="149"/>
    </row>
    <row r="117" spans="1:10">
      <c r="A117" s="193" t="s">
        <v>278</v>
      </c>
      <c r="B117" s="193"/>
      <c r="C117" s="193"/>
      <c r="D117" s="193"/>
      <c r="E117" s="193"/>
      <c r="G117" s="145"/>
      <c r="H117" s="145"/>
      <c r="I117" s="145"/>
      <c r="J117" s="145"/>
    </row>
    <row r="118" spans="1:10">
      <c r="A118" s="146"/>
      <c r="B118" s="147">
        <f>$A107*B107</f>
        <v>0.17888813300281439</v>
      </c>
      <c r="C118" s="147">
        <f>$A107*C107</f>
        <v>0.31058823529411766</v>
      </c>
      <c r="D118" s="147">
        <f>$A107*D107</f>
        <v>5.2462264150943405E-2</v>
      </c>
      <c r="E118" s="147">
        <f>$A107*E107</f>
        <v>0</v>
      </c>
      <c r="G118" s="147">
        <f t="shared" ref="G118:J120" si="15">$A107*G107</f>
        <v>5.0814210526315795E-2</v>
      </c>
      <c r="H118" s="147">
        <f t="shared" si="15"/>
        <v>0.21815320041972719</v>
      </c>
      <c r="I118" s="147">
        <f t="shared" si="15"/>
        <v>0.33</v>
      </c>
      <c r="J118" s="147">
        <f t="shared" si="15"/>
        <v>4.7428333333333336E-2</v>
      </c>
    </row>
    <row r="119" spans="1:10">
      <c r="A119" s="146"/>
      <c r="B119" s="147">
        <f t="shared" ref="B119:E126" si="16">$A108*B108</f>
        <v>0.24785776191452483</v>
      </c>
      <c r="C119" s="147">
        <f t="shared" si="16"/>
        <v>0</v>
      </c>
      <c r="D119" s="147">
        <f t="shared" si="16"/>
        <v>0.43426100628930819</v>
      </c>
      <c r="E119" s="147">
        <f t="shared" si="16"/>
        <v>0</v>
      </c>
      <c r="G119" s="147">
        <f t="shared" si="15"/>
        <v>0</v>
      </c>
      <c r="H119" s="147">
        <f t="shared" si="15"/>
        <v>0.18641133263378803</v>
      </c>
      <c r="I119" s="147">
        <f t="shared" si="15"/>
        <v>0</v>
      </c>
      <c r="J119" s="147">
        <f t="shared" si="15"/>
        <v>0</v>
      </c>
    </row>
    <row r="120" spans="1:10">
      <c r="A120" s="146"/>
      <c r="B120" s="147">
        <f t="shared" si="16"/>
        <v>0</v>
      </c>
      <c r="C120" s="147">
        <f t="shared" si="16"/>
        <v>0</v>
      </c>
      <c r="D120" s="147">
        <f t="shared" si="16"/>
        <v>0</v>
      </c>
      <c r="E120" s="147">
        <f t="shared" si="16"/>
        <v>0.44927242216295588</v>
      </c>
      <c r="G120" s="147">
        <f t="shared" si="15"/>
        <v>0.65143350877192985</v>
      </c>
      <c r="H120" s="147">
        <f t="shared" si="15"/>
        <v>0</v>
      </c>
      <c r="I120" s="147">
        <f t="shared" si="15"/>
        <v>0</v>
      </c>
      <c r="J120" s="147">
        <f t="shared" si="15"/>
        <v>0.65933388888888889</v>
      </c>
    </row>
    <row r="121" spans="1:10">
      <c r="A121" s="146"/>
      <c r="B121" s="147">
        <f t="shared" si="16"/>
        <v>0</v>
      </c>
      <c r="C121" s="147">
        <f t="shared" si="16"/>
        <v>0</v>
      </c>
      <c r="D121" s="147">
        <f t="shared" si="16"/>
        <v>0</v>
      </c>
      <c r="E121" s="147">
        <f t="shared" si="16"/>
        <v>0</v>
      </c>
      <c r="G121" s="147"/>
      <c r="H121" s="147"/>
      <c r="I121" s="147"/>
      <c r="J121" s="147"/>
    </row>
    <row r="122" spans="1:10">
      <c r="A122" s="146"/>
      <c r="B122" s="147">
        <f t="shared" si="16"/>
        <v>2.3972098484707285E-3</v>
      </c>
      <c r="C122" s="147">
        <f t="shared" si="16"/>
        <v>1.9411764705882354E-2</v>
      </c>
      <c r="D122" s="147">
        <f t="shared" si="16"/>
        <v>0</v>
      </c>
      <c r="E122" s="147">
        <f t="shared" si="16"/>
        <v>0</v>
      </c>
      <c r="G122" s="147"/>
      <c r="H122" s="147"/>
      <c r="I122" s="147"/>
      <c r="J122" s="147"/>
    </row>
    <row r="123" spans="1:10">
      <c r="A123" s="146"/>
      <c r="B123" s="147">
        <f t="shared" si="16"/>
        <v>0</v>
      </c>
      <c r="C123" s="147">
        <f t="shared" si="16"/>
        <v>0</v>
      </c>
      <c r="D123" s="147">
        <f t="shared" si="16"/>
        <v>2.8301886792452834E-2</v>
      </c>
      <c r="E123" s="147">
        <f t="shared" si="16"/>
        <v>0.22909112702646012</v>
      </c>
      <c r="G123" s="147"/>
      <c r="H123" s="147"/>
      <c r="I123" s="147"/>
      <c r="J123" s="147"/>
    </row>
    <row r="124" spans="1:10">
      <c r="A124" s="146"/>
      <c r="B124" s="147">
        <f t="shared" si="16"/>
        <v>0</v>
      </c>
      <c r="C124" s="147">
        <f t="shared" si="16"/>
        <v>0</v>
      </c>
      <c r="D124" s="147">
        <f t="shared" si="16"/>
        <v>0</v>
      </c>
      <c r="E124" s="147">
        <f t="shared" si="16"/>
        <v>0</v>
      </c>
      <c r="G124" s="147"/>
      <c r="H124" s="147"/>
      <c r="I124" s="147"/>
      <c r="J124" s="147"/>
    </row>
    <row r="125" spans="1:10">
      <c r="A125" s="146"/>
      <c r="B125" s="147">
        <f t="shared" si="16"/>
        <v>0</v>
      </c>
      <c r="C125" s="147">
        <f t="shared" si="16"/>
        <v>0</v>
      </c>
      <c r="D125" s="147">
        <f t="shared" si="16"/>
        <v>0</v>
      </c>
      <c r="E125" s="147">
        <f t="shared" si="16"/>
        <v>0</v>
      </c>
      <c r="G125" s="147">
        <f t="shared" ref="G125:J125" si="17">$A114*G114</f>
        <v>0</v>
      </c>
      <c r="H125" s="147">
        <f t="shared" si="17"/>
        <v>0</v>
      </c>
      <c r="I125" s="147">
        <f t="shared" si="17"/>
        <v>0</v>
      </c>
      <c r="J125" s="147">
        <f t="shared" si="17"/>
        <v>0</v>
      </c>
    </row>
    <row r="126" spans="1:10">
      <c r="A126" s="146"/>
      <c r="B126" s="147">
        <f t="shared" si="16"/>
        <v>0</v>
      </c>
      <c r="C126" s="147">
        <f t="shared" si="16"/>
        <v>0</v>
      </c>
      <c r="D126" s="147">
        <f t="shared" si="16"/>
        <v>0</v>
      </c>
      <c r="E126" s="147">
        <f t="shared" si="16"/>
        <v>0</v>
      </c>
      <c r="G126" s="147"/>
      <c r="H126" s="147"/>
      <c r="I126" s="147"/>
      <c r="J126" s="147"/>
    </row>
    <row r="127" spans="1:10">
      <c r="A127" s="151" t="s">
        <v>279</v>
      </c>
      <c r="B127" s="152">
        <f>SUM(B118:B126)</f>
        <v>0.42914310476580997</v>
      </c>
      <c r="C127" s="152">
        <f t="shared" ref="C127:E127" si="18">SUM(C118:C126)</f>
        <v>0.33</v>
      </c>
      <c r="D127" s="152">
        <f t="shared" si="18"/>
        <v>0.51502515723270448</v>
      </c>
      <c r="E127" s="152">
        <f t="shared" si="18"/>
        <v>0.67836354918941599</v>
      </c>
      <c r="G127" s="152">
        <f t="shared" ref="G127" si="19">SUM(G118:G125)</f>
        <v>0.7022477192982457</v>
      </c>
      <c r="H127" s="152">
        <f>SUM(H118:H125)</f>
        <v>0.40456453305351525</v>
      </c>
      <c r="I127" s="152">
        <f>SUM(I118:I125)</f>
        <v>0.33</v>
      </c>
      <c r="J127" s="152">
        <f>SUM(J118:J125)</f>
        <v>0.70676222222222218</v>
      </c>
    </row>
    <row r="128" spans="1:10">
      <c r="A128" s="150" t="s">
        <v>280</v>
      </c>
      <c r="B128" s="153"/>
      <c r="C128" s="154">
        <f>$B$127/C127</f>
        <v>1.3004336508054848</v>
      </c>
      <c r="D128" s="154">
        <f>$B$127/D127</f>
        <v>0.83324687879646564</v>
      </c>
      <c r="E128" s="154">
        <f>$B$127/E127</f>
        <v>0.6326152183126551</v>
      </c>
      <c r="G128" s="154">
        <f>$B$127/G127</f>
        <v>0.61109932146828694</v>
      </c>
      <c r="H128" s="154">
        <f>$B$127/H127</f>
        <v>1.0607531548225051</v>
      </c>
      <c r="I128" s="154">
        <f>$B$127/I127</f>
        <v>1.3004336508054848</v>
      </c>
      <c r="J128" s="154">
        <f>$B$127/J127</f>
        <v>0.60719587333981406</v>
      </c>
    </row>
    <row r="129" spans="1:10">
      <c r="A129" s="155" t="s">
        <v>281</v>
      </c>
      <c r="B129" s="144">
        <f t="shared" ref="B129" si="20">$B$136*B29</f>
        <v>7919865.4088050313</v>
      </c>
      <c r="C129" s="144">
        <f>$B$136*C29</f>
        <v>1027069.1823899371</v>
      </c>
      <c r="D129" s="144">
        <f>$B$136*D29</f>
        <v>2365257.8616352202</v>
      </c>
      <c r="E129" s="144">
        <f t="shared" ref="E129" si="21">$B$136*E29</f>
        <v>1461886.7924528301</v>
      </c>
      <c r="G129" s="144">
        <f>$B$136*G29</f>
        <v>2293100.6289308174</v>
      </c>
      <c r="H129" s="144">
        <f>$B$136*H29</f>
        <v>243647.79874213834</v>
      </c>
      <c r="I129" s="144">
        <f t="shared" ref="I129" si="22">$B$136*I29</f>
        <v>1218238.9937106918</v>
      </c>
      <c r="J129" s="144">
        <f>$B$136*J29</f>
        <v>599748.42767295591</v>
      </c>
    </row>
    <row r="130" spans="1:10">
      <c r="A130" s="150" t="s">
        <v>282</v>
      </c>
      <c r="B130" s="156"/>
      <c r="C130" s="157">
        <f>1-C129/C35</f>
        <v>0.42940600978336829</v>
      </c>
      <c r="D130" s="157">
        <f>1-D129/D35</f>
        <v>0.67149196366177499</v>
      </c>
      <c r="E130" s="157">
        <f>1-E129/E35</f>
        <v>0.40331151328455916</v>
      </c>
      <c r="G130" s="157">
        <f>1-G129/G35</f>
        <v>0.60463782259813492</v>
      </c>
      <c r="H130" s="157">
        <f>1-H129/H35</f>
        <v>0.8125786163522013</v>
      </c>
      <c r="I130" s="157">
        <f>1-I129/I35</f>
        <v>0.56491464510332434</v>
      </c>
      <c r="J130" s="157">
        <f>1-J129/J35</f>
        <v>0.600167714884696</v>
      </c>
    </row>
    <row r="131" spans="1:10">
      <c r="A131" s="158" t="s">
        <v>283</v>
      </c>
      <c r="B131" s="159"/>
      <c r="C131" s="160">
        <f>1-(1-C128)*C130</f>
        <v>1.129008015197033</v>
      </c>
      <c r="D131" s="160">
        <f>1-(1-D128)*D130</f>
        <v>0.88802661919630876</v>
      </c>
      <c r="E131" s="160">
        <f>1-(1-E128)*E130</f>
        <v>0.85182948773995948</v>
      </c>
      <c r="G131" s="160">
        <f>1-(1-G128)*G130</f>
        <v>0.76485594052564776</v>
      </c>
      <c r="H131" s="160">
        <f>1-(1-H128)*H130</f>
        <v>1.0493667144847023</v>
      </c>
      <c r="I131" s="160">
        <f>1-(1-I128)*I130</f>
        <v>1.1697193692218766</v>
      </c>
      <c r="J131" s="160">
        <f>1-(1-J128)*J130</f>
        <v>0.76425164490507758</v>
      </c>
    </row>
    <row r="133" spans="1:10">
      <c r="C133" s="161"/>
      <c r="D133" s="161"/>
      <c r="E133" s="161"/>
      <c r="G133" s="161"/>
      <c r="H133" s="161"/>
      <c r="I133" s="161"/>
      <c r="J133" s="161"/>
    </row>
    <row r="135" spans="1:10">
      <c r="A135" s="162" t="s">
        <v>284</v>
      </c>
      <c r="B135" s="147">
        <f>B29/B14</f>
        <v>1.9689952099603003</v>
      </c>
      <c r="C135" s="147">
        <f>C29/C14</f>
        <v>2.9304812834224601</v>
      </c>
      <c r="D135" s="147">
        <f>D29/D14</f>
        <v>1.8038879359634077</v>
      </c>
      <c r="E135" s="147">
        <f>E29/E14</f>
        <v>2.337358784573432</v>
      </c>
      <c r="G135" s="147">
        <f>G29/G14</f>
        <v>2.1464912280701758</v>
      </c>
      <c r="H135" s="147">
        <f>H29/H14</f>
        <v>0.6820566631689402</v>
      </c>
      <c r="I135" s="147">
        <f>I29/I14</f>
        <v>1.911764705882353</v>
      </c>
      <c r="J135" s="147">
        <f>J29/J14</f>
        <v>1.7777777777777777</v>
      </c>
    </row>
    <row r="136" spans="1:10" ht="18">
      <c r="A136" s="163" t="s">
        <v>285</v>
      </c>
      <c r="B136" s="164">
        <v>187.42138364779873</v>
      </c>
      <c r="C136" s="147">
        <f>$B$135-C135</f>
        <v>-0.96148607346215975</v>
      </c>
      <c r="D136" s="147">
        <f>$B$135-D135</f>
        <v>0.16510727399689262</v>
      </c>
      <c r="E136" s="147">
        <f>$B$135-E135</f>
        <v>-0.36836357461313174</v>
      </c>
      <c r="G136" s="147">
        <f>$B$135-G135</f>
        <v>-0.17749601810987548</v>
      </c>
      <c r="H136" s="147">
        <f>$B$135-H135</f>
        <v>1.2869385467913601</v>
      </c>
      <c r="I136" s="147">
        <f>$B$135-I135</f>
        <v>5.7230504077947275E-2</v>
      </c>
      <c r="J136" s="147">
        <f>$B$135-J135</f>
        <v>0.19121743218252263</v>
      </c>
    </row>
    <row r="137" spans="1:10">
      <c r="A137" s="146"/>
      <c r="B137" s="146"/>
      <c r="C137" s="147">
        <f>$B$136*C136</f>
        <v>-180.20305024636704</v>
      </c>
      <c r="D137" s="147">
        <f>$B$136*D136</f>
        <v>30.944633742813835</v>
      </c>
      <c r="E137" s="147">
        <f>$B$136*E136</f>
        <v>-69.039210839442305</v>
      </c>
      <c r="G137" s="147">
        <f>$B$136*G136</f>
        <v>-33.266549306127601</v>
      </c>
      <c r="H137" s="147">
        <f>$B$136*H136</f>
        <v>241.19980310932408</v>
      </c>
      <c r="I137" s="147">
        <f>$B$136*I136</f>
        <v>10.726220261149866</v>
      </c>
      <c r="J137" s="147">
        <f>$B$136*J136</f>
        <v>35.838235717227512</v>
      </c>
    </row>
    <row r="138" spans="1:10">
      <c r="A138" s="146"/>
      <c r="B138" s="146"/>
      <c r="C138" s="144">
        <f>C137*долл</f>
        <v>-15758.756744044798</v>
      </c>
      <c r="D138" s="144">
        <f>D137*долл</f>
        <v>2706.1082208090697</v>
      </c>
      <c r="E138" s="144">
        <f>E137*долл</f>
        <v>-6037.4789879092295</v>
      </c>
      <c r="G138" s="144">
        <f>G137*долл</f>
        <v>-2909.1597368208586</v>
      </c>
      <c r="H138" s="144">
        <f>H137*долл</f>
        <v>21092.922781910391</v>
      </c>
      <c r="I138" s="144">
        <f>I137*долл</f>
        <v>938.00796183755574</v>
      </c>
      <c r="J138" s="144">
        <f>J137*долл</f>
        <v>3134.053713471546</v>
      </c>
    </row>
    <row r="139" spans="1:10">
      <c r="A139" s="146"/>
      <c r="B139" s="146"/>
      <c r="C139" s="156">
        <f>1+C138/C69</f>
        <v>0.83542484897064351</v>
      </c>
      <c r="D139" s="156">
        <f>1+D138/D69</f>
        <v>1.0424577502787213</v>
      </c>
      <c r="E139" s="156">
        <f>1+E138/E69</f>
        <v>0.89769065451498109</v>
      </c>
      <c r="G139" s="156">
        <f>1+G138/G69</f>
        <v>0.94400416114669239</v>
      </c>
      <c r="H139" s="156">
        <f>1+H138/H69</f>
        <v>1.4316640845856998</v>
      </c>
      <c r="I139" s="156">
        <f>1+I138/I69</f>
        <v>1.0149001489383758</v>
      </c>
      <c r="J139" s="156">
        <f>1+J138/J69</f>
        <v>1.071337663815209</v>
      </c>
    </row>
    <row r="140" spans="1:10">
      <c r="A140" s="158"/>
      <c r="B140" s="159"/>
      <c r="C140" s="160"/>
      <c r="D140" s="160"/>
      <c r="E140" s="160"/>
      <c r="G140" s="160"/>
      <c r="H140" s="160"/>
      <c r="I140" s="160"/>
      <c r="J140" s="160"/>
    </row>
    <row r="141" spans="1:10">
      <c r="A141" s="155" t="s">
        <v>286</v>
      </c>
      <c r="B141" s="146">
        <v>0.02</v>
      </c>
      <c r="C141" s="165">
        <f>C138/C69</f>
        <v>-0.16457515102935644</v>
      </c>
      <c r="D141" s="165">
        <f>D138/D69</f>
        <v>4.2457750278721305E-2</v>
      </c>
      <c r="E141" s="165">
        <f>E138/E69</f>
        <v>-0.10230934548501894</v>
      </c>
      <c r="G141" s="165">
        <f>G138/G69</f>
        <v>-5.5995838853307632E-2</v>
      </c>
      <c r="H141" s="165">
        <f>H138/H69</f>
        <v>0.43166408458569971</v>
      </c>
      <c r="I141" s="165">
        <f>I138/I69</f>
        <v>1.4900148938375744E-2</v>
      </c>
      <c r="J141" s="165">
        <f>J138/J69</f>
        <v>7.1337663815209049E-2</v>
      </c>
    </row>
    <row r="142" spans="1:10" ht="20.25">
      <c r="A142" s="146"/>
      <c r="B142" s="166">
        <v>0.58999821210405556</v>
      </c>
      <c r="C142" s="167">
        <f>MROUND((1+C141)^$B$142,$B$141)</f>
        <v>0.9</v>
      </c>
      <c r="D142" s="167">
        <f>MROUND((1+D141)^$B$142,$B$141)</f>
        <v>1.02</v>
      </c>
      <c r="E142" s="167">
        <f>MROUND((1+E141)^$B$142,$B$141)</f>
        <v>0.94000000000000006</v>
      </c>
      <c r="G142" s="167">
        <f>MROUND((1+G141)^$B$142,$B$141)</f>
        <v>0.96</v>
      </c>
      <c r="H142" s="167">
        <f>MROUND((1+H141)^$B$142,$B$141)</f>
        <v>1.24</v>
      </c>
      <c r="I142" s="167">
        <f>MROUND((1+I141)^$B$142,$B$141)</f>
        <v>1</v>
      </c>
      <c r="J142" s="167">
        <f>MROUND((1+J141)^$B$142,$B$141)</f>
        <v>1.04</v>
      </c>
    </row>
    <row r="143" spans="1:10" ht="15.75">
      <c r="A143" s="168" t="s">
        <v>287</v>
      </c>
      <c r="B143" s="74" t="s">
        <v>288</v>
      </c>
    </row>
    <row r="144" spans="1:10" ht="15.75">
      <c r="A144" s="168" t="s">
        <v>289</v>
      </c>
      <c r="B144" s="169" t="s">
        <v>290</v>
      </c>
      <c r="C144" s="170"/>
      <c r="D144" s="161"/>
      <c r="E144" s="170"/>
      <c r="G144" s="170"/>
      <c r="H144" s="161"/>
      <c r="I144" s="170"/>
      <c r="J144" s="161"/>
    </row>
    <row r="145" spans="1:10" ht="15.75">
      <c r="A145" s="168" t="s">
        <v>291</v>
      </c>
      <c r="B145" s="169" t="s">
        <v>292</v>
      </c>
      <c r="C145" s="169"/>
      <c r="E145" s="169"/>
      <c r="G145" s="169"/>
      <c r="I145" s="169"/>
    </row>
    <row r="146" spans="1:10" ht="15.75">
      <c r="A146" s="168" t="s">
        <v>293</v>
      </c>
      <c r="B146" s="169" t="s">
        <v>294</v>
      </c>
      <c r="C146" s="169"/>
      <c r="E146" s="169"/>
      <c r="G146" s="169"/>
      <c r="I146" s="169"/>
    </row>
    <row r="147" spans="1:10" ht="15.75">
      <c r="A147" s="168" t="s">
        <v>295</v>
      </c>
      <c r="B147" s="74" t="s">
        <v>296</v>
      </c>
    </row>
    <row r="150" spans="1:10">
      <c r="C150" s="161"/>
      <c r="D150" s="161"/>
      <c r="E150" s="161"/>
      <c r="G150" s="161"/>
      <c r="H150" s="161"/>
      <c r="I150" s="161"/>
      <c r="J150" s="161"/>
    </row>
  </sheetData>
  <phoneticPr fontId="12" type="noConversion"/>
  <hyperlinks>
    <hyperlink ref="J3" r:id="rId1" xr:uid="{41ECC25B-66D4-41FF-90EE-6B7C02C12288}"/>
    <hyperlink ref="J4" r:id="rId2" xr:uid="{CCD2D770-7A11-4445-8550-AB26B286FC37}"/>
    <hyperlink ref="J2" r:id="rId3" xr:uid="{7CA2B2B4-89E5-4873-A6A0-233C3B1834DE}"/>
    <hyperlink ref="J6" r:id="rId4" xr:uid="{73460E28-0F59-418E-8F87-255081873265}"/>
    <hyperlink ref="H6" r:id="rId5" xr:uid="{76776675-3937-45F8-B788-44104725972E}"/>
    <hyperlink ref="C6" r:id="rId6" xr:uid="{96BF1F39-28DC-415F-B4CB-CC6FC700F52F}"/>
    <hyperlink ref="I6" r:id="rId7" xr:uid="{1FCD786C-7830-4DCD-8578-138ABD337763}"/>
    <hyperlink ref="G6" r:id="rId8" xr:uid="{12E7345E-0FE1-45A8-AEDE-11570179E53F}"/>
    <hyperlink ref="D6" r:id="rId9" xr:uid="{22B12771-DC5E-476B-83F2-489E0E0133C5}"/>
    <hyperlink ref="I3" r:id="rId10" xr:uid="{7E53497F-10F5-4AD2-86C1-BBBAB8EF44D2}"/>
    <hyperlink ref="E6" r:id="rId11" xr:uid="{94C4DBBA-5062-436C-8F59-DDE9EB2BCD4B}"/>
  </hyperlinks>
  <pageMargins left="0.7" right="0.7" top="0.75" bottom="0.75" header="0.3" footer="0.3"/>
  <pageSetup paperSize="9" orientation="portrait" verticalDpi="0" r:id="rId12"/>
  <ignoredErrors>
    <ignoredError sqref="C54:E54 C70:E70 C37:E37" formula="1"/>
  </ignoredErrors>
  <legacyDrawing r:id="rId1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D5E3-FD5B-48E4-8249-50A6753BD702}">
  <sheetPr>
    <tabColor theme="3" tint="0.39997558519241921"/>
  </sheetPr>
  <dimension ref="A1:Q132"/>
  <sheetViews>
    <sheetView topLeftCell="A6" zoomScale="90" zoomScaleNormal="90" workbookViewId="0">
      <selection activeCell="C15" sqref="C15"/>
    </sheetView>
  </sheetViews>
  <sheetFormatPr defaultRowHeight="12.75" outlineLevelRow="1"/>
  <cols>
    <col min="1" max="1" width="48.625" style="74" customWidth="1"/>
    <col min="2" max="4" width="36.375" style="74" customWidth="1"/>
    <col min="5" max="5" width="36.125" style="74" customWidth="1"/>
    <col min="6" max="6" width="24.875" style="74" customWidth="1"/>
    <col min="7" max="7" width="36.125" style="74" customWidth="1"/>
    <col min="8" max="8" width="36.375" style="74" customWidth="1"/>
    <col min="9" max="9" width="36.125" style="74" customWidth="1"/>
    <col min="10" max="10" width="36.375" style="74" customWidth="1"/>
    <col min="11" max="243" width="9" style="74"/>
    <col min="244" max="244" width="44" style="74" customWidth="1"/>
    <col min="245" max="245" width="24" style="74" customWidth="1"/>
    <col min="246" max="246" width="26.25" style="74" customWidth="1"/>
    <col min="247" max="247" width="25.375" style="74" customWidth="1"/>
    <col min="248" max="250" width="26" style="74" customWidth="1"/>
    <col min="251" max="251" width="9" style="74"/>
    <col min="252" max="253" width="26" style="74" customWidth="1"/>
    <col min="254" max="499" width="9" style="74"/>
    <col min="500" max="500" width="44" style="74" customWidth="1"/>
    <col min="501" max="501" width="24" style="74" customWidth="1"/>
    <col min="502" max="502" width="26.25" style="74" customWidth="1"/>
    <col min="503" max="503" width="25.375" style="74" customWidth="1"/>
    <col min="504" max="506" width="26" style="74" customWidth="1"/>
    <col min="507" max="507" width="9" style="74"/>
    <col min="508" max="509" width="26" style="74" customWidth="1"/>
    <col min="510" max="755" width="9" style="74"/>
    <col min="756" max="756" width="44" style="74" customWidth="1"/>
    <col min="757" max="757" width="24" style="74" customWidth="1"/>
    <col min="758" max="758" width="26.25" style="74" customWidth="1"/>
    <col min="759" max="759" width="25.375" style="74" customWidth="1"/>
    <col min="760" max="762" width="26" style="74" customWidth="1"/>
    <col min="763" max="763" width="9" style="74"/>
    <col min="764" max="765" width="26" style="74" customWidth="1"/>
    <col min="766" max="1011" width="9" style="74"/>
    <col min="1012" max="1012" width="44" style="74" customWidth="1"/>
    <col min="1013" max="1013" width="24" style="74" customWidth="1"/>
    <col min="1014" max="1014" width="26.25" style="74" customWidth="1"/>
    <col min="1015" max="1015" width="25.375" style="74" customWidth="1"/>
    <col min="1016" max="1018" width="26" style="74" customWidth="1"/>
    <col min="1019" max="1019" width="9" style="74"/>
    <col min="1020" max="1021" width="26" style="74" customWidth="1"/>
    <col min="1022" max="1267" width="9" style="74"/>
    <col min="1268" max="1268" width="44" style="74" customWidth="1"/>
    <col min="1269" max="1269" width="24" style="74" customWidth="1"/>
    <col min="1270" max="1270" width="26.25" style="74" customWidth="1"/>
    <col min="1271" max="1271" width="25.375" style="74" customWidth="1"/>
    <col min="1272" max="1274" width="26" style="74" customWidth="1"/>
    <col min="1275" max="1275" width="9" style="74"/>
    <col min="1276" max="1277" width="26" style="74" customWidth="1"/>
    <col min="1278" max="1523" width="9" style="74"/>
    <col min="1524" max="1524" width="44" style="74" customWidth="1"/>
    <col min="1525" max="1525" width="24" style="74" customWidth="1"/>
    <col min="1526" max="1526" width="26.25" style="74" customWidth="1"/>
    <col min="1527" max="1527" width="25.375" style="74" customWidth="1"/>
    <col min="1528" max="1530" width="26" style="74" customWidth="1"/>
    <col min="1531" max="1531" width="9" style="74"/>
    <col min="1532" max="1533" width="26" style="74" customWidth="1"/>
    <col min="1534" max="1779" width="9" style="74"/>
    <col min="1780" max="1780" width="44" style="74" customWidth="1"/>
    <col min="1781" max="1781" width="24" style="74" customWidth="1"/>
    <col min="1782" max="1782" width="26.25" style="74" customWidth="1"/>
    <col min="1783" max="1783" width="25.375" style="74" customWidth="1"/>
    <col min="1784" max="1786" width="26" style="74" customWidth="1"/>
    <col min="1787" max="1787" width="9" style="74"/>
    <col min="1788" max="1789" width="26" style="74" customWidth="1"/>
    <col min="1790" max="2035" width="9" style="74"/>
    <col min="2036" max="2036" width="44" style="74" customWidth="1"/>
    <col min="2037" max="2037" width="24" style="74" customWidth="1"/>
    <col min="2038" max="2038" width="26.25" style="74" customWidth="1"/>
    <col min="2039" max="2039" width="25.375" style="74" customWidth="1"/>
    <col min="2040" max="2042" width="26" style="74" customWidth="1"/>
    <col min="2043" max="2043" width="9" style="74"/>
    <col min="2044" max="2045" width="26" style="74" customWidth="1"/>
    <col min="2046" max="2291" width="9" style="74"/>
    <col min="2292" max="2292" width="44" style="74" customWidth="1"/>
    <col min="2293" max="2293" width="24" style="74" customWidth="1"/>
    <col min="2294" max="2294" width="26.25" style="74" customWidth="1"/>
    <col min="2295" max="2295" width="25.375" style="74" customWidth="1"/>
    <col min="2296" max="2298" width="26" style="74" customWidth="1"/>
    <col min="2299" max="2299" width="9" style="74"/>
    <col min="2300" max="2301" width="26" style="74" customWidth="1"/>
    <col min="2302" max="2547" width="9" style="74"/>
    <col min="2548" max="2548" width="44" style="74" customWidth="1"/>
    <col min="2549" max="2549" width="24" style="74" customWidth="1"/>
    <col min="2550" max="2550" width="26.25" style="74" customWidth="1"/>
    <col min="2551" max="2551" width="25.375" style="74" customWidth="1"/>
    <col min="2552" max="2554" width="26" style="74" customWidth="1"/>
    <col min="2555" max="2555" width="9" style="74"/>
    <col min="2556" max="2557" width="26" style="74" customWidth="1"/>
    <col min="2558" max="2803" width="9" style="74"/>
    <col min="2804" max="2804" width="44" style="74" customWidth="1"/>
    <col min="2805" max="2805" width="24" style="74" customWidth="1"/>
    <col min="2806" max="2806" width="26.25" style="74" customWidth="1"/>
    <col min="2807" max="2807" width="25.375" style="74" customWidth="1"/>
    <col min="2808" max="2810" width="26" style="74" customWidth="1"/>
    <col min="2811" max="2811" width="9" style="74"/>
    <col min="2812" max="2813" width="26" style="74" customWidth="1"/>
    <col min="2814" max="3059" width="9" style="74"/>
    <col min="3060" max="3060" width="44" style="74" customWidth="1"/>
    <col min="3061" max="3061" width="24" style="74" customWidth="1"/>
    <col min="3062" max="3062" width="26.25" style="74" customWidth="1"/>
    <col min="3063" max="3063" width="25.375" style="74" customWidth="1"/>
    <col min="3064" max="3066" width="26" style="74" customWidth="1"/>
    <col min="3067" max="3067" width="9" style="74"/>
    <col min="3068" max="3069" width="26" style="74" customWidth="1"/>
    <col min="3070" max="3315" width="9" style="74"/>
    <col min="3316" max="3316" width="44" style="74" customWidth="1"/>
    <col min="3317" max="3317" width="24" style="74" customWidth="1"/>
    <col min="3318" max="3318" width="26.25" style="74" customWidth="1"/>
    <col min="3319" max="3319" width="25.375" style="74" customWidth="1"/>
    <col min="3320" max="3322" width="26" style="74" customWidth="1"/>
    <col min="3323" max="3323" width="9" style="74"/>
    <col min="3324" max="3325" width="26" style="74" customWidth="1"/>
    <col min="3326" max="3571" width="9" style="74"/>
    <col min="3572" max="3572" width="44" style="74" customWidth="1"/>
    <col min="3573" max="3573" width="24" style="74" customWidth="1"/>
    <col min="3574" max="3574" width="26.25" style="74" customWidth="1"/>
    <col min="3575" max="3575" width="25.375" style="74" customWidth="1"/>
    <col min="3576" max="3578" width="26" style="74" customWidth="1"/>
    <col min="3579" max="3579" width="9" style="74"/>
    <col min="3580" max="3581" width="26" style="74" customWidth="1"/>
    <col min="3582" max="3827" width="9" style="74"/>
    <col min="3828" max="3828" width="44" style="74" customWidth="1"/>
    <col min="3829" max="3829" width="24" style="74" customWidth="1"/>
    <col min="3830" max="3830" width="26.25" style="74" customWidth="1"/>
    <col min="3831" max="3831" width="25.375" style="74" customWidth="1"/>
    <col min="3832" max="3834" width="26" style="74" customWidth="1"/>
    <col min="3835" max="3835" width="9" style="74"/>
    <col min="3836" max="3837" width="26" style="74" customWidth="1"/>
    <col min="3838" max="4083" width="9" style="74"/>
    <col min="4084" max="4084" width="44" style="74" customWidth="1"/>
    <col min="4085" max="4085" width="24" style="74" customWidth="1"/>
    <col min="4086" max="4086" width="26.25" style="74" customWidth="1"/>
    <col min="4087" max="4087" width="25.375" style="74" customWidth="1"/>
    <col min="4088" max="4090" width="26" style="74" customWidth="1"/>
    <col min="4091" max="4091" width="9" style="74"/>
    <col min="4092" max="4093" width="26" style="74" customWidth="1"/>
    <col min="4094" max="4339" width="9" style="74"/>
    <col min="4340" max="4340" width="44" style="74" customWidth="1"/>
    <col min="4341" max="4341" width="24" style="74" customWidth="1"/>
    <col min="4342" max="4342" width="26.25" style="74" customWidth="1"/>
    <col min="4343" max="4343" width="25.375" style="74" customWidth="1"/>
    <col min="4344" max="4346" width="26" style="74" customWidth="1"/>
    <col min="4347" max="4347" width="9" style="74"/>
    <col min="4348" max="4349" width="26" style="74" customWidth="1"/>
    <col min="4350" max="4595" width="9" style="74"/>
    <col min="4596" max="4596" width="44" style="74" customWidth="1"/>
    <col min="4597" max="4597" width="24" style="74" customWidth="1"/>
    <col min="4598" max="4598" width="26.25" style="74" customWidth="1"/>
    <col min="4599" max="4599" width="25.375" style="74" customWidth="1"/>
    <col min="4600" max="4602" width="26" style="74" customWidth="1"/>
    <col min="4603" max="4603" width="9" style="74"/>
    <col min="4604" max="4605" width="26" style="74" customWidth="1"/>
    <col min="4606" max="4851" width="9" style="74"/>
    <col min="4852" max="4852" width="44" style="74" customWidth="1"/>
    <col min="4853" max="4853" width="24" style="74" customWidth="1"/>
    <col min="4854" max="4854" width="26.25" style="74" customWidth="1"/>
    <col min="4855" max="4855" width="25.375" style="74" customWidth="1"/>
    <col min="4856" max="4858" width="26" style="74" customWidth="1"/>
    <col min="4859" max="4859" width="9" style="74"/>
    <col min="4860" max="4861" width="26" style="74" customWidth="1"/>
    <col min="4862" max="5107" width="9" style="74"/>
    <col min="5108" max="5108" width="44" style="74" customWidth="1"/>
    <col min="5109" max="5109" width="24" style="74" customWidth="1"/>
    <col min="5110" max="5110" width="26.25" style="74" customWidth="1"/>
    <col min="5111" max="5111" width="25.375" style="74" customWidth="1"/>
    <col min="5112" max="5114" width="26" style="74" customWidth="1"/>
    <col min="5115" max="5115" width="9" style="74"/>
    <col min="5116" max="5117" width="26" style="74" customWidth="1"/>
    <col min="5118" max="5363" width="9" style="74"/>
    <col min="5364" max="5364" width="44" style="74" customWidth="1"/>
    <col min="5365" max="5365" width="24" style="74" customWidth="1"/>
    <col min="5366" max="5366" width="26.25" style="74" customWidth="1"/>
    <col min="5367" max="5367" width="25.375" style="74" customWidth="1"/>
    <col min="5368" max="5370" width="26" style="74" customWidth="1"/>
    <col min="5371" max="5371" width="9" style="74"/>
    <col min="5372" max="5373" width="26" style="74" customWidth="1"/>
    <col min="5374" max="5619" width="9" style="74"/>
    <col min="5620" max="5620" width="44" style="74" customWidth="1"/>
    <col min="5621" max="5621" width="24" style="74" customWidth="1"/>
    <col min="5622" max="5622" width="26.25" style="74" customWidth="1"/>
    <col min="5623" max="5623" width="25.375" style="74" customWidth="1"/>
    <col min="5624" max="5626" width="26" style="74" customWidth="1"/>
    <col min="5627" max="5627" width="9" style="74"/>
    <col min="5628" max="5629" width="26" style="74" customWidth="1"/>
    <col min="5630" max="5875" width="9" style="74"/>
    <col min="5876" max="5876" width="44" style="74" customWidth="1"/>
    <col min="5877" max="5877" width="24" style="74" customWidth="1"/>
    <col min="5878" max="5878" width="26.25" style="74" customWidth="1"/>
    <col min="5879" max="5879" width="25.375" style="74" customWidth="1"/>
    <col min="5880" max="5882" width="26" style="74" customWidth="1"/>
    <col min="5883" max="5883" width="9" style="74"/>
    <col min="5884" max="5885" width="26" style="74" customWidth="1"/>
    <col min="5886" max="6131" width="9" style="74"/>
    <col min="6132" max="6132" width="44" style="74" customWidth="1"/>
    <col min="6133" max="6133" width="24" style="74" customWidth="1"/>
    <col min="6134" max="6134" width="26.25" style="74" customWidth="1"/>
    <col min="6135" max="6135" width="25.375" style="74" customWidth="1"/>
    <col min="6136" max="6138" width="26" style="74" customWidth="1"/>
    <col min="6139" max="6139" width="9" style="74"/>
    <col min="6140" max="6141" width="26" style="74" customWidth="1"/>
    <col min="6142" max="6387" width="9" style="74"/>
    <col min="6388" max="6388" width="44" style="74" customWidth="1"/>
    <col min="6389" max="6389" width="24" style="74" customWidth="1"/>
    <col min="6390" max="6390" width="26.25" style="74" customWidth="1"/>
    <col min="6391" max="6391" width="25.375" style="74" customWidth="1"/>
    <col min="6392" max="6394" width="26" style="74" customWidth="1"/>
    <col min="6395" max="6395" width="9" style="74"/>
    <col min="6396" max="6397" width="26" style="74" customWidth="1"/>
    <col min="6398" max="6643" width="9" style="74"/>
    <col min="6644" max="6644" width="44" style="74" customWidth="1"/>
    <col min="6645" max="6645" width="24" style="74" customWidth="1"/>
    <col min="6646" max="6646" width="26.25" style="74" customWidth="1"/>
    <col min="6647" max="6647" width="25.375" style="74" customWidth="1"/>
    <col min="6648" max="6650" width="26" style="74" customWidth="1"/>
    <col min="6651" max="6651" width="9" style="74"/>
    <col min="6652" max="6653" width="26" style="74" customWidth="1"/>
    <col min="6654" max="6899" width="9" style="74"/>
    <col min="6900" max="6900" width="44" style="74" customWidth="1"/>
    <col min="6901" max="6901" width="24" style="74" customWidth="1"/>
    <col min="6902" max="6902" width="26.25" style="74" customWidth="1"/>
    <col min="6903" max="6903" width="25.375" style="74" customWidth="1"/>
    <col min="6904" max="6906" width="26" style="74" customWidth="1"/>
    <col min="6907" max="6907" width="9" style="74"/>
    <col min="6908" max="6909" width="26" style="74" customWidth="1"/>
    <col min="6910" max="7155" width="9" style="74"/>
    <col min="7156" max="7156" width="44" style="74" customWidth="1"/>
    <col min="7157" max="7157" width="24" style="74" customWidth="1"/>
    <col min="7158" max="7158" width="26.25" style="74" customWidth="1"/>
    <col min="7159" max="7159" width="25.375" style="74" customWidth="1"/>
    <col min="7160" max="7162" width="26" style="74" customWidth="1"/>
    <col min="7163" max="7163" width="9" style="74"/>
    <col min="7164" max="7165" width="26" style="74" customWidth="1"/>
    <col min="7166" max="7411" width="9" style="74"/>
    <col min="7412" max="7412" width="44" style="74" customWidth="1"/>
    <col min="7413" max="7413" width="24" style="74" customWidth="1"/>
    <col min="7414" max="7414" width="26.25" style="74" customWidth="1"/>
    <col min="7415" max="7415" width="25.375" style="74" customWidth="1"/>
    <col min="7416" max="7418" width="26" style="74" customWidth="1"/>
    <col min="7419" max="7419" width="9" style="74"/>
    <col min="7420" max="7421" width="26" style="74" customWidth="1"/>
    <col min="7422" max="7667" width="9" style="74"/>
    <col min="7668" max="7668" width="44" style="74" customWidth="1"/>
    <col min="7669" max="7669" width="24" style="74" customWidth="1"/>
    <col min="7670" max="7670" width="26.25" style="74" customWidth="1"/>
    <col min="7671" max="7671" width="25.375" style="74" customWidth="1"/>
    <col min="7672" max="7674" width="26" style="74" customWidth="1"/>
    <col min="7675" max="7675" width="9" style="74"/>
    <col min="7676" max="7677" width="26" style="74" customWidth="1"/>
    <col min="7678" max="7923" width="9" style="74"/>
    <col min="7924" max="7924" width="44" style="74" customWidth="1"/>
    <col min="7925" max="7925" width="24" style="74" customWidth="1"/>
    <col min="7926" max="7926" width="26.25" style="74" customWidth="1"/>
    <col min="7927" max="7927" width="25.375" style="74" customWidth="1"/>
    <col min="7928" max="7930" width="26" style="74" customWidth="1"/>
    <col min="7931" max="7931" width="9" style="74"/>
    <col min="7932" max="7933" width="26" style="74" customWidth="1"/>
    <col min="7934" max="8179" width="9" style="74"/>
    <col min="8180" max="8180" width="44" style="74" customWidth="1"/>
    <col min="8181" max="8181" width="24" style="74" customWidth="1"/>
    <col min="8182" max="8182" width="26.25" style="74" customWidth="1"/>
    <col min="8183" max="8183" width="25.375" style="74" customWidth="1"/>
    <col min="8184" max="8186" width="26" style="74" customWidth="1"/>
    <col min="8187" max="8187" width="9" style="74"/>
    <col min="8188" max="8189" width="26" style="74" customWidth="1"/>
    <col min="8190" max="8435" width="9" style="74"/>
    <col min="8436" max="8436" width="44" style="74" customWidth="1"/>
    <col min="8437" max="8437" width="24" style="74" customWidth="1"/>
    <col min="8438" max="8438" width="26.25" style="74" customWidth="1"/>
    <col min="8439" max="8439" width="25.375" style="74" customWidth="1"/>
    <col min="8440" max="8442" width="26" style="74" customWidth="1"/>
    <col min="8443" max="8443" width="9" style="74"/>
    <col min="8444" max="8445" width="26" style="74" customWidth="1"/>
    <col min="8446" max="8691" width="9" style="74"/>
    <col min="8692" max="8692" width="44" style="74" customWidth="1"/>
    <col min="8693" max="8693" width="24" style="74" customWidth="1"/>
    <col min="8694" max="8694" width="26.25" style="74" customWidth="1"/>
    <col min="8695" max="8695" width="25.375" style="74" customWidth="1"/>
    <col min="8696" max="8698" width="26" style="74" customWidth="1"/>
    <col min="8699" max="8699" width="9" style="74"/>
    <col min="8700" max="8701" width="26" style="74" customWidth="1"/>
    <col min="8702" max="8947" width="9" style="74"/>
    <col min="8948" max="8948" width="44" style="74" customWidth="1"/>
    <col min="8949" max="8949" width="24" style="74" customWidth="1"/>
    <col min="8950" max="8950" width="26.25" style="74" customWidth="1"/>
    <col min="8951" max="8951" width="25.375" style="74" customWidth="1"/>
    <col min="8952" max="8954" width="26" style="74" customWidth="1"/>
    <col min="8955" max="8955" width="9" style="74"/>
    <col min="8956" max="8957" width="26" style="74" customWidth="1"/>
    <col min="8958" max="9203" width="9" style="74"/>
    <col min="9204" max="9204" width="44" style="74" customWidth="1"/>
    <col min="9205" max="9205" width="24" style="74" customWidth="1"/>
    <col min="9206" max="9206" width="26.25" style="74" customWidth="1"/>
    <col min="9207" max="9207" width="25.375" style="74" customWidth="1"/>
    <col min="9208" max="9210" width="26" style="74" customWidth="1"/>
    <col min="9211" max="9211" width="9" style="74"/>
    <col min="9212" max="9213" width="26" style="74" customWidth="1"/>
    <col min="9214" max="9459" width="9" style="74"/>
    <col min="9460" max="9460" width="44" style="74" customWidth="1"/>
    <col min="9461" max="9461" width="24" style="74" customWidth="1"/>
    <col min="9462" max="9462" width="26.25" style="74" customWidth="1"/>
    <col min="9463" max="9463" width="25.375" style="74" customWidth="1"/>
    <col min="9464" max="9466" width="26" style="74" customWidth="1"/>
    <col min="9467" max="9467" width="9" style="74"/>
    <col min="9468" max="9469" width="26" style="74" customWidth="1"/>
    <col min="9470" max="9715" width="9" style="74"/>
    <col min="9716" max="9716" width="44" style="74" customWidth="1"/>
    <col min="9717" max="9717" width="24" style="74" customWidth="1"/>
    <col min="9718" max="9718" width="26.25" style="74" customWidth="1"/>
    <col min="9719" max="9719" width="25.375" style="74" customWidth="1"/>
    <col min="9720" max="9722" width="26" style="74" customWidth="1"/>
    <col min="9723" max="9723" width="9" style="74"/>
    <col min="9724" max="9725" width="26" style="74" customWidth="1"/>
    <col min="9726" max="9971" width="9" style="74"/>
    <col min="9972" max="9972" width="44" style="74" customWidth="1"/>
    <col min="9973" max="9973" width="24" style="74" customWidth="1"/>
    <col min="9974" max="9974" width="26.25" style="74" customWidth="1"/>
    <col min="9975" max="9975" width="25.375" style="74" customWidth="1"/>
    <col min="9976" max="9978" width="26" style="74" customWidth="1"/>
    <col min="9979" max="9979" width="9" style="74"/>
    <col min="9980" max="9981" width="26" style="74" customWidth="1"/>
    <col min="9982" max="10227" width="9" style="74"/>
    <col min="10228" max="10228" width="44" style="74" customWidth="1"/>
    <col min="10229" max="10229" width="24" style="74" customWidth="1"/>
    <col min="10230" max="10230" width="26.25" style="74" customWidth="1"/>
    <col min="10231" max="10231" width="25.375" style="74" customWidth="1"/>
    <col min="10232" max="10234" width="26" style="74" customWidth="1"/>
    <col min="10235" max="10235" width="9" style="74"/>
    <col min="10236" max="10237" width="26" style="74" customWidth="1"/>
    <col min="10238" max="10483" width="9" style="74"/>
    <col min="10484" max="10484" width="44" style="74" customWidth="1"/>
    <col min="10485" max="10485" width="24" style="74" customWidth="1"/>
    <col min="10486" max="10486" width="26.25" style="74" customWidth="1"/>
    <col min="10487" max="10487" width="25.375" style="74" customWidth="1"/>
    <col min="10488" max="10490" width="26" style="74" customWidth="1"/>
    <col min="10491" max="10491" width="9" style="74"/>
    <col min="10492" max="10493" width="26" style="74" customWidth="1"/>
    <col min="10494" max="10739" width="9" style="74"/>
    <col min="10740" max="10740" width="44" style="74" customWidth="1"/>
    <col min="10741" max="10741" width="24" style="74" customWidth="1"/>
    <col min="10742" max="10742" width="26.25" style="74" customWidth="1"/>
    <col min="10743" max="10743" width="25.375" style="74" customWidth="1"/>
    <col min="10744" max="10746" width="26" style="74" customWidth="1"/>
    <col min="10747" max="10747" width="9" style="74"/>
    <col min="10748" max="10749" width="26" style="74" customWidth="1"/>
    <col min="10750" max="10995" width="9" style="74"/>
    <col min="10996" max="10996" width="44" style="74" customWidth="1"/>
    <col min="10997" max="10997" width="24" style="74" customWidth="1"/>
    <col min="10998" max="10998" width="26.25" style="74" customWidth="1"/>
    <col min="10999" max="10999" width="25.375" style="74" customWidth="1"/>
    <col min="11000" max="11002" width="26" style="74" customWidth="1"/>
    <col min="11003" max="11003" width="9" style="74"/>
    <col min="11004" max="11005" width="26" style="74" customWidth="1"/>
    <col min="11006" max="11251" width="9" style="74"/>
    <col min="11252" max="11252" width="44" style="74" customWidth="1"/>
    <col min="11253" max="11253" width="24" style="74" customWidth="1"/>
    <col min="11254" max="11254" width="26.25" style="74" customWidth="1"/>
    <col min="11255" max="11255" width="25.375" style="74" customWidth="1"/>
    <col min="11256" max="11258" width="26" style="74" customWidth="1"/>
    <col min="11259" max="11259" width="9" style="74"/>
    <col min="11260" max="11261" width="26" style="74" customWidth="1"/>
    <col min="11262" max="11507" width="9" style="74"/>
    <col min="11508" max="11508" width="44" style="74" customWidth="1"/>
    <col min="11509" max="11509" width="24" style="74" customWidth="1"/>
    <col min="11510" max="11510" width="26.25" style="74" customWidth="1"/>
    <col min="11511" max="11511" width="25.375" style="74" customWidth="1"/>
    <col min="11512" max="11514" width="26" style="74" customWidth="1"/>
    <col min="11515" max="11515" width="9" style="74"/>
    <col min="11516" max="11517" width="26" style="74" customWidth="1"/>
    <col min="11518" max="11763" width="9" style="74"/>
    <col min="11764" max="11764" width="44" style="74" customWidth="1"/>
    <col min="11765" max="11765" width="24" style="74" customWidth="1"/>
    <col min="11766" max="11766" width="26.25" style="74" customWidth="1"/>
    <col min="11767" max="11767" width="25.375" style="74" customWidth="1"/>
    <col min="11768" max="11770" width="26" style="74" customWidth="1"/>
    <col min="11771" max="11771" width="9" style="74"/>
    <col min="11772" max="11773" width="26" style="74" customWidth="1"/>
    <col min="11774" max="12019" width="9" style="74"/>
    <col min="12020" max="12020" width="44" style="74" customWidth="1"/>
    <col min="12021" max="12021" width="24" style="74" customWidth="1"/>
    <col min="12022" max="12022" width="26.25" style="74" customWidth="1"/>
    <col min="12023" max="12023" width="25.375" style="74" customWidth="1"/>
    <col min="12024" max="12026" width="26" style="74" customWidth="1"/>
    <col min="12027" max="12027" width="9" style="74"/>
    <col min="12028" max="12029" width="26" style="74" customWidth="1"/>
    <col min="12030" max="12275" width="9" style="74"/>
    <col min="12276" max="12276" width="44" style="74" customWidth="1"/>
    <col min="12277" max="12277" width="24" style="74" customWidth="1"/>
    <col min="12278" max="12278" width="26.25" style="74" customWidth="1"/>
    <col min="12279" max="12279" width="25.375" style="74" customWidth="1"/>
    <col min="12280" max="12282" width="26" style="74" customWidth="1"/>
    <col min="12283" max="12283" width="9" style="74"/>
    <col min="12284" max="12285" width="26" style="74" customWidth="1"/>
    <col min="12286" max="12531" width="9" style="74"/>
    <col min="12532" max="12532" width="44" style="74" customWidth="1"/>
    <col min="12533" max="12533" width="24" style="74" customWidth="1"/>
    <col min="12534" max="12534" width="26.25" style="74" customWidth="1"/>
    <col min="12535" max="12535" width="25.375" style="74" customWidth="1"/>
    <col min="12536" max="12538" width="26" style="74" customWidth="1"/>
    <col min="12539" max="12539" width="9" style="74"/>
    <col min="12540" max="12541" width="26" style="74" customWidth="1"/>
    <col min="12542" max="12787" width="9" style="74"/>
    <col min="12788" max="12788" width="44" style="74" customWidth="1"/>
    <col min="12789" max="12789" width="24" style="74" customWidth="1"/>
    <col min="12790" max="12790" width="26.25" style="74" customWidth="1"/>
    <col min="12791" max="12791" width="25.375" style="74" customWidth="1"/>
    <col min="12792" max="12794" width="26" style="74" customWidth="1"/>
    <col min="12795" max="12795" width="9" style="74"/>
    <col min="12796" max="12797" width="26" style="74" customWidth="1"/>
    <col min="12798" max="13043" width="9" style="74"/>
    <col min="13044" max="13044" width="44" style="74" customWidth="1"/>
    <col min="13045" max="13045" width="24" style="74" customWidth="1"/>
    <col min="13046" max="13046" width="26.25" style="74" customWidth="1"/>
    <col min="13047" max="13047" width="25.375" style="74" customWidth="1"/>
    <col min="13048" max="13050" width="26" style="74" customWidth="1"/>
    <col min="13051" max="13051" width="9" style="74"/>
    <col min="13052" max="13053" width="26" style="74" customWidth="1"/>
    <col min="13054" max="13299" width="9" style="74"/>
    <col min="13300" max="13300" width="44" style="74" customWidth="1"/>
    <col min="13301" max="13301" width="24" style="74" customWidth="1"/>
    <col min="13302" max="13302" width="26.25" style="74" customWidth="1"/>
    <col min="13303" max="13303" width="25.375" style="74" customWidth="1"/>
    <col min="13304" max="13306" width="26" style="74" customWidth="1"/>
    <col min="13307" max="13307" width="9" style="74"/>
    <col min="13308" max="13309" width="26" style="74" customWidth="1"/>
    <col min="13310" max="13555" width="9" style="74"/>
    <col min="13556" max="13556" width="44" style="74" customWidth="1"/>
    <col min="13557" max="13557" width="24" style="74" customWidth="1"/>
    <col min="13558" max="13558" width="26.25" style="74" customWidth="1"/>
    <col min="13559" max="13559" width="25.375" style="74" customWidth="1"/>
    <col min="13560" max="13562" width="26" style="74" customWidth="1"/>
    <col min="13563" max="13563" width="9" style="74"/>
    <col min="13564" max="13565" width="26" style="74" customWidth="1"/>
    <col min="13566" max="13811" width="9" style="74"/>
    <col min="13812" max="13812" width="44" style="74" customWidth="1"/>
    <col min="13813" max="13813" width="24" style="74" customWidth="1"/>
    <col min="13814" max="13814" width="26.25" style="74" customWidth="1"/>
    <col min="13815" max="13815" width="25.375" style="74" customWidth="1"/>
    <col min="13816" max="13818" width="26" style="74" customWidth="1"/>
    <col min="13819" max="13819" width="9" style="74"/>
    <col min="13820" max="13821" width="26" style="74" customWidth="1"/>
    <col min="13822" max="14067" width="9" style="74"/>
    <col min="14068" max="14068" width="44" style="74" customWidth="1"/>
    <col min="14069" max="14069" width="24" style="74" customWidth="1"/>
    <col min="14070" max="14070" width="26.25" style="74" customWidth="1"/>
    <col min="14071" max="14071" width="25.375" style="74" customWidth="1"/>
    <col min="14072" max="14074" width="26" style="74" customWidth="1"/>
    <col min="14075" max="14075" width="9" style="74"/>
    <col min="14076" max="14077" width="26" style="74" customWidth="1"/>
    <col min="14078" max="14323" width="9" style="74"/>
    <col min="14324" max="14324" width="44" style="74" customWidth="1"/>
    <col min="14325" max="14325" width="24" style="74" customWidth="1"/>
    <col min="14326" max="14326" width="26.25" style="74" customWidth="1"/>
    <col min="14327" max="14327" width="25.375" style="74" customWidth="1"/>
    <col min="14328" max="14330" width="26" style="74" customWidth="1"/>
    <col min="14331" max="14331" width="9" style="74"/>
    <col min="14332" max="14333" width="26" style="74" customWidth="1"/>
    <col min="14334" max="14579" width="9" style="74"/>
    <col min="14580" max="14580" width="44" style="74" customWidth="1"/>
    <col min="14581" max="14581" width="24" style="74" customWidth="1"/>
    <col min="14582" max="14582" width="26.25" style="74" customWidth="1"/>
    <col min="14583" max="14583" width="25.375" style="74" customWidth="1"/>
    <col min="14584" max="14586" width="26" style="74" customWidth="1"/>
    <col min="14587" max="14587" width="9" style="74"/>
    <col min="14588" max="14589" width="26" style="74" customWidth="1"/>
    <col min="14590" max="14835" width="9" style="74"/>
    <col min="14836" max="14836" width="44" style="74" customWidth="1"/>
    <col min="14837" max="14837" width="24" style="74" customWidth="1"/>
    <col min="14838" max="14838" width="26.25" style="74" customWidth="1"/>
    <col min="14839" max="14839" width="25.375" style="74" customWidth="1"/>
    <col min="14840" max="14842" width="26" style="74" customWidth="1"/>
    <col min="14843" max="14843" width="9" style="74"/>
    <col min="14844" max="14845" width="26" style="74" customWidth="1"/>
    <col min="14846" max="15091" width="9" style="74"/>
    <col min="15092" max="15092" width="44" style="74" customWidth="1"/>
    <col min="15093" max="15093" width="24" style="74" customWidth="1"/>
    <col min="15094" max="15094" width="26.25" style="74" customWidth="1"/>
    <col min="15095" max="15095" width="25.375" style="74" customWidth="1"/>
    <col min="15096" max="15098" width="26" style="74" customWidth="1"/>
    <col min="15099" max="15099" width="9" style="74"/>
    <col min="15100" max="15101" width="26" style="74" customWidth="1"/>
    <col min="15102" max="15347" width="9" style="74"/>
    <col min="15348" max="15348" width="44" style="74" customWidth="1"/>
    <col min="15349" max="15349" width="24" style="74" customWidth="1"/>
    <col min="15350" max="15350" width="26.25" style="74" customWidth="1"/>
    <col min="15351" max="15351" width="25.375" style="74" customWidth="1"/>
    <col min="15352" max="15354" width="26" style="74" customWidth="1"/>
    <col min="15355" max="15355" width="9" style="74"/>
    <col min="15356" max="15357" width="26" style="74" customWidth="1"/>
    <col min="15358" max="15603" width="9" style="74"/>
    <col min="15604" max="15604" width="44" style="74" customWidth="1"/>
    <col min="15605" max="15605" width="24" style="74" customWidth="1"/>
    <col min="15606" max="15606" width="26.25" style="74" customWidth="1"/>
    <col min="15607" max="15607" width="25.375" style="74" customWidth="1"/>
    <col min="15608" max="15610" width="26" style="74" customWidth="1"/>
    <col min="15611" max="15611" width="9" style="74"/>
    <col min="15612" max="15613" width="26" style="74" customWidth="1"/>
    <col min="15614" max="15859" width="9" style="74"/>
    <col min="15860" max="15860" width="44" style="74" customWidth="1"/>
    <col min="15861" max="15861" width="24" style="74" customWidth="1"/>
    <col min="15862" max="15862" width="26.25" style="74" customWidth="1"/>
    <col min="15863" max="15863" width="25.375" style="74" customWidth="1"/>
    <col min="15864" max="15866" width="26" style="74" customWidth="1"/>
    <col min="15867" max="15867" width="9" style="74"/>
    <col min="15868" max="15869" width="26" style="74" customWidth="1"/>
    <col min="15870" max="16115" width="9" style="74"/>
    <col min="16116" max="16116" width="44" style="74" customWidth="1"/>
    <col min="16117" max="16117" width="24" style="74" customWidth="1"/>
    <col min="16118" max="16118" width="26.25" style="74" customWidth="1"/>
    <col min="16119" max="16119" width="25.375" style="74" customWidth="1"/>
    <col min="16120" max="16122" width="26" style="74" customWidth="1"/>
    <col min="16123" max="16123" width="9" style="74"/>
    <col min="16124" max="16125" width="26" style="74" customWidth="1"/>
    <col min="16126" max="16384" width="9" style="74"/>
  </cols>
  <sheetData>
    <row r="1" spans="1:10">
      <c r="D1" s="75"/>
      <c r="J1" s="75" t="s">
        <v>138</v>
      </c>
    </row>
    <row r="2" spans="1:10">
      <c r="B2" s="76"/>
      <c r="D2" s="77"/>
      <c r="I2" s="74" t="s">
        <v>139</v>
      </c>
      <c r="J2" s="77" t="s">
        <v>140</v>
      </c>
    </row>
    <row r="3" spans="1:10">
      <c r="B3" s="76"/>
      <c r="D3" s="78"/>
      <c r="I3" s="79" t="s">
        <v>141</v>
      </c>
      <c r="J3" s="78" t="s">
        <v>142</v>
      </c>
    </row>
    <row r="4" spans="1:10">
      <c r="B4" s="76"/>
      <c r="C4" s="80" t="s">
        <v>143</v>
      </c>
      <c r="D4" s="77"/>
      <c r="E4" s="81"/>
      <c r="G4" s="81"/>
      <c r="H4" s="80" t="s">
        <v>144</v>
      </c>
      <c r="I4" s="81" t="s">
        <v>145</v>
      </c>
      <c r="J4" s="77" t="s">
        <v>146</v>
      </c>
    </row>
    <row r="5" spans="1:10">
      <c r="C5" s="81" t="s">
        <v>128</v>
      </c>
      <c r="D5" s="81" t="s">
        <v>147</v>
      </c>
      <c r="E5" s="81" t="s">
        <v>148</v>
      </c>
      <c r="G5" s="82" t="s">
        <v>149</v>
      </c>
      <c r="H5" s="81" t="s">
        <v>124</v>
      </c>
      <c r="I5" s="81" t="s">
        <v>150</v>
      </c>
      <c r="J5" s="81" t="s">
        <v>123</v>
      </c>
    </row>
    <row r="6" spans="1:10">
      <c r="B6" s="83"/>
      <c r="C6" s="84" t="s">
        <v>151</v>
      </c>
      <c r="D6" s="85" t="s">
        <v>152</v>
      </c>
      <c r="E6" s="77" t="s">
        <v>153</v>
      </c>
      <c r="G6" s="77" t="s">
        <v>154</v>
      </c>
      <c r="H6" s="86" t="s">
        <v>155</v>
      </c>
      <c r="I6" s="77" t="s">
        <v>156</v>
      </c>
      <c r="J6" s="78" t="s">
        <v>157</v>
      </c>
    </row>
    <row r="7" spans="1:10">
      <c r="A7" s="87" t="s">
        <v>158</v>
      </c>
      <c r="B7" s="87" t="s">
        <v>159</v>
      </c>
      <c r="C7" s="87" t="s">
        <v>123</v>
      </c>
      <c r="D7" s="87" t="s">
        <v>124</v>
      </c>
      <c r="E7" s="87" t="s">
        <v>127</v>
      </c>
      <c r="G7" s="87" t="s">
        <v>126</v>
      </c>
      <c r="H7" s="87" t="s">
        <v>123</v>
      </c>
      <c r="I7" s="87" t="s">
        <v>126</v>
      </c>
      <c r="J7" s="87" t="s">
        <v>123</v>
      </c>
    </row>
    <row r="8" spans="1:10">
      <c r="A8" s="88" t="s">
        <v>160</v>
      </c>
      <c r="B8" s="89" t="e">
        <f t="shared" ref="B8:J8" si="0">датоц</f>
        <v>#NAME?</v>
      </c>
      <c r="C8" s="89" t="e">
        <f t="shared" si="0"/>
        <v>#NAME?</v>
      </c>
      <c r="D8" s="89" t="e">
        <f t="shared" si="0"/>
        <v>#NAME?</v>
      </c>
      <c r="E8" s="89" t="e">
        <f t="shared" si="0"/>
        <v>#NAME?</v>
      </c>
      <c r="G8" s="89" t="e">
        <f t="shared" si="0"/>
        <v>#NAME?</v>
      </c>
      <c r="H8" s="89" t="e">
        <f t="shared" si="0"/>
        <v>#NAME?</v>
      </c>
      <c r="I8" s="89" t="e">
        <f t="shared" si="0"/>
        <v>#NAME?</v>
      </c>
      <c r="J8" s="89" t="e">
        <f t="shared" si="0"/>
        <v>#NAME?</v>
      </c>
    </row>
    <row r="9" spans="1:10">
      <c r="A9" s="88" t="s">
        <v>161</v>
      </c>
      <c r="B9" s="90"/>
      <c r="C9" s="91" t="s">
        <v>162</v>
      </c>
      <c r="D9" s="91" t="s">
        <v>163</v>
      </c>
      <c r="E9" s="92" t="s">
        <v>164</v>
      </c>
      <c r="G9" s="92" t="s">
        <v>165</v>
      </c>
      <c r="H9" s="93" t="s">
        <v>166</v>
      </c>
      <c r="I9" s="92" t="s">
        <v>167</v>
      </c>
      <c r="J9" s="93" t="s">
        <v>168</v>
      </c>
    </row>
    <row r="10" spans="1:10" ht="25.5">
      <c r="A10" s="88" t="s">
        <v>169</v>
      </c>
      <c r="B10" s="94" t="s">
        <v>170</v>
      </c>
      <c r="C10" s="95" t="s">
        <v>170</v>
      </c>
      <c r="D10" s="94" t="s">
        <v>170</v>
      </c>
      <c r="E10" s="94" t="s">
        <v>170</v>
      </c>
      <c r="G10" s="94" t="s">
        <v>171</v>
      </c>
      <c r="H10" s="94" t="s">
        <v>170</v>
      </c>
      <c r="I10" s="94" t="s">
        <v>170</v>
      </c>
      <c r="J10" s="94" t="s">
        <v>170</v>
      </c>
    </row>
    <row r="11" spans="1:10" ht="42" customHeight="1">
      <c r="A11" s="88" t="s">
        <v>172</v>
      </c>
      <c r="B11" s="96" t="s">
        <v>297</v>
      </c>
      <c r="C11" s="97" t="s">
        <v>173</v>
      </c>
      <c r="D11" s="98" t="s">
        <v>174</v>
      </c>
      <c r="E11" s="99" t="s">
        <v>175</v>
      </c>
      <c r="G11" s="99" t="s">
        <v>176</v>
      </c>
      <c r="H11" s="99" t="s">
        <v>177</v>
      </c>
      <c r="I11" s="99" t="s">
        <v>178</v>
      </c>
      <c r="J11" s="99" t="s">
        <v>179</v>
      </c>
    </row>
    <row r="12" spans="1:10" ht="25.5">
      <c r="A12" s="88" t="s">
        <v>180</v>
      </c>
      <c r="B12" s="100" t="s">
        <v>298</v>
      </c>
      <c r="C12" s="101" t="s">
        <v>181</v>
      </c>
      <c r="D12" s="93" t="s">
        <v>181</v>
      </c>
      <c r="E12" s="99" t="s">
        <v>182</v>
      </c>
      <c r="G12" s="99" t="s">
        <v>183</v>
      </c>
      <c r="H12" s="99" t="s">
        <v>181</v>
      </c>
      <c r="I12" s="99" t="s">
        <v>184</v>
      </c>
      <c r="J12" s="99" t="s">
        <v>185</v>
      </c>
    </row>
    <row r="13" spans="1:10">
      <c r="A13" s="88" t="s">
        <v>186</v>
      </c>
      <c r="B13" s="91" t="s">
        <v>299</v>
      </c>
      <c r="C13" s="94" t="s">
        <v>187</v>
      </c>
      <c r="D13" s="93" t="s">
        <v>187</v>
      </c>
      <c r="E13" s="94" t="s">
        <v>187</v>
      </c>
      <c r="G13" s="94" t="s">
        <v>187</v>
      </c>
      <c r="H13" s="102" t="s">
        <v>188</v>
      </c>
      <c r="I13" s="94" t="s">
        <v>187</v>
      </c>
      <c r="J13" s="102" t="s">
        <v>189</v>
      </c>
    </row>
    <row r="14" spans="1:10" ht="15">
      <c r="A14" s="88" t="s">
        <v>190</v>
      </c>
      <c r="B14" s="103">
        <f t="shared" ref="B14" si="1">SUM(B15:B18)</f>
        <v>21461.199999999997</v>
      </c>
      <c r="C14" s="103">
        <f>SUM(C15:C18)</f>
        <v>1870</v>
      </c>
      <c r="D14" s="103">
        <f>SUM(D15:D18)</f>
        <v>6996</v>
      </c>
      <c r="E14" s="103">
        <f>SUM(E15:E18)</f>
        <v>3337.7</v>
      </c>
      <c r="G14" s="103">
        <f>SUM(G15:G18)</f>
        <v>5699.9999999999991</v>
      </c>
      <c r="H14" s="104">
        <f>SUM(H15:H18)</f>
        <v>1906</v>
      </c>
      <c r="I14" s="103">
        <f>SUM(I15:I18)</f>
        <v>3400</v>
      </c>
      <c r="J14" s="103">
        <f>SUM(J15:J18)</f>
        <v>1800</v>
      </c>
    </row>
    <row r="15" spans="1:10">
      <c r="A15" s="105" t="s">
        <v>191</v>
      </c>
      <c r="B15" s="106">
        <v>345.3</v>
      </c>
      <c r="C15" s="106">
        <v>110</v>
      </c>
      <c r="D15" s="106">
        <v>360</v>
      </c>
      <c r="E15" s="106">
        <v>1390</v>
      </c>
      <c r="F15" s="107"/>
      <c r="G15" s="106">
        <f>36.7+40.5+82.2+718.3</f>
        <v>877.69999999999993</v>
      </c>
      <c r="H15" s="108">
        <v>1260</v>
      </c>
      <c r="I15" s="109">
        <f>2550+850</f>
        <v>3400</v>
      </c>
      <c r="J15" s="106">
        <v>258.7</v>
      </c>
    </row>
    <row r="16" spans="1:10">
      <c r="A16" s="105" t="s">
        <v>192</v>
      </c>
      <c r="B16" s="106">
        <v>9482.1</v>
      </c>
      <c r="C16" s="106">
        <v>1300</v>
      </c>
      <c r="D16" s="106">
        <v>6636</v>
      </c>
      <c r="E16" s="106">
        <v>0</v>
      </c>
      <c r="G16" s="106">
        <v>0</v>
      </c>
      <c r="H16" s="108">
        <v>646</v>
      </c>
      <c r="I16" s="109">
        <v>0</v>
      </c>
      <c r="J16" s="106">
        <v>0</v>
      </c>
    </row>
    <row r="17" spans="1:17">
      <c r="A17" s="105" t="s">
        <v>193</v>
      </c>
      <c r="B17" s="106">
        <v>11633.8</v>
      </c>
      <c r="C17" s="106">
        <v>460</v>
      </c>
      <c r="D17" s="106">
        <v>0</v>
      </c>
      <c r="E17" s="106">
        <v>1947.7</v>
      </c>
      <c r="G17" s="106">
        <f>3961.7-159.4+1020</f>
        <v>4822.2999999999993</v>
      </c>
      <c r="H17" s="108">
        <v>0</v>
      </c>
      <c r="I17" s="109">
        <v>0</v>
      </c>
      <c r="J17" s="106">
        <v>1541.3</v>
      </c>
    </row>
    <row r="18" spans="1:17">
      <c r="A18" s="105" t="s">
        <v>194</v>
      </c>
      <c r="B18" s="106">
        <f>0</f>
        <v>0</v>
      </c>
      <c r="C18" s="106">
        <v>0</v>
      </c>
      <c r="D18" s="106">
        <v>0</v>
      </c>
      <c r="E18" s="106">
        <v>0</v>
      </c>
      <c r="G18" s="106">
        <v>0</v>
      </c>
      <c r="H18" s="108">
        <v>0</v>
      </c>
      <c r="I18" s="109">
        <v>0</v>
      </c>
      <c r="J18" s="106">
        <v>0</v>
      </c>
      <c r="L18" s="110" t="s">
        <v>195</v>
      </c>
      <c r="M18" s="110" t="s">
        <v>196</v>
      </c>
      <c r="N18" s="110" t="s">
        <v>197</v>
      </c>
      <c r="O18" s="110" t="s">
        <v>198</v>
      </c>
      <c r="P18" s="110" t="s">
        <v>199</v>
      </c>
      <c r="Q18" s="110" t="s">
        <v>200</v>
      </c>
    </row>
    <row r="19" spans="1:17" s="113" customFormat="1" ht="18" customHeight="1" outlineLevel="1">
      <c r="A19" s="111" t="s">
        <v>201</v>
      </c>
      <c r="B19" s="112">
        <v>0</v>
      </c>
      <c r="C19" s="112">
        <v>0</v>
      </c>
      <c r="D19" s="112">
        <v>0</v>
      </c>
      <c r="E19" s="112">
        <v>0</v>
      </c>
      <c r="G19" s="112">
        <v>0</v>
      </c>
      <c r="H19" s="114">
        <v>0</v>
      </c>
      <c r="I19" s="112">
        <v>0</v>
      </c>
      <c r="J19" s="103">
        <v>0</v>
      </c>
      <c r="L19" s="110"/>
      <c r="M19" s="110"/>
      <c r="N19" s="110"/>
      <c r="O19" s="110"/>
      <c r="P19" s="110"/>
      <c r="Q19" s="110"/>
    </row>
    <row r="20" spans="1:17" ht="25.5">
      <c r="A20" s="88" t="s">
        <v>202</v>
      </c>
      <c r="B20" s="94" t="s">
        <v>203</v>
      </c>
      <c r="C20" s="115" t="s">
        <v>204</v>
      </c>
      <c r="D20" s="94" t="s">
        <v>205</v>
      </c>
      <c r="E20" s="115" t="s">
        <v>206</v>
      </c>
      <c r="G20" s="115" t="s">
        <v>207</v>
      </c>
      <c r="H20" s="94" t="s">
        <v>208</v>
      </c>
      <c r="I20" s="94" t="s">
        <v>209</v>
      </c>
      <c r="J20" s="115" t="s">
        <v>210</v>
      </c>
      <c r="L20" s="110">
        <f>36.7+66.4+218.4+32.4</f>
        <v>353.9</v>
      </c>
      <c r="M20" s="110">
        <f>31.9+15.5+16+16</f>
        <v>79.400000000000006</v>
      </c>
      <c r="N20" s="110">
        <f>89.8</f>
        <v>89.8</v>
      </c>
      <c r="O20" s="110">
        <f>1763.9</f>
        <v>1763.9</v>
      </c>
      <c r="P20" s="110">
        <f>1452.9+34.3+14.3+13.5+13.5+13.5+11.3+7.7+2.1</f>
        <v>1563.1</v>
      </c>
      <c r="Q20" s="110">
        <f>29.4+19.4+13.5+13.5+13.5+22.3</f>
        <v>111.6</v>
      </c>
    </row>
    <row r="21" spans="1:17">
      <c r="A21" s="88" t="s">
        <v>211</v>
      </c>
      <c r="B21" s="94" t="s">
        <v>212</v>
      </c>
      <c r="C21" s="94" t="s">
        <v>213</v>
      </c>
      <c r="D21" s="94" t="s">
        <v>212</v>
      </c>
      <c r="E21" s="94" t="s">
        <v>214</v>
      </c>
      <c r="G21" s="94" t="s">
        <v>214</v>
      </c>
      <c r="H21" s="101" t="s">
        <v>213</v>
      </c>
      <c r="I21" s="94" t="s">
        <v>214</v>
      </c>
      <c r="J21" s="94" t="s">
        <v>214</v>
      </c>
      <c r="L21" s="110">
        <f>SUM(L20:Q20)</f>
        <v>3961.7</v>
      </c>
      <c r="M21" s="110"/>
      <c r="N21" s="110"/>
      <c r="O21" s="110"/>
      <c r="P21" s="110"/>
      <c r="Q21" s="110"/>
    </row>
    <row r="22" spans="1:17">
      <c r="A22" s="88" t="s">
        <v>215</v>
      </c>
      <c r="B22" s="94" t="s">
        <v>300</v>
      </c>
      <c r="C22" s="94" t="s">
        <v>216</v>
      </c>
      <c r="D22" s="94" t="s">
        <v>217</v>
      </c>
      <c r="E22" s="94" t="s">
        <v>217</v>
      </c>
      <c r="G22" s="94" t="s">
        <v>216</v>
      </c>
      <c r="H22" s="115" t="s">
        <v>216</v>
      </c>
      <c r="I22" s="94" t="s">
        <v>218</v>
      </c>
      <c r="J22" s="102" t="s">
        <v>219</v>
      </c>
    </row>
    <row r="23" spans="1:17">
      <c r="A23" s="88" t="s">
        <v>220</v>
      </c>
      <c r="B23" s="94" t="s">
        <v>221</v>
      </c>
      <c r="C23" s="115" t="s">
        <v>221</v>
      </c>
      <c r="D23" s="94" t="s">
        <v>221</v>
      </c>
      <c r="E23" s="94" t="s">
        <v>221</v>
      </c>
      <c r="G23" s="94" t="s">
        <v>221</v>
      </c>
      <c r="H23" s="115" t="s">
        <v>221</v>
      </c>
      <c r="I23" s="94" t="s">
        <v>221</v>
      </c>
      <c r="J23" s="115" t="s">
        <v>221</v>
      </c>
    </row>
    <row r="24" spans="1:17" ht="15">
      <c r="A24" s="88" t="s">
        <v>222</v>
      </c>
      <c r="B24" s="94" t="s">
        <v>223</v>
      </c>
      <c r="C24" s="94" t="s">
        <v>224</v>
      </c>
      <c r="D24" s="94" t="s">
        <v>224</v>
      </c>
      <c r="E24" s="94" t="s">
        <v>224</v>
      </c>
      <c r="G24" s="94" t="s">
        <v>224</v>
      </c>
      <c r="H24" s="94" t="s">
        <v>224</v>
      </c>
      <c r="I24" s="94" t="s">
        <v>224</v>
      </c>
      <c r="J24" s="94" t="s">
        <v>224</v>
      </c>
    </row>
    <row r="25" spans="1:17" ht="15">
      <c r="A25" s="88" t="s">
        <v>225</v>
      </c>
      <c r="B25" s="103">
        <v>42257</v>
      </c>
      <c r="C25" s="104">
        <v>5480</v>
      </c>
      <c r="D25" s="103">
        <v>12620</v>
      </c>
      <c r="E25" s="103">
        <v>7800</v>
      </c>
      <c r="G25" s="103">
        <f>6640+5000+595</f>
        <v>12235</v>
      </c>
      <c r="H25" s="104">
        <v>1300</v>
      </c>
      <c r="I25" s="103">
        <v>6500</v>
      </c>
      <c r="J25" s="104">
        <v>3200</v>
      </c>
      <c r="L25" s="107"/>
    </row>
    <row r="26" spans="1:17" ht="25.5">
      <c r="A26" s="88" t="s">
        <v>226</v>
      </c>
      <c r="B26" s="94" t="s">
        <v>227</v>
      </c>
      <c r="C26" s="94" t="s">
        <v>227</v>
      </c>
      <c r="D26" s="94" t="s">
        <v>228</v>
      </c>
      <c r="E26" s="94" t="s">
        <v>228</v>
      </c>
      <c r="G26" s="94" t="s">
        <v>228</v>
      </c>
      <c r="H26" s="94" t="s">
        <v>227</v>
      </c>
      <c r="I26" s="115" t="s">
        <v>229</v>
      </c>
      <c r="J26" s="94" t="s">
        <v>227</v>
      </c>
    </row>
    <row r="27" spans="1:17">
      <c r="A27" s="88" t="s">
        <v>230</v>
      </c>
      <c r="B27" s="97" t="s">
        <v>231</v>
      </c>
      <c r="C27" s="116" t="s">
        <v>231</v>
      </c>
      <c r="D27" s="97" t="s">
        <v>232</v>
      </c>
      <c r="E27" s="116" t="s">
        <v>233</v>
      </c>
      <c r="G27" s="116" t="s">
        <v>231</v>
      </c>
      <c r="H27" s="116" t="s">
        <v>233</v>
      </c>
      <c r="I27" s="116" t="s">
        <v>231</v>
      </c>
      <c r="J27" s="116" t="s">
        <v>234</v>
      </c>
    </row>
    <row r="28" spans="1:17">
      <c r="A28" s="88" t="s">
        <v>235</v>
      </c>
      <c r="B28" s="94" t="s">
        <v>301</v>
      </c>
      <c r="C28" s="94" t="s">
        <v>236</v>
      </c>
      <c r="D28" s="94" t="s">
        <v>237</v>
      </c>
      <c r="E28" s="97" t="s">
        <v>238</v>
      </c>
      <c r="G28" s="97" t="s">
        <v>238</v>
      </c>
      <c r="H28" s="94" t="s">
        <v>239</v>
      </c>
      <c r="I28" s="97" t="s">
        <v>238</v>
      </c>
      <c r="J28" s="94" t="s">
        <v>239</v>
      </c>
    </row>
    <row r="29" spans="1:17" ht="51">
      <c r="A29" s="88" t="s">
        <v>240</v>
      </c>
      <c r="B29" s="94" t="s">
        <v>241</v>
      </c>
      <c r="C29" s="94" t="s">
        <v>239</v>
      </c>
      <c r="D29" s="94" t="s">
        <v>239</v>
      </c>
      <c r="E29" s="94" t="s">
        <v>239</v>
      </c>
      <c r="G29" s="94" t="s">
        <v>239</v>
      </c>
      <c r="H29" s="97" t="s">
        <v>242</v>
      </c>
      <c r="I29" s="94" t="s">
        <v>239</v>
      </c>
      <c r="J29" s="94" t="s">
        <v>239</v>
      </c>
    </row>
    <row r="30" spans="1:17">
      <c r="A30" s="88" t="s">
        <v>243</v>
      </c>
      <c r="B30" s="117"/>
      <c r="C30" s="94" t="s">
        <v>244</v>
      </c>
      <c r="D30" s="94" t="s">
        <v>245</v>
      </c>
      <c r="E30" s="118" t="s">
        <v>245</v>
      </c>
      <c r="G30" s="118" t="s">
        <v>245</v>
      </c>
      <c r="H30" s="94" t="s">
        <v>245</v>
      </c>
      <c r="I30" s="118" t="s">
        <v>245</v>
      </c>
      <c r="J30" s="94" t="s">
        <v>245</v>
      </c>
    </row>
    <row r="31" spans="1:17">
      <c r="A31" s="88" t="s">
        <v>122</v>
      </c>
      <c r="B31" s="117"/>
      <c r="C31" s="94">
        <v>1800000</v>
      </c>
      <c r="D31" s="118">
        <v>7200000</v>
      </c>
      <c r="E31" s="94">
        <v>2450000</v>
      </c>
      <c r="G31" s="94">
        <v>5800000</v>
      </c>
      <c r="H31" s="94">
        <v>1300000</v>
      </c>
      <c r="I31" s="94">
        <v>2800000</v>
      </c>
      <c r="J31" s="94">
        <v>1500000</v>
      </c>
    </row>
    <row r="32" spans="1:17">
      <c r="A32" s="88" t="s">
        <v>246</v>
      </c>
      <c r="B32" s="117"/>
      <c r="C32" s="94">
        <f>C31*долл</f>
        <v>157410000</v>
      </c>
      <c r="D32" s="94">
        <f>D31*долл</f>
        <v>629640000</v>
      </c>
      <c r="E32" s="94">
        <f>E31*долл</f>
        <v>214252500</v>
      </c>
      <c r="G32" s="94">
        <f>G31*долл</f>
        <v>507210000</v>
      </c>
      <c r="H32" s="94">
        <v>212000000</v>
      </c>
      <c r="I32" s="94">
        <f>I31*долл</f>
        <v>244860000</v>
      </c>
      <c r="J32" s="94">
        <f>J31*долл</f>
        <v>131175000</v>
      </c>
    </row>
    <row r="33" spans="1:10" ht="15">
      <c r="A33" s="88" t="s">
        <v>247</v>
      </c>
      <c r="B33" s="115"/>
      <c r="C33" s="115">
        <f>C31/C14</f>
        <v>962.56684491978615</v>
      </c>
      <c r="D33" s="115">
        <f>D31/D14</f>
        <v>1029.1595197255574</v>
      </c>
      <c r="E33" s="115">
        <f>E31/E14</f>
        <v>734.03840968331485</v>
      </c>
      <c r="G33" s="115">
        <f>G31/G14</f>
        <v>1017.543859649123</v>
      </c>
      <c r="H33" s="115">
        <f>H31/H14</f>
        <v>682.05666316894019</v>
      </c>
      <c r="I33" s="115">
        <f>I31/I14</f>
        <v>823.52941176470586</v>
      </c>
      <c r="J33" s="115">
        <f>J31/J14</f>
        <v>833.33333333333337</v>
      </c>
    </row>
    <row r="34" spans="1:10" ht="15">
      <c r="A34" s="88" t="s">
        <v>248</v>
      </c>
      <c r="B34" s="115"/>
      <c r="C34" s="115">
        <f>C33*долл</f>
        <v>84176.470588235301</v>
      </c>
      <c r="D34" s="115">
        <f>D33*долл</f>
        <v>90000</v>
      </c>
      <c r="E34" s="115">
        <f>E33*долл</f>
        <v>64191.658926805889</v>
      </c>
      <c r="G34" s="115">
        <f>G33*долл</f>
        <v>88984.210526315801</v>
      </c>
      <c r="H34" s="115">
        <f>H33*долл</f>
        <v>59645.855194123818</v>
      </c>
      <c r="I34" s="115">
        <f>I33*долл</f>
        <v>72017.647058823524</v>
      </c>
      <c r="J34" s="115">
        <f>J33*долл</f>
        <v>72875</v>
      </c>
    </row>
    <row r="35" spans="1:10">
      <c r="A35" s="119" t="s">
        <v>249</v>
      </c>
      <c r="B35" s="87"/>
      <c r="C35" s="87" t="str">
        <f>C7</f>
        <v>Аналог 1</v>
      </c>
      <c r="D35" s="87" t="str">
        <f>D7</f>
        <v>Аналог 2</v>
      </c>
      <c r="E35" s="87" t="str">
        <f>E7</f>
        <v>Аналог 4</v>
      </c>
      <c r="G35" s="87" t="str">
        <f>G7</f>
        <v>Аналог 3</v>
      </c>
      <c r="H35" s="87" t="str">
        <f>H7</f>
        <v>Аналог 1</v>
      </c>
      <c r="I35" s="87" t="str">
        <f>I7</f>
        <v>Аналог 3</v>
      </c>
      <c r="J35" s="87" t="str">
        <f>J7</f>
        <v>Аналог 1</v>
      </c>
    </row>
    <row r="36" spans="1:10" s="113" customFormat="1" ht="14.25" hidden="1" customHeight="1" outlineLevel="1">
      <c r="A36" s="120" t="s">
        <v>250</v>
      </c>
      <c r="B36" s="121"/>
      <c r="C36" s="122">
        <v>1</v>
      </c>
      <c r="D36" s="122">
        <v>1</v>
      </c>
      <c r="E36" s="122">
        <v>1</v>
      </c>
      <c r="G36" s="122">
        <v>1</v>
      </c>
      <c r="H36" s="122">
        <v>1</v>
      </c>
      <c r="I36" s="122">
        <v>1</v>
      </c>
      <c r="J36" s="122">
        <v>1</v>
      </c>
    </row>
    <row r="37" spans="1:10" s="113" customFormat="1" ht="16.5" hidden="1" customHeight="1" outlineLevel="1">
      <c r="A37" s="123" t="s">
        <v>251</v>
      </c>
      <c r="B37" s="124"/>
      <c r="C37" s="124">
        <f>C36*C34</f>
        <v>84176.470588235301</v>
      </c>
      <c r="D37" s="124">
        <f>D36*D34</f>
        <v>90000</v>
      </c>
      <c r="E37" s="124">
        <f>E36*E34</f>
        <v>64191.658926805889</v>
      </c>
      <c r="G37" s="124">
        <f>G36*G34</f>
        <v>88984.210526315801</v>
      </c>
      <c r="H37" s="124">
        <f>H36*H34</f>
        <v>59645.855194123818</v>
      </c>
      <c r="I37" s="124">
        <f>I36*I34</f>
        <v>72017.647058823524</v>
      </c>
      <c r="J37" s="124">
        <f>J36*J34</f>
        <v>72875</v>
      </c>
    </row>
    <row r="38" spans="1:10" collapsed="1">
      <c r="A38" s="125" t="s">
        <v>252</v>
      </c>
      <c r="B38" s="126"/>
      <c r="C38" s="127">
        <v>0.95</v>
      </c>
      <c r="D38" s="127">
        <v>0.9</v>
      </c>
      <c r="E38" s="127">
        <v>0.9</v>
      </c>
      <c r="G38" s="127">
        <v>0.9</v>
      </c>
      <c r="H38" s="127">
        <v>0.9</v>
      </c>
      <c r="I38" s="127">
        <v>0.9</v>
      </c>
      <c r="J38" s="127">
        <v>0.9</v>
      </c>
    </row>
    <row r="39" spans="1:10" ht="15">
      <c r="A39" s="128" t="s">
        <v>251</v>
      </c>
      <c r="B39" s="129"/>
      <c r="C39" s="129">
        <f>C38*C37</f>
        <v>79967.647058823539</v>
      </c>
      <c r="D39" s="129">
        <f>D38*D37</f>
        <v>81000</v>
      </c>
      <c r="E39" s="129">
        <f>E38*E37</f>
        <v>57772.493034125298</v>
      </c>
      <c r="G39" s="129">
        <f>G38*G37</f>
        <v>80085.789473684228</v>
      </c>
      <c r="H39" s="129">
        <f>H38*H37</f>
        <v>53681.269674711439</v>
      </c>
      <c r="I39" s="129">
        <f>I38*I37</f>
        <v>64815.882352941175</v>
      </c>
      <c r="J39" s="129">
        <f>J38*J37</f>
        <v>65587.5</v>
      </c>
    </row>
    <row r="40" spans="1:10">
      <c r="A40" s="130" t="s">
        <v>253</v>
      </c>
      <c r="B40" s="115"/>
      <c r="C40" s="131">
        <v>1</v>
      </c>
      <c r="D40" s="131">
        <v>1</v>
      </c>
      <c r="E40" s="131">
        <v>1</v>
      </c>
      <c r="G40" s="131">
        <v>1.1000000000000001</v>
      </c>
      <c r="H40" s="131">
        <v>1</v>
      </c>
      <c r="I40" s="131">
        <v>1</v>
      </c>
      <c r="J40" s="131">
        <v>1</v>
      </c>
    </row>
    <row r="41" spans="1:10" ht="15">
      <c r="A41" s="132" t="s">
        <v>251</v>
      </c>
      <c r="B41" s="133"/>
      <c r="C41" s="133">
        <f>C40*C39</f>
        <v>79967.647058823539</v>
      </c>
      <c r="D41" s="133">
        <f>D40*D39</f>
        <v>81000</v>
      </c>
      <c r="E41" s="133">
        <f>E40*E39</f>
        <v>57772.493034125298</v>
      </c>
      <c r="G41" s="133">
        <f>G40*G39</f>
        <v>88094.368421052655</v>
      </c>
      <c r="H41" s="133">
        <f>H40*H39</f>
        <v>53681.269674711439</v>
      </c>
      <c r="I41" s="133">
        <f>I40*I39</f>
        <v>64815.882352941175</v>
      </c>
      <c r="J41" s="133">
        <f>J40*J39</f>
        <v>65587.5</v>
      </c>
    </row>
    <row r="42" spans="1:10">
      <c r="A42" s="130" t="s">
        <v>254</v>
      </c>
      <c r="B42" s="115"/>
      <c r="C42" s="131">
        <v>0.92</v>
      </c>
      <c r="D42" s="131">
        <v>0.8</v>
      </c>
      <c r="E42" s="131">
        <v>1.1000000000000001</v>
      </c>
      <c r="G42" s="131">
        <v>0.9</v>
      </c>
      <c r="H42" s="131">
        <v>0.9</v>
      </c>
      <c r="I42" s="131">
        <v>0.95</v>
      </c>
      <c r="J42" s="131">
        <v>1</v>
      </c>
    </row>
    <row r="43" spans="1:10" ht="15">
      <c r="A43" s="132" t="s">
        <v>251</v>
      </c>
      <c r="B43" s="133"/>
      <c r="C43" s="133">
        <f>C42*C41</f>
        <v>73570.235294117665</v>
      </c>
      <c r="D43" s="133">
        <f>D42*D41</f>
        <v>64800</v>
      </c>
      <c r="E43" s="133">
        <f>E42*E41</f>
        <v>63549.742337537835</v>
      </c>
      <c r="G43" s="133">
        <f>G42*G41</f>
        <v>79284.931578947391</v>
      </c>
      <c r="H43" s="133">
        <f>H42*H41</f>
        <v>48313.142707240295</v>
      </c>
      <c r="I43" s="133">
        <f>I42*I41</f>
        <v>61575.088235294112</v>
      </c>
      <c r="J43" s="133">
        <f>J42*J41</f>
        <v>65587.5</v>
      </c>
    </row>
    <row r="44" spans="1:10">
      <c r="A44" s="130" t="s">
        <v>255</v>
      </c>
      <c r="B44" s="115"/>
      <c r="C44" s="131">
        <v>1.1000000000000001</v>
      </c>
      <c r="D44" s="131">
        <v>1.1000000000000001</v>
      </c>
      <c r="E44" s="131">
        <v>1</v>
      </c>
      <c r="G44" s="131">
        <v>0.9</v>
      </c>
      <c r="H44" s="131">
        <v>1.1000000000000001</v>
      </c>
      <c r="I44" s="131">
        <v>0.92</v>
      </c>
      <c r="J44" s="131">
        <v>0.92</v>
      </c>
    </row>
    <row r="45" spans="1:10" ht="15">
      <c r="A45" s="132" t="s">
        <v>251</v>
      </c>
      <c r="B45" s="133"/>
      <c r="C45" s="133">
        <f>C44*C43</f>
        <v>80927.258823529439</v>
      </c>
      <c r="D45" s="133">
        <f>D44*D43</f>
        <v>71280</v>
      </c>
      <c r="E45" s="133">
        <f>E44*E43</f>
        <v>63549.742337537835</v>
      </c>
      <c r="G45" s="133">
        <f>G44*G43</f>
        <v>71356.438421052648</v>
      </c>
      <c r="H45" s="133">
        <f>H44*H43</f>
        <v>53144.456977964328</v>
      </c>
      <c r="I45" s="133">
        <f>I44*I43</f>
        <v>56649.081176470587</v>
      </c>
      <c r="J45" s="133">
        <f>J44*J43</f>
        <v>60340.5</v>
      </c>
    </row>
    <row r="46" spans="1:10">
      <c r="A46" s="130" t="s">
        <v>256</v>
      </c>
      <c r="B46" s="133"/>
      <c r="C46" s="131">
        <v>1</v>
      </c>
      <c r="D46" s="131">
        <v>1</v>
      </c>
      <c r="E46" s="131">
        <v>1</v>
      </c>
      <c r="G46" s="131">
        <v>1</v>
      </c>
      <c r="H46" s="131">
        <v>1</v>
      </c>
      <c r="I46" s="131">
        <v>1</v>
      </c>
      <c r="J46" s="131">
        <v>1</v>
      </c>
    </row>
    <row r="47" spans="1:10" ht="15">
      <c r="A47" s="132" t="s">
        <v>251</v>
      </c>
      <c r="B47" s="133"/>
      <c r="C47" s="133">
        <f>C45*C46</f>
        <v>80927.258823529439</v>
      </c>
      <c r="D47" s="133">
        <f>D45*D46</f>
        <v>71280</v>
      </c>
      <c r="E47" s="133">
        <f>E45*E46</f>
        <v>63549.742337537835</v>
      </c>
      <c r="G47" s="133">
        <f>G45*G46</f>
        <v>71356.438421052648</v>
      </c>
      <c r="H47" s="133">
        <f>H45*H46</f>
        <v>53144.456977964328</v>
      </c>
      <c r="I47" s="133">
        <f>I45*I46</f>
        <v>56649.081176470587</v>
      </c>
      <c r="J47" s="133">
        <f>J45*J46</f>
        <v>60340.5</v>
      </c>
    </row>
    <row r="48" spans="1:10">
      <c r="A48" s="130" t="s">
        <v>257</v>
      </c>
      <c r="B48" s="115"/>
      <c r="C48" s="131">
        <v>0.98</v>
      </c>
      <c r="D48" s="131">
        <v>1</v>
      </c>
      <c r="E48" s="131">
        <v>1</v>
      </c>
      <c r="G48" s="131">
        <v>0.98</v>
      </c>
      <c r="H48" s="131">
        <v>0.98</v>
      </c>
      <c r="I48" s="131">
        <v>0.98</v>
      </c>
      <c r="J48" s="131">
        <v>0.98</v>
      </c>
    </row>
    <row r="49" spans="1:10" ht="15">
      <c r="A49" s="132" t="s">
        <v>251</v>
      </c>
      <c r="B49" s="133"/>
      <c r="C49" s="133">
        <f>C48*C47</f>
        <v>79308.713647058845</v>
      </c>
      <c r="D49" s="133">
        <f>D48*D47</f>
        <v>71280</v>
      </c>
      <c r="E49" s="133">
        <f>E48*E47</f>
        <v>63549.742337537835</v>
      </c>
      <c r="G49" s="133">
        <f>G48*G47</f>
        <v>69929.309652631593</v>
      </c>
      <c r="H49" s="133">
        <f>H48*H47</f>
        <v>52081.567838405041</v>
      </c>
      <c r="I49" s="133">
        <f>I48*I47</f>
        <v>55516.099552941174</v>
      </c>
      <c r="J49" s="133">
        <f>J48*J47</f>
        <v>59133.69</v>
      </c>
    </row>
    <row r="50" spans="1:10" ht="13.5" customHeight="1">
      <c r="A50" s="125" t="s">
        <v>258</v>
      </c>
      <c r="B50" s="129"/>
      <c r="C50" s="127">
        <f>MROUND(C113,0.02)</f>
        <v>0.96</v>
      </c>
      <c r="D50" s="127">
        <f>MROUND(D113,0.02)</f>
        <v>0.92</v>
      </c>
      <c r="E50" s="127">
        <f>MROUND(E113,0.02)</f>
        <v>0.98</v>
      </c>
      <c r="G50" s="127">
        <f>MROUND(G113,0.02)</f>
        <v>1.04</v>
      </c>
      <c r="H50" s="127">
        <f>MROUND(H113,0.02)</f>
        <v>0.86</v>
      </c>
      <c r="I50" s="127">
        <f>MROUND(I113,0.02)</f>
        <v>0.88</v>
      </c>
      <c r="J50" s="127">
        <f>MROUND(J113,0.02)</f>
        <v>1.04</v>
      </c>
    </row>
    <row r="51" spans="1:10" s="113" customFormat="1" ht="15" outlineLevel="1">
      <c r="A51" s="128" t="s">
        <v>251</v>
      </c>
      <c r="B51" s="129"/>
      <c r="C51" s="129">
        <f>C50*C49</f>
        <v>76136.365101176489</v>
      </c>
      <c r="D51" s="129">
        <f>D50*D49</f>
        <v>65577.600000000006</v>
      </c>
      <c r="E51" s="129">
        <f>E50*E49</f>
        <v>62278.747490787078</v>
      </c>
      <c r="F51" s="74"/>
      <c r="G51" s="129">
        <f>G50*G49</f>
        <v>72726.482038736853</v>
      </c>
      <c r="H51" s="129">
        <f>H50*H49</f>
        <v>44790.148341028333</v>
      </c>
      <c r="I51" s="129">
        <f>I50*I49</f>
        <v>48854.167606588235</v>
      </c>
      <c r="J51" s="129">
        <f>J50*J49</f>
        <v>61499.037600000003</v>
      </c>
    </row>
    <row r="52" spans="1:10" s="113" customFormat="1" outlineLevel="1">
      <c r="A52" s="125" t="s">
        <v>259</v>
      </c>
      <c r="B52" s="126"/>
      <c r="C52" s="127">
        <v>1</v>
      </c>
      <c r="D52" s="127">
        <v>1</v>
      </c>
      <c r="E52" s="127">
        <v>1</v>
      </c>
      <c r="F52" s="74"/>
      <c r="G52" s="127">
        <v>1</v>
      </c>
      <c r="H52" s="127">
        <v>1</v>
      </c>
      <c r="I52" s="127">
        <v>1</v>
      </c>
      <c r="J52" s="127">
        <v>1</v>
      </c>
    </row>
    <row r="53" spans="1:10" ht="15">
      <c r="A53" s="128" t="s">
        <v>251</v>
      </c>
      <c r="B53" s="129"/>
      <c r="C53" s="129">
        <f>C52*C51</f>
        <v>76136.365101176489</v>
      </c>
      <c r="D53" s="129">
        <f>D52*D51</f>
        <v>65577.600000000006</v>
      </c>
      <c r="E53" s="129">
        <f>E52*E51</f>
        <v>62278.747490787078</v>
      </c>
      <c r="G53" s="129">
        <f>G52*G51</f>
        <v>72726.482038736853</v>
      </c>
      <c r="H53" s="129">
        <f>H52*H51</f>
        <v>44790.148341028333</v>
      </c>
      <c r="I53" s="129">
        <f>I52*I51</f>
        <v>48854.167606588235</v>
      </c>
      <c r="J53" s="129">
        <f>J52*J51</f>
        <v>61499.037600000003</v>
      </c>
    </row>
    <row r="54" spans="1:10">
      <c r="A54" s="130" t="s">
        <v>260</v>
      </c>
      <c r="B54" s="133"/>
      <c r="C54" s="131">
        <v>1</v>
      </c>
      <c r="D54" s="131">
        <v>0.92</v>
      </c>
      <c r="E54" s="131">
        <v>0.9</v>
      </c>
      <c r="G54" s="131">
        <v>0.95</v>
      </c>
      <c r="H54" s="131">
        <v>0.95</v>
      </c>
      <c r="I54" s="131">
        <v>1</v>
      </c>
      <c r="J54" s="131">
        <v>1</v>
      </c>
    </row>
    <row r="55" spans="1:10" ht="15">
      <c r="A55" s="132" t="s">
        <v>251</v>
      </c>
      <c r="B55" s="133"/>
      <c r="C55" s="133">
        <f>C54*C53</f>
        <v>76136.365101176489</v>
      </c>
      <c r="D55" s="133">
        <f>D54*D53</f>
        <v>60331.392000000007</v>
      </c>
      <c r="E55" s="133">
        <f>E54*E53</f>
        <v>56050.872741708372</v>
      </c>
      <c r="G55" s="133">
        <f>G54*G53</f>
        <v>69090.157936800009</v>
      </c>
      <c r="H55" s="133">
        <f>H54*H53</f>
        <v>42550.640923976913</v>
      </c>
      <c r="I55" s="133">
        <f>I54*I53</f>
        <v>48854.167606588235</v>
      </c>
      <c r="J55" s="133">
        <f>J54*J53</f>
        <v>61499.037600000003</v>
      </c>
    </row>
    <row r="56" spans="1:10">
      <c r="A56" s="130" t="s">
        <v>261</v>
      </c>
      <c r="B56" s="133"/>
      <c r="C56" s="131">
        <v>0.95</v>
      </c>
      <c r="D56" s="131">
        <v>1</v>
      </c>
      <c r="E56" s="131">
        <v>1.05</v>
      </c>
      <c r="G56" s="131">
        <v>1.05</v>
      </c>
      <c r="H56" s="131">
        <v>0.95</v>
      </c>
      <c r="I56" s="131">
        <v>1.05</v>
      </c>
      <c r="J56" s="131">
        <v>1.05</v>
      </c>
    </row>
    <row r="57" spans="1:10" ht="15">
      <c r="A57" s="132" t="s">
        <v>251</v>
      </c>
      <c r="B57" s="133"/>
      <c r="C57" s="133">
        <f>C56*C55</f>
        <v>72329.546846117664</v>
      </c>
      <c r="D57" s="133">
        <f>D56*D55</f>
        <v>60331.392000000007</v>
      </c>
      <c r="E57" s="133">
        <f>E56*E55</f>
        <v>58853.416378793794</v>
      </c>
      <c r="G57" s="133">
        <f>G56*G55</f>
        <v>72544.665833640014</v>
      </c>
      <c r="H57" s="133">
        <f>H56*H55</f>
        <v>40423.108877778068</v>
      </c>
      <c r="I57" s="133">
        <f>I56*I55</f>
        <v>51296.87598691765</v>
      </c>
      <c r="J57" s="133">
        <f>J56*J55</f>
        <v>64573.989480000004</v>
      </c>
    </row>
    <row r="58" spans="1:10">
      <c r="A58" s="130" t="s">
        <v>262</v>
      </c>
      <c r="B58" s="115"/>
      <c r="C58" s="131">
        <v>1</v>
      </c>
      <c r="D58" s="131">
        <v>1</v>
      </c>
      <c r="E58" s="131">
        <v>1</v>
      </c>
      <c r="G58" s="131">
        <v>1</v>
      </c>
      <c r="H58" s="131">
        <v>1</v>
      </c>
      <c r="I58" s="131">
        <v>0.95</v>
      </c>
      <c r="J58" s="131">
        <v>0.95</v>
      </c>
    </row>
    <row r="59" spans="1:10" ht="15">
      <c r="A59" s="132" t="s">
        <v>251</v>
      </c>
      <c r="B59" s="133"/>
      <c r="C59" s="133">
        <f>C58*C57</f>
        <v>72329.546846117664</v>
      </c>
      <c r="D59" s="133">
        <f>D58*D57</f>
        <v>60331.392000000007</v>
      </c>
      <c r="E59" s="133">
        <f>E58*E57</f>
        <v>58853.416378793794</v>
      </c>
      <c r="G59" s="133">
        <f>G58*G57</f>
        <v>72544.665833640014</v>
      </c>
      <c r="H59" s="133">
        <f>H58*H57</f>
        <v>40423.108877778068</v>
      </c>
      <c r="I59" s="133">
        <f>I58*I57</f>
        <v>48732.032187571764</v>
      </c>
      <c r="J59" s="133">
        <f>J58*J57</f>
        <v>61345.290006000003</v>
      </c>
    </row>
    <row r="60" spans="1:10">
      <c r="A60" s="130" t="s">
        <v>263</v>
      </c>
      <c r="B60" s="133"/>
      <c r="C60" s="131">
        <v>1</v>
      </c>
      <c r="D60" s="131">
        <v>1</v>
      </c>
      <c r="E60" s="131">
        <v>1</v>
      </c>
      <c r="G60" s="131">
        <v>1</v>
      </c>
      <c r="H60" s="131">
        <v>1</v>
      </c>
      <c r="I60" s="131">
        <v>1</v>
      </c>
      <c r="J60" s="131">
        <v>1</v>
      </c>
    </row>
    <row r="61" spans="1:10" ht="15">
      <c r="A61" s="132" t="s">
        <v>251</v>
      </c>
      <c r="B61" s="133"/>
      <c r="C61" s="133">
        <f t="shared" ref="C61" si="2">C60*C59</f>
        <v>72329.546846117664</v>
      </c>
      <c r="D61" s="133">
        <f>D60*D59</f>
        <v>60331.392000000007</v>
      </c>
      <c r="E61" s="133">
        <f>E60*E59</f>
        <v>58853.416378793794</v>
      </c>
      <c r="G61" s="133">
        <f t="shared" ref="G61" si="3">G60*G59</f>
        <v>72544.665833640014</v>
      </c>
      <c r="H61" s="133">
        <f>H60*H59</f>
        <v>40423.108877778068</v>
      </c>
      <c r="I61" s="133">
        <f>I60*I59</f>
        <v>48732.032187571764</v>
      </c>
      <c r="J61" s="133">
        <f>J60*J59</f>
        <v>61345.290006000003</v>
      </c>
    </row>
    <row r="62" spans="1:10">
      <c r="A62" s="130" t="s">
        <v>264</v>
      </c>
      <c r="B62" s="133"/>
      <c r="C62" s="131">
        <v>0.98</v>
      </c>
      <c r="D62" s="131">
        <v>0.98</v>
      </c>
      <c r="E62" s="131">
        <v>0.98</v>
      </c>
      <c r="G62" s="131">
        <v>0.98</v>
      </c>
      <c r="H62" s="131">
        <v>0.98</v>
      </c>
      <c r="I62" s="131">
        <v>0.98</v>
      </c>
      <c r="J62" s="131">
        <v>0.98</v>
      </c>
    </row>
    <row r="63" spans="1:10" ht="15">
      <c r="A63" s="132" t="s">
        <v>251</v>
      </c>
      <c r="B63" s="133"/>
      <c r="C63" s="133">
        <f t="shared" ref="C63" si="4">C62*C61</f>
        <v>70882.955909195312</v>
      </c>
      <c r="D63" s="133">
        <f>D62*D61</f>
        <v>59124.764160000006</v>
      </c>
      <c r="E63" s="133">
        <f>E62*E61</f>
        <v>57676.348051217916</v>
      </c>
      <c r="G63" s="133">
        <f t="shared" ref="G63" si="5">G62*G61</f>
        <v>71093.772516967219</v>
      </c>
      <c r="H63" s="133">
        <f>H62*H61</f>
        <v>39614.646700222504</v>
      </c>
      <c r="I63" s="133">
        <f>I62*I61</f>
        <v>47757.391543820326</v>
      </c>
      <c r="J63" s="133">
        <f>J62*J61</f>
        <v>60118.38420588</v>
      </c>
    </row>
    <row r="64" spans="1:10">
      <c r="A64" s="130" t="s">
        <v>265</v>
      </c>
      <c r="B64" s="115"/>
      <c r="C64" s="131">
        <v>1</v>
      </c>
      <c r="D64" s="131">
        <v>0.98</v>
      </c>
      <c r="E64" s="131">
        <v>1.02</v>
      </c>
      <c r="G64" s="131">
        <v>1</v>
      </c>
      <c r="H64" s="131">
        <v>1.02</v>
      </c>
      <c r="I64" s="131">
        <v>1</v>
      </c>
      <c r="J64" s="131">
        <v>1</v>
      </c>
    </row>
    <row r="65" spans="1:10" ht="15">
      <c r="A65" s="132" t="s">
        <v>251</v>
      </c>
      <c r="B65" s="133"/>
      <c r="C65" s="133">
        <f t="shared" ref="C65" si="6">C64*C63</f>
        <v>70882.955909195312</v>
      </c>
      <c r="D65" s="133">
        <f>D64*D63</f>
        <v>57942.268876800008</v>
      </c>
      <c r="E65" s="133">
        <f>E64*E63</f>
        <v>58829.875012242272</v>
      </c>
      <c r="G65" s="133">
        <f t="shared" ref="G65" si="7">G64*G63</f>
        <v>71093.772516967219</v>
      </c>
      <c r="H65" s="133">
        <f>H64*H63</f>
        <v>40406.939634226954</v>
      </c>
      <c r="I65" s="133">
        <f>I64*I63</f>
        <v>47757.391543820326</v>
      </c>
      <c r="J65" s="133">
        <f>J64*J63</f>
        <v>60118.38420588</v>
      </c>
    </row>
    <row r="66" spans="1:10">
      <c r="A66" s="125" t="s">
        <v>266</v>
      </c>
      <c r="B66" s="126"/>
      <c r="C66" s="127">
        <f>C124</f>
        <v>0.86</v>
      </c>
      <c r="D66" s="127">
        <f>D124</f>
        <v>1.02</v>
      </c>
      <c r="E66" s="127">
        <f>E124</f>
        <v>0.94000000000000006</v>
      </c>
      <c r="G66" s="127">
        <f>G124</f>
        <v>0.98</v>
      </c>
      <c r="H66" s="127">
        <f>H124</f>
        <v>1.28</v>
      </c>
      <c r="I66" s="127">
        <f>I124</f>
        <v>1.02</v>
      </c>
      <c r="J66" s="127">
        <f>J124</f>
        <v>1.04</v>
      </c>
    </row>
    <row r="67" spans="1:10" ht="15">
      <c r="A67" s="128" t="s">
        <v>251</v>
      </c>
      <c r="B67" s="129"/>
      <c r="C67" s="129">
        <f>C66*C65</f>
        <v>60959.342081907969</v>
      </c>
      <c r="D67" s="129">
        <f>D66*D65</f>
        <v>59101.114254336011</v>
      </c>
      <c r="E67" s="129">
        <f>E66*E65</f>
        <v>55300.082511507739</v>
      </c>
      <c r="G67" s="129">
        <f>G66*G65</f>
        <v>69671.897066627876</v>
      </c>
      <c r="H67" s="129">
        <f>H66*H65</f>
        <v>51720.882731810503</v>
      </c>
      <c r="I67" s="129">
        <f>I66*I65</f>
        <v>48712.539374696731</v>
      </c>
      <c r="J67" s="129">
        <f>J66*J65</f>
        <v>62523.119574115204</v>
      </c>
    </row>
    <row r="68" spans="1:10">
      <c r="A68" s="130" t="s">
        <v>267</v>
      </c>
      <c r="B68" s="115"/>
      <c r="C68" s="131">
        <v>0.88</v>
      </c>
      <c r="D68" s="131">
        <v>0.92</v>
      </c>
      <c r="E68" s="131">
        <v>0.9</v>
      </c>
      <c r="G68" s="131">
        <v>0.92</v>
      </c>
      <c r="H68" s="131">
        <v>0.88</v>
      </c>
      <c r="I68" s="131">
        <v>0.9</v>
      </c>
      <c r="J68" s="131">
        <v>0.88</v>
      </c>
    </row>
    <row r="69" spans="1:10" ht="15">
      <c r="A69" s="132" t="s">
        <v>251</v>
      </c>
      <c r="B69" s="134"/>
      <c r="C69" s="133">
        <f>C68*C67</f>
        <v>53644.221032079011</v>
      </c>
      <c r="D69" s="133">
        <f>D68*D67</f>
        <v>54373.025113989133</v>
      </c>
      <c r="E69" s="133">
        <f>E68*E67</f>
        <v>49770.074260356967</v>
      </c>
      <c r="G69" s="133">
        <f>G68*G67</f>
        <v>64098.145301297649</v>
      </c>
      <c r="H69" s="133">
        <f>H68*H67</f>
        <v>45514.37680399324</v>
      </c>
      <c r="I69" s="133">
        <f>I68*I67</f>
        <v>43841.285437227059</v>
      </c>
      <c r="J69" s="133">
        <f>J68*J67</f>
        <v>55020.345225221383</v>
      </c>
    </row>
    <row r="70" spans="1:10">
      <c r="A70" s="130" t="s">
        <v>268</v>
      </c>
      <c r="B70" s="134"/>
      <c r="C70" s="131">
        <v>1.1000000000000001</v>
      </c>
      <c r="D70" s="131">
        <v>1.05</v>
      </c>
      <c r="E70" s="131">
        <v>1.1499999999999999</v>
      </c>
      <c r="G70" s="131">
        <v>1.1499999999999999</v>
      </c>
      <c r="H70" s="131">
        <v>1.1499999999999999</v>
      </c>
      <c r="I70" s="131">
        <v>1.1499999999999999</v>
      </c>
      <c r="J70" s="131">
        <v>1.1499999999999999</v>
      </c>
    </row>
    <row r="71" spans="1:10" ht="15">
      <c r="A71" s="132" t="s">
        <v>251</v>
      </c>
      <c r="B71" s="134"/>
      <c r="C71" s="133">
        <f>C69*C70</f>
        <v>59008.643135286919</v>
      </c>
      <c r="D71" s="133">
        <f>D69*D70</f>
        <v>57091.67636968859</v>
      </c>
      <c r="E71" s="133">
        <f>E69*E70</f>
        <v>57235.585399410505</v>
      </c>
      <c r="G71" s="133">
        <f>G69*G70</f>
        <v>73712.867096492293</v>
      </c>
      <c r="H71" s="133">
        <f>H69*H70</f>
        <v>52341.533324592223</v>
      </c>
      <c r="I71" s="133">
        <f>I69*I70</f>
        <v>50417.478252811117</v>
      </c>
      <c r="J71" s="133">
        <f>J69*J70</f>
        <v>63273.397009004584</v>
      </c>
    </row>
    <row r="72" spans="1:10">
      <c r="A72" s="130" t="s">
        <v>269</v>
      </c>
      <c r="B72" s="134"/>
      <c r="C72" s="131">
        <v>1</v>
      </c>
      <c r="D72" s="131">
        <v>1</v>
      </c>
      <c r="E72" s="131">
        <v>1</v>
      </c>
      <c r="G72" s="131">
        <v>1</v>
      </c>
      <c r="H72" s="131">
        <v>0.8</v>
      </c>
      <c r="I72" s="131">
        <v>1</v>
      </c>
      <c r="J72" s="131">
        <v>1</v>
      </c>
    </row>
    <row r="73" spans="1:10" ht="15">
      <c r="A73" s="132" t="s">
        <v>251</v>
      </c>
      <c r="B73" s="134"/>
      <c r="C73" s="133">
        <f>C71*C72</f>
        <v>59008.643135286919</v>
      </c>
      <c r="D73" s="133">
        <f>D71*D72</f>
        <v>57091.67636968859</v>
      </c>
      <c r="E73" s="133">
        <f>E71*E72</f>
        <v>57235.585399410505</v>
      </c>
      <c r="G73" s="133">
        <f>G71*G72</f>
        <v>73712.867096492293</v>
      </c>
      <c r="H73" s="133">
        <f>H71*H72</f>
        <v>41873.226659673783</v>
      </c>
      <c r="I73" s="133">
        <f>I71*I72</f>
        <v>50417.478252811117</v>
      </c>
      <c r="J73" s="133">
        <f>J71*J72</f>
        <v>63273.397009004584</v>
      </c>
    </row>
    <row r="74" spans="1:10" ht="15">
      <c r="A74" s="132" t="s">
        <v>270</v>
      </c>
      <c r="B74" s="133"/>
      <c r="C74" s="133">
        <f>C73/долл</f>
        <v>674.77007587520768</v>
      </c>
      <c r="D74" s="133">
        <f>D73/долл</f>
        <v>652.8493581439518</v>
      </c>
      <c r="E74" s="133">
        <f>E73/долл</f>
        <v>654.49497312076051</v>
      </c>
      <c r="G74" s="133">
        <f>G73/долл</f>
        <v>842.91443220688723</v>
      </c>
      <c r="H74" s="133">
        <f>H73/долл</f>
        <v>478.82477598254752</v>
      </c>
      <c r="I74" s="133">
        <f>I73/долл</f>
        <v>576.52919671596476</v>
      </c>
      <c r="J74" s="133">
        <f>J73/долл</f>
        <v>723.53798752435205</v>
      </c>
    </row>
    <row r="75" spans="1:10">
      <c r="A75" s="119" t="s">
        <v>271</v>
      </c>
      <c r="B75" s="87" t="s">
        <v>159</v>
      </c>
      <c r="C75" s="135"/>
      <c r="D75" s="135"/>
      <c r="E75" s="135"/>
      <c r="G75" s="135"/>
      <c r="H75" s="135"/>
      <c r="I75" s="135"/>
      <c r="J75" s="135"/>
    </row>
    <row r="76" spans="1:10" ht="15">
      <c r="A76" s="136" t="s">
        <v>272</v>
      </c>
      <c r="B76" s="115">
        <f>ROUND(AVERAGE(C73:E73),-1)</f>
        <v>57780</v>
      </c>
      <c r="C76" s="104"/>
      <c r="D76" s="104"/>
      <c r="E76" s="104"/>
      <c r="G76" s="104"/>
      <c r="H76" s="104"/>
      <c r="I76" s="104"/>
      <c r="J76" s="104"/>
    </row>
    <row r="77" spans="1:10" ht="14.25" customHeight="1">
      <c r="A77" s="136" t="s">
        <v>273</v>
      </c>
      <c r="B77" s="115">
        <f>ROUND(B76/долл,2)</f>
        <v>660.72</v>
      </c>
      <c r="C77" s="104"/>
      <c r="D77" s="104"/>
      <c r="E77" s="104"/>
      <c r="G77" s="104"/>
      <c r="H77" s="104"/>
      <c r="I77" s="104"/>
      <c r="J77" s="104"/>
    </row>
    <row r="78" spans="1:10">
      <c r="A78" s="132" t="s">
        <v>274</v>
      </c>
      <c r="B78" s="133">
        <f>ROUND(B76*B14,-3)</f>
        <v>1240028000</v>
      </c>
      <c r="C78" s="104"/>
      <c r="D78" s="104"/>
      <c r="E78" s="104"/>
      <c r="G78" s="104"/>
      <c r="H78" s="104"/>
      <c r="I78" s="104"/>
      <c r="J78" s="104"/>
    </row>
    <row r="79" spans="1:10">
      <c r="A79" s="132" t="s">
        <v>275</v>
      </c>
      <c r="B79" s="133">
        <f>ROUND(B78/долл,-2)</f>
        <v>14179900</v>
      </c>
      <c r="C79" s="133"/>
      <c r="D79" s="133"/>
      <c r="E79" s="133"/>
      <c r="G79" s="133"/>
      <c r="H79" s="133"/>
      <c r="I79" s="133"/>
      <c r="J79" s="133"/>
    </row>
    <row r="80" spans="1:10">
      <c r="A80" s="137"/>
      <c r="B80" s="138"/>
      <c r="C80" s="138"/>
      <c r="D80" s="138"/>
      <c r="E80" s="138"/>
      <c r="G80" s="138"/>
      <c r="H80" s="138"/>
      <c r="I80" s="138"/>
      <c r="J80" s="138"/>
    </row>
    <row r="81" spans="1:10">
      <c r="A81" s="137"/>
      <c r="B81" s="138"/>
      <c r="C81" s="138"/>
      <c r="D81" s="138"/>
      <c r="E81" s="138"/>
      <c r="G81" s="138"/>
      <c r="H81" s="138"/>
      <c r="I81" s="138"/>
      <c r="J81" s="138"/>
    </row>
    <row r="82" spans="1:10" ht="14.25">
      <c r="A82"/>
      <c r="B82"/>
      <c r="C82" s="138"/>
      <c r="D82" s="138"/>
      <c r="E82" s="138"/>
      <c r="G82" s="138"/>
      <c r="H82" s="138"/>
      <c r="I82" s="138"/>
      <c r="J82" s="138"/>
    </row>
    <row r="83" spans="1:10" ht="14.25">
      <c r="A83"/>
      <c r="B83"/>
      <c r="C83" s="138"/>
      <c r="D83" s="138"/>
      <c r="E83" s="138"/>
      <c r="G83" s="138"/>
      <c r="H83" s="138"/>
      <c r="I83" s="138"/>
      <c r="J83" s="138"/>
    </row>
    <row r="84" spans="1:10" ht="14.25">
      <c r="A84"/>
      <c r="B84"/>
      <c r="C84" s="138"/>
      <c r="D84" s="138"/>
      <c r="E84" s="138"/>
      <c r="G84" s="138"/>
      <c r="H84" s="138"/>
      <c r="I84" s="138"/>
      <c r="J84" s="138"/>
    </row>
    <row r="85" spans="1:10" ht="14.25">
      <c r="A85"/>
      <c r="B85"/>
      <c r="C85" s="138"/>
      <c r="D85" s="138"/>
      <c r="E85" s="138"/>
      <c r="G85" s="138"/>
      <c r="H85" s="138"/>
      <c r="I85" s="138"/>
      <c r="J85" s="138"/>
    </row>
    <row r="86" spans="1:10" ht="14.25">
      <c r="A86"/>
      <c r="B86"/>
      <c r="C86" s="138"/>
      <c r="D86" s="138"/>
      <c r="E86" s="138"/>
      <c r="G86" s="138"/>
      <c r="H86" s="138"/>
      <c r="I86" s="138"/>
      <c r="J86" s="138"/>
    </row>
    <row r="87" spans="1:10">
      <c r="A87" s="137"/>
      <c r="B87" s="138"/>
      <c r="C87" s="138"/>
      <c r="D87" s="138"/>
      <c r="E87" s="138"/>
      <c r="G87" s="138"/>
      <c r="H87" s="138"/>
      <c r="I87" s="138"/>
      <c r="J87" s="138"/>
    </row>
    <row r="88" spans="1:10">
      <c r="A88" s="137"/>
      <c r="B88" s="137"/>
      <c r="C88" s="138"/>
      <c r="D88" s="138"/>
      <c r="E88" s="138"/>
      <c r="G88" s="138"/>
      <c r="H88" s="138"/>
      <c r="I88" s="138"/>
      <c r="J88" s="138"/>
    </row>
    <row r="90" spans="1:10">
      <c r="A90" s="139" t="s">
        <v>276</v>
      </c>
      <c r="B90" s="140">
        <f>SUM(B91:B95)</f>
        <v>21461.199999999997</v>
      </c>
      <c r="C90" s="140">
        <f t="shared" ref="C90" si="8">SUM(C91:C95)</f>
        <v>1870</v>
      </c>
      <c r="D90" s="140">
        <f>SUM(D91:D95)</f>
        <v>6996</v>
      </c>
      <c r="E90" s="140">
        <f>SUM(E91:E95)</f>
        <v>3337.7</v>
      </c>
      <c r="G90" s="140">
        <f t="shared" ref="G90" si="9">SUM(G91:G95)</f>
        <v>5699.9999999999991</v>
      </c>
      <c r="H90" s="140">
        <f>SUM(H91:H95)</f>
        <v>1906</v>
      </c>
      <c r="I90" s="140">
        <f>SUM(I91:I95)</f>
        <v>3400</v>
      </c>
      <c r="J90" s="140">
        <f>SUM(J91:J95)</f>
        <v>1800</v>
      </c>
    </row>
    <row r="91" spans="1:10">
      <c r="A91" s="141" t="str">
        <f t="shared" ref="A91:E95" si="10">A15</f>
        <v>Административные и коммерческие помещения</v>
      </c>
      <c r="B91" s="142">
        <f t="shared" si="10"/>
        <v>345.3</v>
      </c>
      <c r="C91" s="142">
        <f t="shared" si="10"/>
        <v>110</v>
      </c>
      <c r="D91" s="142">
        <f t="shared" si="10"/>
        <v>360</v>
      </c>
      <c r="E91" s="142">
        <f t="shared" si="10"/>
        <v>1390</v>
      </c>
      <c r="G91" s="142">
        <f t="shared" ref="G91:J95" si="11">G15</f>
        <v>877.69999999999993</v>
      </c>
      <c r="H91" s="142">
        <f t="shared" si="11"/>
        <v>1260</v>
      </c>
      <c r="I91" s="142">
        <f t="shared" si="11"/>
        <v>3400</v>
      </c>
      <c r="J91" s="142">
        <f t="shared" si="11"/>
        <v>258.7</v>
      </c>
    </row>
    <row r="92" spans="1:10">
      <c r="A92" s="141" t="str">
        <f t="shared" si="10"/>
        <v>Производственно-складские помещения большой высоты</v>
      </c>
      <c r="B92" s="142">
        <f t="shared" si="10"/>
        <v>9482.1</v>
      </c>
      <c r="C92" s="142">
        <f t="shared" si="10"/>
        <v>1300</v>
      </c>
      <c r="D92" s="142">
        <f t="shared" si="10"/>
        <v>6636</v>
      </c>
      <c r="E92" s="142">
        <f t="shared" si="10"/>
        <v>0</v>
      </c>
      <c r="G92" s="142">
        <f t="shared" si="11"/>
        <v>0</v>
      </c>
      <c r="H92" s="142">
        <f t="shared" si="11"/>
        <v>646</v>
      </c>
      <c r="I92" s="142">
        <f t="shared" si="11"/>
        <v>0</v>
      </c>
      <c r="J92" s="142">
        <f t="shared" si="11"/>
        <v>0</v>
      </c>
    </row>
    <row r="93" spans="1:10">
      <c r="A93" s="141" t="str">
        <f t="shared" si="10"/>
        <v>Производственно-складские помещения средней высоты</v>
      </c>
      <c r="B93" s="142">
        <f t="shared" si="10"/>
        <v>11633.8</v>
      </c>
      <c r="C93" s="142">
        <f t="shared" si="10"/>
        <v>460</v>
      </c>
      <c r="D93" s="142">
        <f t="shared" si="10"/>
        <v>0</v>
      </c>
      <c r="E93" s="142">
        <f t="shared" si="10"/>
        <v>1947.7</v>
      </c>
      <c r="G93" s="142">
        <f t="shared" si="11"/>
        <v>4822.2999999999993</v>
      </c>
      <c r="H93" s="142">
        <f t="shared" si="11"/>
        <v>0</v>
      </c>
      <c r="I93" s="142">
        <f t="shared" si="11"/>
        <v>0</v>
      </c>
      <c r="J93" s="142">
        <f t="shared" si="11"/>
        <v>1541.3</v>
      </c>
    </row>
    <row r="94" spans="1:10">
      <c r="A94" s="141" t="str">
        <f t="shared" si="10"/>
        <v xml:space="preserve">Некапитальные производственно-складские помещения </v>
      </c>
      <c r="B94" s="142">
        <f t="shared" si="10"/>
        <v>0</v>
      </c>
      <c r="C94" s="142">
        <f t="shared" si="10"/>
        <v>0</v>
      </c>
      <c r="D94" s="142">
        <f t="shared" si="10"/>
        <v>0</v>
      </c>
      <c r="E94" s="142">
        <f t="shared" si="10"/>
        <v>0</v>
      </c>
      <c r="G94" s="142">
        <f t="shared" si="11"/>
        <v>0</v>
      </c>
      <c r="H94" s="142">
        <f t="shared" si="11"/>
        <v>0</v>
      </c>
      <c r="I94" s="142">
        <f t="shared" si="11"/>
        <v>0</v>
      </c>
      <c r="J94" s="142">
        <f t="shared" si="11"/>
        <v>0</v>
      </c>
    </row>
    <row r="95" spans="1:10">
      <c r="A95" s="143" t="s">
        <v>201</v>
      </c>
      <c r="B95" s="144">
        <f t="shared" si="10"/>
        <v>0</v>
      </c>
      <c r="C95" s="144">
        <f t="shared" si="10"/>
        <v>0</v>
      </c>
      <c r="D95" s="144">
        <f t="shared" si="10"/>
        <v>0</v>
      </c>
      <c r="E95" s="144">
        <f t="shared" si="10"/>
        <v>0</v>
      </c>
      <c r="G95" s="144">
        <f t="shared" si="11"/>
        <v>0</v>
      </c>
      <c r="H95" s="144">
        <f t="shared" si="11"/>
        <v>0</v>
      </c>
      <c r="I95" s="144">
        <f t="shared" si="11"/>
        <v>0</v>
      </c>
      <c r="J95" s="144">
        <f t="shared" si="11"/>
        <v>0</v>
      </c>
    </row>
    <row r="96" spans="1:10">
      <c r="A96" s="145"/>
      <c r="B96" s="145"/>
      <c r="C96" s="145"/>
      <c r="D96" s="145"/>
      <c r="E96" s="145"/>
      <c r="G96" s="145"/>
      <c r="H96" s="145"/>
      <c r="I96" s="145"/>
      <c r="J96" s="145"/>
    </row>
    <row r="97" spans="1:10">
      <c r="B97" s="145"/>
      <c r="C97" s="145"/>
      <c r="D97" s="145"/>
      <c r="E97" s="145"/>
      <c r="G97" s="145"/>
      <c r="H97" s="145"/>
      <c r="I97" s="145"/>
      <c r="J97" s="145"/>
    </row>
    <row r="98" spans="1:10">
      <c r="A98" s="146" t="s">
        <v>277</v>
      </c>
      <c r="B98" s="144"/>
      <c r="C98" s="144"/>
      <c r="D98" s="144"/>
      <c r="E98" s="144"/>
      <c r="G98" s="144"/>
      <c r="H98" s="144"/>
      <c r="I98" s="144"/>
      <c r="J98" s="144"/>
    </row>
    <row r="99" spans="1:10">
      <c r="A99" s="147">
        <v>1</v>
      </c>
      <c r="B99" s="147">
        <f>B91/B$90</f>
        <v>1.6089501053063206E-2</v>
      </c>
      <c r="C99" s="147">
        <f>C91/C$90</f>
        <v>5.8823529411764705E-2</v>
      </c>
      <c r="D99" s="147">
        <f t="shared" ref="D99:D102" si="12">D91/D$90</f>
        <v>5.1457975986277875E-2</v>
      </c>
      <c r="E99" s="147">
        <f>E91/E$90</f>
        <v>0.41645444467747256</v>
      </c>
      <c r="G99" s="147">
        <f t="shared" ref="G99:J102" si="13">G91/G$90</f>
        <v>0.15398245614035089</v>
      </c>
      <c r="H99" s="147">
        <f t="shared" si="13"/>
        <v>0.66107030430220359</v>
      </c>
      <c r="I99" s="147">
        <f t="shared" si="13"/>
        <v>1</v>
      </c>
      <c r="J99" s="147">
        <f t="shared" si="13"/>
        <v>0.14372222222222222</v>
      </c>
    </row>
    <row r="100" spans="1:10">
      <c r="A100" s="148">
        <v>0.9</v>
      </c>
      <c r="B100" s="147">
        <f t="shared" ref="B100:C102" si="14">B92/B$90</f>
        <v>0.44182524742325691</v>
      </c>
      <c r="C100" s="147">
        <f t="shared" si="14"/>
        <v>0.69518716577540107</v>
      </c>
      <c r="D100" s="147">
        <f t="shared" si="12"/>
        <v>0.94854202401372212</v>
      </c>
      <c r="E100" s="147">
        <f>E92/E$90</f>
        <v>0</v>
      </c>
      <c r="G100" s="147">
        <f t="shared" si="13"/>
        <v>0</v>
      </c>
      <c r="H100" s="147">
        <f t="shared" si="13"/>
        <v>0.33892969569779641</v>
      </c>
      <c r="I100" s="147">
        <f t="shared" si="13"/>
        <v>0</v>
      </c>
      <c r="J100" s="147">
        <f t="shared" si="13"/>
        <v>0</v>
      </c>
    </row>
    <row r="101" spans="1:10">
      <c r="A101" s="148">
        <v>0.7</v>
      </c>
      <c r="B101" s="147">
        <f t="shared" si="14"/>
        <v>0.54208525152368003</v>
      </c>
      <c r="C101" s="147">
        <f t="shared" si="14"/>
        <v>0.24598930481283424</v>
      </c>
      <c r="D101" s="147">
        <f t="shared" si="12"/>
        <v>0</v>
      </c>
      <c r="E101" s="147">
        <f>E93/E$90</f>
        <v>0.5835455553225275</v>
      </c>
      <c r="G101" s="147">
        <f t="shared" si="13"/>
        <v>0.84601754385964911</v>
      </c>
      <c r="H101" s="147">
        <f t="shared" si="13"/>
        <v>0</v>
      </c>
      <c r="I101" s="147">
        <f t="shared" si="13"/>
        <v>0</v>
      </c>
      <c r="J101" s="147">
        <f t="shared" si="13"/>
        <v>0.8562777777777778</v>
      </c>
    </row>
    <row r="102" spans="1:10">
      <c r="A102" s="147">
        <v>0.3</v>
      </c>
      <c r="B102" s="147">
        <f t="shared" si="14"/>
        <v>0</v>
      </c>
      <c r="C102" s="147">
        <f t="shared" si="14"/>
        <v>0</v>
      </c>
      <c r="D102" s="147">
        <f t="shared" si="12"/>
        <v>0</v>
      </c>
      <c r="E102" s="147">
        <f>E94/E$90</f>
        <v>0</v>
      </c>
      <c r="G102" s="147">
        <f t="shared" si="13"/>
        <v>0</v>
      </c>
      <c r="H102" s="147">
        <f t="shared" si="13"/>
        <v>0</v>
      </c>
      <c r="I102" s="147">
        <f t="shared" si="13"/>
        <v>0</v>
      </c>
      <c r="J102" s="147">
        <f t="shared" si="13"/>
        <v>0</v>
      </c>
    </row>
    <row r="103" spans="1:10">
      <c r="B103" s="149"/>
      <c r="C103" s="149"/>
      <c r="D103" s="149"/>
      <c r="E103" s="149"/>
      <c r="G103" s="149"/>
      <c r="H103" s="149"/>
      <c r="I103" s="149"/>
      <c r="J103" s="149"/>
    </row>
    <row r="104" spans="1:10">
      <c r="B104" s="149"/>
      <c r="C104" s="145"/>
      <c r="D104" s="145"/>
      <c r="E104" s="145"/>
      <c r="G104" s="145"/>
      <c r="H104" s="145"/>
      <c r="I104" s="145"/>
      <c r="J104" s="145"/>
    </row>
    <row r="105" spans="1:10">
      <c r="A105" s="150" t="s">
        <v>278</v>
      </c>
      <c r="B105" s="147">
        <f t="shared" ref="B105:D108" si="15">$A99*B99</f>
        <v>1.6089501053063206E-2</v>
      </c>
      <c r="C105" s="147">
        <f t="shared" si="15"/>
        <v>5.8823529411764705E-2</v>
      </c>
      <c r="D105" s="147">
        <f t="shared" si="15"/>
        <v>5.1457975986277875E-2</v>
      </c>
      <c r="E105" s="147">
        <f>$A99*E99</f>
        <v>0.41645444467747256</v>
      </c>
      <c r="G105" s="147">
        <f t="shared" ref="G105:J108" si="16">$A99*G99</f>
        <v>0.15398245614035089</v>
      </c>
      <c r="H105" s="147">
        <f t="shared" si="16"/>
        <v>0.66107030430220359</v>
      </c>
      <c r="I105" s="147">
        <f t="shared" si="16"/>
        <v>1</v>
      </c>
      <c r="J105" s="147">
        <f t="shared" si="16"/>
        <v>0.14372222222222222</v>
      </c>
    </row>
    <row r="106" spans="1:10">
      <c r="A106" s="146"/>
      <c r="B106" s="147">
        <f t="shared" si="15"/>
        <v>0.3976427226809312</v>
      </c>
      <c r="C106" s="147">
        <f t="shared" si="15"/>
        <v>0.62566844919786102</v>
      </c>
      <c r="D106" s="147">
        <f t="shared" si="15"/>
        <v>0.85368782161234991</v>
      </c>
      <c r="E106" s="147">
        <f>$A100*E100</f>
        <v>0</v>
      </c>
      <c r="G106" s="147">
        <f t="shared" si="16"/>
        <v>0</v>
      </c>
      <c r="H106" s="147">
        <f t="shared" si="16"/>
        <v>0.3050367261280168</v>
      </c>
      <c r="I106" s="147">
        <f t="shared" si="16"/>
        <v>0</v>
      </c>
      <c r="J106" s="147">
        <f t="shared" si="16"/>
        <v>0</v>
      </c>
    </row>
    <row r="107" spans="1:10">
      <c r="A107" s="146"/>
      <c r="B107" s="147">
        <f t="shared" si="15"/>
        <v>0.37945967606657599</v>
      </c>
      <c r="C107" s="147">
        <f t="shared" si="15"/>
        <v>0.17219251336898395</v>
      </c>
      <c r="D107" s="147">
        <f t="shared" si="15"/>
        <v>0</v>
      </c>
      <c r="E107" s="147">
        <f>$A101*E101</f>
        <v>0.40848188872576924</v>
      </c>
      <c r="G107" s="147">
        <f t="shared" si="16"/>
        <v>0.59221228070175436</v>
      </c>
      <c r="H107" s="147">
        <f t="shared" si="16"/>
        <v>0</v>
      </c>
      <c r="I107" s="147">
        <f t="shared" si="16"/>
        <v>0</v>
      </c>
      <c r="J107" s="147">
        <f t="shared" si="16"/>
        <v>0.59939444444444445</v>
      </c>
    </row>
    <row r="108" spans="1:10">
      <c r="A108" s="146"/>
      <c r="B108" s="147">
        <f t="shared" si="15"/>
        <v>0</v>
      </c>
      <c r="C108" s="147">
        <f t="shared" si="15"/>
        <v>0</v>
      </c>
      <c r="D108" s="147">
        <f t="shared" si="15"/>
        <v>0</v>
      </c>
      <c r="E108" s="147">
        <f>$A102*E102</f>
        <v>0</v>
      </c>
      <c r="G108" s="147">
        <f t="shared" si="16"/>
        <v>0</v>
      </c>
      <c r="H108" s="147">
        <f t="shared" si="16"/>
        <v>0</v>
      </c>
      <c r="I108" s="147">
        <f t="shared" si="16"/>
        <v>0</v>
      </c>
      <c r="J108" s="147">
        <f t="shared" si="16"/>
        <v>0</v>
      </c>
    </row>
    <row r="109" spans="1:10">
      <c r="A109" s="151" t="s">
        <v>279</v>
      </c>
      <c r="B109" s="152">
        <f>SUM(B105:B108)</f>
        <v>0.79319189980057048</v>
      </c>
      <c r="C109" s="152">
        <f t="shared" ref="C109" si="17">SUM(C105:C108)</f>
        <v>0.85668449197860963</v>
      </c>
      <c r="D109" s="152">
        <f>SUM(D105:D108)</f>
        <v>0.90514579759862779</v>
      </c>
      <c r="E109" s="152">
        <f>SUM(E105:E108)</f>
        <v>0.82493633340324179</v>
      </c>
      <c r="G109" s="152">
        <f t="shared" ref="G109" si="18">SUM(G105:G108)</f>
        <v>0.74619473684210524</v>
      </c>
      <c r="H109" s="152">
        <f>SUM(H105:H108)</f>
        <v>0.96610703043022039</v>
      </c>
      <c r="I109" s="152">
        <f>SUM(I105:I108)</f>
        <v>1</v>
      </c>
      <c r="J109" s="152">
        <f>SUM(J105:J108)</f>
        <v>0.74311666666666665</v>
      </c>
    </row>
    <row r="110" spans="1:10">
      <c r="A110" s="150" t="s">
        <v>280</v>
      </c>
      <c r="B110" s="153"/>
      <c r="C110" s="154">
        <f>$B$109/C109</f>
        <v>0.92588567579717029</v>
      </c>
      <c r="D110" s="154">
        <f>$B$109/D109</f>
        <v>0.87631396168984765</v>
      </c>
      <c r="E110" s="154">
        <f>$B$109/E109</f>
        <v>0.96151892901636304</v>
      </c>
      <c r="G110" s="154">
        <f>$B$109/G109</f>
        <v>1.0629824369404657</v>
      </c>
      <c r="H110" s="154">
        <f>$B$109/H109</f>
        <v>0.82101866026929904</v>
      </c>
      <c r="I110" s="154">
        <f>$B$109/I109</f>
        <v>0.79319189980057048</v>
      </c>
      <c r="J110" s="154">
        <f>$B$109/J109</f>
        <v>1.0673854259769491</v>
      </c>
    </row>
    <row r="111" spans="1:10">
      <c r="A111" s="155" t="s">
        <v>281</v>
      </c>
      <c r="B111" s="144">
        <f t="shared" ref="B111" si="19">$B$118*B25</f>
        <v>7919865.4088050313</v>
      </c>
      <c r="C111" s="144">
        <f>$B$118*C25</f>
        <v>1027069.1823899371</v>
      </c>
      <c r="D111" s="144">
        <f>$B$118*D25</f>
        <v>2365257.8616352202</v>
      </c>
      <c r="E111" s="144">
        <f t="shared" ref="E111" si="20">$B$118*E25</f>
        <v>1461886.7924528301</v>
      </c>
      <c r="G111" s="144">
        <f>$B$118*G25</f>
        <v>2293100.6289308174</v>
      </c>
      <c r="H111" s="144">
        <f>$B$118*H25</f>
        <v>243647.79874213834</v>
      </c>
      <c r="I111" s="144">
        <f t="shared" ref="I111" si="21">$B$118*I25</f>
        <v>1218238.9937106918</v>
      </c>
      <c r="J111" s="144">
        <f>$B$118*J25</f>
        <v>599748.42767295591</v>
      </c>
    </row>
    <row r="112" spans="1:10">
      <c r="A112" s="150" t="s">
        <v>282</v>
      </c>
      <c r="B112" s="156"/>
      <c r="C112" s="157">
        <f>1-C111/C31</f>
        <v>0.42940600978336829</v>
      </c>
      <c r="D112" s="157">
        <f>1-D111/D31</f>
        <v>0.67149196366177499</v>
      </c>
      <c r="E112" s="157">
        <f>1-E111/E31</f>
        <v>0.40331151328455916</v>
      </c>
      <c r="G112" s="157">
        <f>1-G111/G31</f>
        <v>0.60463782259813492</v>
      </c>
      <c r="H112" s="157">
        <f>1-H111/H31</f>
        <v>0.8125786163522013</v>
      </c>
      <c r="I112" s="157">
        <f>1-I111/I31</f>
        <v>0.56491464510332434</v>
      </c>
      <c r="J112" s="157">
        <f>1-J111/J31</f>
        <v>0.600167714884696</v>
      </c>
    </row>
    <row r="113" spans="1:10">
      <c r="A113" s="158" t="s">
        <v>283</v>
      </c>
      <c r="B113" s="159"/>
      <c r="C113" s="160">
        <f>1-(1-C110)*C112</f>
        <v>0.96817486377627193</v>
      </c>
      <c r="D113" s="160">
        <f>1-(1-D110)*D112</f>
        <v>0.91694581925757024</v>
      </c>
      <c r="E113" s="160">
        <f>1-(1-E110)*E112</f>
        <v>0.98448014102877879</v>
      </c>
      <c r="G113" s="160">
        <f>1-(1-G110)*G112</f>
        <v>1.0380815635336076</v>
      </c>
      <c r="H113" s="160">
        <f>1-(1-H110)*H112</f>
        <v>0.85456359060876375</v>
      </c>
      <c r="I113" s="160">
        <f>1-(1-I110)*I112</f>
        <v>0.88317107547134654</v>
      </c>
      <c r="J113" s="160">
        <f>1-(1-J110)*J112</f>
        <v>1.0404425571251175</v>
      </c>
    </row>
    <row r="115" spans="1:10">
      <c r="C115" s="161"/>
      <c r="D115" s="161"/>
      <c r="E115" s="161"/>
      <c r="G115" s="161"/>
      <c r="H115" s="161"/>
      <c r="I115" s="161"/>
      <c r="J115" s="161"/>
    </row>
    <row r="117" spans="1:10">
      <c r="A117" s="162" t="s">
        <v>284</v>
      </c>
      <c r="B117" s="147">
        <f t="shared" ref="B117" si="22">B25/B14</f>
        <v>1.9689952099603008</v>
      </c>
      <c r="C117" s="147">
        <f>C25/C14</f>
        <v>2.9304812834224601</v>
      </c>
      <c r="D117" s="147">
        <f>D25/D14</f>
        <v>1.8038879359634077</v>
      </c>
      <c r="E117" s="147">
        <f t="shared" ref="E117" si="23">E25/E14</f>
        <v>2.3369386104203493</v>
      </c>
      <c r="G117" s="147">
        <f>G25/G14</f>
        <v>2.1464912280701758</v>
      </c>
      <c r="H117" s="147">
        <f>H25/H14</f>
        <v>0.6820566631689402</v>
      </c>
      <c r="I117" s="147">
        <f t="shared" ref="I117" si="24">I25/I14</f>
        <v>1.911764705882353</v>
      </c>
      <c r="J117" s="147">
        <f>J25/J14</f>
        <v>1.7777777777777777</v>
      </c>
    </row>
    <row r="118" spans="1:10" ht="18">
      <c r="A118" s="163" t="s">
        <v>285</v>
      </c>
      <c r="B118" s="164">
        <v>187.42138364779873</v>
      </c>
      <c r="C118" s="147">
        <f>$B$117-C117</f>
        <v>-0.96148607346215931</v>
      </c>
      <c r="D118" s="147">
        <f>$B$117-D117</f>
        <v>0.16510727399689307</v>
      </c>
      <c r="E118" s="147">
        <f>$B$117-E117</f>
        <v>-0.36794340046004859</v>
      </c>
      <c r="G118" s="147">
        <f>$B$117-G117</f>
        <v>-0.17749601810987503</v>
      </c>
      <c r="H118" s="147">
        <f>$B$117-H117</f>
        <v>1.2869385467913605</v>
      </c>
      <c r="I118" s="147">
        <f>$B$117-I117</f>
        <v>5.7230504077947719E-2</v>
      </c>
      <c r="J118" s="147">
        <f>$B$117-J117</f>
        <v>0.19121743218252307</v>
      </c>
    </row>
    <row r="119" spans="1:10">
      <c r="A119" s="146"/>
      <c r="B119" s="146"/>
      <c r="C119" s="147">
        <f>$B$118*C118</f>
        <v>-180.20305024636696</v>
      </c>
      <c r="D119" s="147">
        <f>$B$118*D118</f>
        <v>30.94463374281392</v>
      </c>
      <c r="E119" s="147">
        <f>$B$118*E118</f>
        <v>-68.960461218298406</v>
      </c>
      <c r="G119" s="147">
        <f>$B$118*G118</f>
        <v>-33.266549306127523</v>
      </c>
      <c r="H119" s="147">
        <f>$B$118*H118</f>
        <v>241.19980310932417</v>
      </c>
      <c r="I119" s="147">
        <f>$B$118*I118</f>
        <v>10.726220261149949</v>
      </c>
      <c r="J119" s="147">
        <f>$B$118*J118</f>
        <v>35.83823571722759</v>
      </c>
    </row>
    <row r="120" spans="1:10">
      <c r="A120" s="146"/>
      <c r="B120" s="146"/>
      <c r="C120" s="144">
        <f>C119*долл</f>
        <v>-15758.756744044791</v>
      </c>
      <c r="D120" s="144">
        <f>D119*долл</f>
        <v>2706.1082208090775</v>
      </c>
      <c r="E120" s="144">
        <f>E119*долл</f>
        <v>-6030.5923335401958</v>
      </c>
      <c r="G120" s="144">
        <f>G119*долл</f>
        <v>-2909.1597368208518</v>
      </c>
      <c r="H120" s="144">
        <f>H119*долл</f>
        <v>21092.922781910398</v>
      </c>
      <c r="I120" s="144">
        <f>I119*долл</f>
        <v>938.00796183756313</v>
      </c>
      <c r="J120" s="144">
        <f>J119*долл</f>
        <v>3134.0537134715528</v>
      </c>
    </row>
    <row r="121" spans="1:10">
      <c r="A121" s="146"/>
      <c r="B121" s="146"/>
      <c r="C121" s="156">
        <f>1+C120/C65</f>
        <v>0.77767918194279928</v>
      </c>
      <c r="D121" s="156">
        <f>1+D120/D65</f>
        <v>1.0467035253065935</v>
      </c>
      <c r="E121" s="156">
        <f>1+E120/E65</f>
        <v>0.89749098851076514</v>
      </c>
      <c r="G121" s="156">
        <f>1+G120/G65</f>
        <v>0.9590799639148907</v>
      </c>
      <c r="H121" s="156">
        <f>1+H120/H65</f>
        <v>1.522012381359451</v>
      </c>
      <c r="I121" s="156">
        <f>1+I120/I65</f>
        <v>1.0196411054187682</v>
      </c>
      <c r="J121" s="156">
        <f>1+J120/J65</f>
        <v>1.0521313697111143</v>
      </c>
    </row>
    <row r="122" spans="1:10">
      <c r="A122" s="158"/>
      <c r="B122" s="159"/>
      <c r="C122" s="160"/>
      <c r="D122" s="160"/>
      <c r="E122" s="160"/>
      <c r="G122" s="160"/>
      <c r="H122" s="160"/>
      <c r="I122" s="160"/>
      <c r="J122" s="160"/>
    </row>
    <row r="123" spans="1:10">
      <c r="A123" s="155" t="s">
        <v>286</v>
      </c>
      <c r="B123" s="146">
        <v>0.02</v>
      </c>
      <c r="C123" s="165">
        <f>C120/C65</f>
        <v>-0.22232081805720072</v>
      </c>
      <c r="D123" s="165">
        <f>D120/D65</f>
        <v>4.6703525306593559E-2</v>
      </c>
      <c r="E123" s="165">
        <f>E120/E65</f>
        <v>-0.1025090114892349</v>
      </c>
      <c r="G123" s="165">
        <f>G120/G65</f>
        <v>-4.0920036085109315E-2</v>
      </c>
      <c r="H123" s="165">
        <f>H120/H65</f>
        <v>0.52201238135945105</v>
      </c>
      <c r="I123" s="165">
        <f>I120/I65</f>
        <v>1.9641105418768182E-2</v>
      </c>
      <c r="J123" s="165">
        <f>J120/J65</f>
        <v>5.2131369711114428E-2</v>
      </c>
    </row>
    <row r="124" spans="1:10" ht="20.25">
      <c r="A124" s="146"/>
      <c r="B124" s="166">
        <v>0.58999821210405556</v>
      </c>
      <c r="C124" s="167">
        <f>MROUND((1+C123)^$B$124,$B$123)</f>
        <v>0.86</v>
      </c>
      <c r="D124" s="167">
        <f>MROUND((1+D123)^$B$124,$B$123)</f>
        <v>1.02</v>
      </c>
      <c r="E124" s="167">
        <f>MROUND((1+E123)^$B$124,$B$123)</f>
        <v>0.94000000000000006</v>
      </c>
      <c r="G124" s="167">
        <f>MROUND((1+G123)^$B$124,$B$123)</f>
        <v>0.98</v>
      </c>
      <c r="H124" s="167">
        <f>MROUND((1+H123)^$B$124,$B$123)</f>
        <v>1.28</v>
      </c>
      <c r="I124" s="167">
        <f>MROUND((1+I123)^$B$124,$B$123)</f>
        <v>1.02</v>
      </c>
      <c r="J124" s="167">
        <f>MROUND((1+J123)^$B$124,$B$123)</f>
        <v>1.04</v>
      </c>
    </row>
    <row r="125" spans="1:10" ht="15.75">
      <c r="A125" s="168" t="s">
        <v>287</v>
      </c>
      <c r="B125" s="74" t="s">
        <v>288</v>
      </c>
    </row>
    <row r="126" spans="1:10" ht="15.75">
      <c r="A126" s="168" t="s">
        <v>289</v>
      </c>
      <c r="B126" s="169" t="s">
        <v>290</v>
      </c>
      <c r="C126" s="170"/>
      <c r="D126" s="161"/>
      <c r="E126" s="170"/>
      <c r="G126" s="170"/>
      <c r="H126" s="161"/>
      <c r="I126" s="170"/>
      <c r="J126" s="161"/>
    </row>
    <row r="127" spans="1:10" ht="15.75">
      <c r="A127" s="168" t="s">
        <v>291</v>
      </c>
      <c r="B127" s="169" t="s">
        <v>292</v>
      </c>
      <c r="C127" s="169"/>
      <c r="E127" s="169"/>
      <c r="G127" s="169"/>
      <c r="I127" s="169"/>
    </row>
    <row r="128" spans="1:10" ht="15.75">
      <c r="A128" s="168" t="s">
        <v>293</v>
      </c>
      <c r="B128" s="169" t="s">
        <v>294</v>
      </c>
      <c r="C128" s="169"/>
      <c r="E128" s="169"/>
      <c r="G128" s="169"/>
      <c r="I128" s="169"/>
    </row>
    <row r="129" spans="1:10" ht="15.75">
      <c r="A129" s="168" t="s">
        <v>295</v>
      </c>
      <c r="B129" s="74" t="s">
        <v>296</v>
      </c>
    </row>
    <row r="132" spans="1:10">
      <c r="C132" s="161"/>
      <c r="D132" s="161"/>
      <c r="E132" s="161"/>
      <c r="G132" s="161"/>
      <c r="H132" s="161"/>
      <c r="I132" s="161"/>
      <c r="J132" s="161"/>
    </row>
  </sheetData>
  <hyperlinks>
    <hyperlink ref="J3" r:id="rId1" xr:uid="{7858583F-2465-4D16-9000-2B20FE7F0ED3}"/>
    <hyperlink ref="J4" r:id="rId2" xr:uid="{9E3CA6AA-1E8E-476E-A59C-4D1CE45FD8BF}"/>
    <hyperlink ref="J2" r:id="rId3" xr:uid="{481F7B00-FDEF-43D5-9555-DECE16CA1704}"/>
    <hyperlink ref="J6" r:id="rId4" xr:uid="{F71385A1-AE34-49A1-998F-35FC83BCFAF2}"/>
    <hyperlink ref="H6" r:id="rId5" xr:uid="{83701A23-1337-4D49-BC2F-B473B3F5500A}"/>
    <hyperlink ref="C6" r:id="rId6" xr:uid="{CFD3E257-5AAC-4D02-9C39-7DD7BF2B3ADE}"/>
    <hyperlink ref="I6" r:id="rId7" xr:uid="{DB56763F-E6B7-48A0-87F2-089965B0303F}"/>
    <hyperlink ref="G6" r:id="rId8" xr:uid="{DF2047B1-4C25-4CC4-BEE2-F7E111FB475E}"/>
    <hyperlink ref="D6" r:id="rId9" xr:uid="{D9E0935D-DDED-4AF2-AFCE-E80800CDDFCF}"/>
    <hyperlink ref="I3" r:id="rId10" xr:uid="{20D6E5CB-F679-44F8-B0A1-E6753FB70DF1}"/>
    <hyperlink ref="E6" r:id="rId11" xr:uid="{16603291-D227-41B9-B906-3181478DFB91}"/>
  </hyperlinks>
  <pageMargins left="0.7" right="0.7" top="0.75" bottom="0.75" header="0.3" footer="0.3"/>
  <pageSetup paperSize="9" orientation="portrait" verticalDpi="0" r:id="rId12"/>
  <legacyDrawing r:id="rId1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ACC9-986A-4F52-B499-FEC47B838417}">
  <sheetPr>
    <tabColor theme="4" tint="0.39997558519241921"/>
  </sheetPr>
  <dimension ref="A1:Q146"/>
  <sheetViews>
    <sheetView topLeftCell="A4" zoomScaleNormal="100" workbookViewId="0">
      <selection activeCell="D25" sqref="D25"/>
    </sheetView>
  </sheetViews>
  <sheetFormatPr defaultRowHeight="12.75" outlineLevelRow="1"/>
  <cols>
    <col min="1" max="1" width="51.125" style="76" customWidth="1"/>
    <col min="2" max="5" width="34.875" style="76" customWidth="1"/>
    <col min="6" max="7" width="9" style="76"/>
    <col min="8" max="9" width="34.875" style="76" customWidth="1"/>
    <col min="10" max="11" width="9" style="76"/>
    <col min="12" max="12" width="26" style="76" customWidth="1"/>
    <col min="13" max="13" width="9" style="76"/>
    <col min="14" max="17" width="34.875" style="76" customWidth="1"/>
    <col min="18" max="251" width="9" style="76"/>
    <col min="252" max="252" width="44" style="76" customWidth="1"/>
    <col min="253" max="253" width="24" style="76" customWidth="1"/>
    <col min="254" max="254" width="26.25" style="76" customWidth="1"/>
    <col min="255" max="255" width="25.375" style="76" customWidth="1"/>
    <col min="256" max="258" width="26" style="76" customWidth="1"/>
    <col min="259" max="259" width="9" style="76"/>
    <col min="260" max="261" width="26" style="76" customWidth="1"/>
    <col min="262" max="507" width="9" style="76"/>
    <col min="508" max="508" width="44" style="76" customWidth="1"/>
    <col min="509" max="509" width="24" style="76" customWidth="1"/>
    <col min="510" max="510" width="26.25" style="76" customWidth="1"/>
    <col min="511" max="511" width="25.375" style="76" customWidth="1"/>
    <col min="512" max="514" width="26" style="76" customWidth="1"/>
    <col min="515" max="515" width="9" style="76"/>
    <col min="516" max="517" width="26" style="76" customWidth="1"/>
    <col min="518" max="763" width="9" style="76"/>
    <col min="764" max="764" width="44" style="76" customWidth="1"/>
    <col min="765" max="765" width="24" style="76" customWidth="1"/>
    <col min="766" max="766" width="26.25" style="76" customWidth="1"/>
    <col min="767" max="767" width="25.375" style="76" customWidth="1"/>
    <col min="768" max="770" width="26" style="76" customWidth="1"/>
    <col min="771" max="771" width="9" style="76"/>
    <col min="772" max="773" width="26" style="76" customWidth="1"/>
    <col min="774" max="1019" width="9" style="76"/>
    <col min="1020" max="1020" width="44" style="76" customWidth="1"/>
    <col min="1021" max="1021" width="24" style="76" customWidth="1"/>
    <col min="1022" max="1022" width="26.25" style="76" customWidth="1"/>
    <col min="1023" max="1023" width="25.375" style="76" customWidth="1"/>
    <col min="1024" max="1026" width="26" style="76" customWidth="1"/>
    <col min="1027" max="1027" width="9" style="76"/>
    <col min="1028" max="1029" width="26" style="76" customWidth="1"/>
    <col min="1030" max="1275" width="9" style="76"/>
    <col min="1276" max="1276" width="44" style="76" customWidth="1"/>
    <col min="1277" max="1277" width="24" style="76" customWidth="1"/>
    <col min="1278" max="1278" width="26.25" style="76" customWidth="1"/>
    <col min="1279" max="1279" width="25.375" style="76" customWidth="1"/>
    <col min="1280" max="1282" width="26" style="76" customWidth="1"/>
    <col min="1283" max="1283" width="9" style="76"/>
    <col min="1284" max="1285" width="26" style="76" customWidth="1"/>
    <col min="1286" max="1531" width="9" style="76"/>
    <col min="1532" max="1532" width="44" style="76" customWidth="1"/>
    <col min="1533" max="1533" width="24" style="76" customWidth="1"/>
    <col min="1534" max="1534" width="26.25" style="76" customWidth="1"/>
    <col min="1535" max="1535" width="25.375" style="76" customWidth="1"/>
    <col min="1536" max="1538" width="26" style="76" customWidth="1"/>
    <col min="1539" max="1539" width="9" style="76"/>
    <col min="1540" max="1541" width="26" style="76" customWidth="1"/>
    <col min="1542" max="1787" width="9" style="76"/>
    <col min="1788" max="1788" width="44" style="76" customWidth="1"/>
    <col min="1789" max="1789" width="24" style="76" customWidth="1"/>
    <col min="1790" max="1790" width="26.25" style="76" customWidth="1"/>
    <col min="1791" max="1791" width="25.375" style="76" customWidth="1"/>
    <col min="1792" max="1794" width="26" style="76" customWidth="1"/>
    <col min="1795" max="1795" width="9" style="76"/>
    <col min="1796" max="1797" width="26" style="76" customWidth="1"/>
    <col min="1798" max="2043" width="9" style="76"/>
    <col min="2044" max="2044" width="44" style="76" customWidth="1"/>
    <col min="2045" max="2045" width="24" style="76" customWidth="1"/>
    <col min="2046" max="2046" width="26.25" style="76" customWidth="1"/>
    <col min="2047" max="2047" width="25.375" style="76" customWidth="1"/>
    <col min="2048" max="2050" width="26" style="76" customWidth="1"/>
    <col min="2051" max="2051" width="9" style="76"/>
    <col min="2052" max="2053" width="26" style="76" customWidth="1"/>
    <col min="2054" max="2299" width="9" style="76"/>
    <col min="2300" max="2300" width="44" style="76" customWidth="1"/>
    <col min="2301" max="2301" width="24" style="76" customWidth="1"/>
    <col min="2302" max="2302" width="26.25" style="76" customWidth="1"/>
    <col min="2303" max="2303" width="25.375" style="76" customWidth="1"/>
    <col min="2304" max="2306" width="26" style="76" customWidth="1"/>
    <col min="2307" max="2307" width="9" style="76"/>
    <col min="2308" max="2309" width="26" style="76" customWidth="1"/>
    <col min="2310" max="2555" width="9" style="76"/>
    <col min="2556" max="2556" width="44" style="76" customWidth="1"/>
    <col min="2557" max="2557" width="24" style="76" customWidth="1"/>
    <col min="2558" max="2558" width="26.25" style="76" customWidth="1"/>
    <col min="2559" max="2559" width="25.375" style="76" customWidth="1"/>
    <col min="2560" max="2562" width="26" style="76" customWidth="1"/>
    <col min="2563" max="2563" width="9" style="76"/>
    <col min="2564" max="2565" width="26" style="76" customWidth="1"/>
    <col min="2566" max="2811" width="9" style="76"/>
    <col min="2812" max="2812" width="44" style="76" customWidth="1"/>
    <col min="2813" max="2813" width="24" style="76" customWidth="1"/>
    <col min="2814" max="2814" width="26.25" style="76" customWidth="1"/>
    <col min="2815" max="2815" width="25.375" style="76" customWidth="1"/>
    <col min="2816" max="2818" width="26" style="76" customWidth="1"/>
    <col min="2819" max="2819" width="9" style="76"/>
    <col min="2820" max="2821" width="26" style="76" customWidth="1"/>
    <col min="2822" max="3067" width="9" style="76"/>
    <col min="3068" max="3068" width="44" style="76" customWidth="1"/>
    <col min="3069" max="3069" width="24" style="76" customWidth="1"/>
    <col min="3070" max="3070" width="26.25" style="76" customWidth="1"/>
    <col min="3071" max="3071" width="25.375" style="76" customWidth="1"/>
    <col min="3072" max="3074" width="26" style="76" customWidth="1"/>
    <col min="3075" max="3075" width="9" style="76"/>
    <col min="3076" max="3077" width="26" style="76" customWidth="1"/>
    <col min="3078" max="3323" width="9" style="76"/>
    <col min="3324" max="3324" width="44" style="76" customWidth="1"/>
    <col min="3325" max="3325" width="24" style="76" customWidth="1"/>
    <col min="3326" max="3326" width="26.25" style="76" customWidth="1"/>
    <col min="3327" max="3327" width="25.375" style="76" customWidth="1"/>
    <col min="3328" max="3330" width="26" style="76" customWidth="1"/>
    <col min="3331" max="3331" width="9" style="76"/>
    <col min="3332" max="3333" width="26" style="76" customWidth="1"/>
    <col min="3334" max="3579" width="9" style="76"/>
    <col min="3580" max="3580" width="44" style="76" customWidth="1"/>
    <col min="3581" max="3581" width="24" style="76" customWidth="1"/>
    <col min="3582" max="3582" width="26.25" style="76" customWidth="1"/>
    <col min="3583" max="3583" width="25.375" style="76" customWidth="1"/>
    <col min="3584" max="3586" width="26" style="76" customWidth="1"/>
    <col min="3587" max="3587" width="9" style="76"/>
    <col min="3588" max="3589" width="26" style="76" customWidth="1"/>
    <col min="3590" max="3835" width="9" style="76"/>
    <col min="3836" max="3836" width="44" style="76" customWidth="1"/>
    <col min="3837" max="3837" width="24" style="76" customWidth="1"/>
    <col min="3838" max="3838" width="26.25" style="76" customWidth="1"/>
    <col min="3839" max="3839" width="25.375" style="76" customWidth="1"/>
    <col min="3840" max="3842" width="26" style="76" customWidth="1"/>
    <col min="3843" max="3843" width="9" style="76"/>
    <col min="3844" max="3845" width="26" style="76" customWidth="1"/>
    <col min="3846" max="4091" width="9" style="76"/>
    <col min="4092" max="4092" width="44" style="76" customWidth="1"/>
    <col min="4093" max="4093" width="24" style="76" customWidth="1"/>
    <col min="4094" max="4094" width="26.25" style="76" customWidth="1"/>
    <col min="4095" max="4095" width="25.375" style="76" customWidth="1"/>
    <col min="4096" max="4098" width="26" style="76" customWidth="1"/>
    <col min="4099" max="4099" width="9" style="76"/>
    <col min="4100" max="4101" width="26" style="76" customWidth="1"/>
    <col min="4102" max="4347" width="9" style="76"/>
    <col min="4348" max="4348" width="44" style="76" customWidth="1"/>
    <col min="4349" max="4349" width="24" style="76" customWidth="1"/>
    <col min="4350" max="4350" width="26.25" style="76" customWidth="1"/>
    <col min="4351" max="4351" width="25.375" style="76" customWidth="1"/>
    <col min="4352" max="4354" width="26" style="76" customWidth="1"/>
    <col min="4355" max="4355" width="9" style="76"/>
    <col min="4356" max="4357" width="26" style="76" customWidth="1"/>
    <col min="4358" max="4603" width="9" style="76"/>
    <col min="4604" max="4604" width="44" style="76" customWidth="1"/>
    <col min="4605" max="4605" width="24" style="76" customWidth="1"/>
    <col min="4606" max="4606" width="26.25" style="76" customWidth="1"/>
    <col min="4607" max="4607" width="25.375" style="76" customWidth="1"/>
    <col min="4608" max="4610" width="26" style="76" customWidth="1"/>
    <col min="4611" max="4611" width="9" style="76"/>
    <col min="4612" max="4613" width="26" style="76" customWidth="1"/>
    <col min="4614" max="4859" width="9" style="76"/>
    <col min="4860" max="4860" width="44" style="76" customWidth="1"/>
    <col min="4861" max="4861" width="24" style="76" customWidth="1"/>
    <col min="4862" max="4862" width="26.25" style="76" customWidth="1"/>
    <col min="4863" max="4863" width="25.375" style="76" customWidth="1"/>
    <col min="4864" max="4866" width="26" style="76" customWidth="1"/>
    <col min="4867" max="4867" width="9" style="76"/>
    <col min="4868" max="4869" width="26" style="76" customWidth="1"/>
    <col min="4870" max="5115" width="9" style="76"/>
    <col min="5116" max="5116" width="44" style="76" customWidth="1"/>
    <col min="5117" max="5117" width="24" style="76" customWidth="1"/>
    <col min="5118" max="5118" width="26.25" style="76" customWidth="1"/>
    <col min="5119" max="5119" width="25.375" style="76" customWidth="1"/>
    <col min="5120" max="5122" width="26" style="76" customWidth="1"/>
    <col min="5123" max="5123" width="9" style="76"/>
    <col min="5124" max="5125" width="26" style="76" customWidth="1"/>
    <col min="5126" max="5371" width="9" style="76"/>
    <col min="5372" max="5372" width="44" style="76" customWidth="1"/>
    <col min="5373" max="5373" width="24" style="76" customWidth="1"/>
    <col min="5374" max="5374" width="26.25" style="76" customWidth="1"/>
    <col min="5375" max="5375" width="25.375" style="76" customWidth="1"/>
    <col min="5376" max="5378" width="26" style="76" customWidth="1"/>
    <col min="5379" max="5379" width="9" style="76"/>
    <col min="5380" max="5381" width="26" style="76" customWidth="1"/>
    <col min="5382" max="5627" width="9" style="76"/>
    <col min="5628" max="5628" width="44" style="76" customWidth="1"/>
    <col min="5629" max="5629" width="24" style="76" customWidth="1"/>
    <col min="5630" max="5630" width="26.25" style="76" customWidth="1"/>
    <col min="5631" max="5631" width="25.375" style="76" customWidth="1"/>
    <col min="5632" max="5634" width="26" style="76" customWidth="1"/>
    <col min="5635" max="5635" width="9" style="76"/>
    <col min="5636" max="5637" width="26" style="76" customWidth="1"/>
    <col min="5638" max="5883" width="9" style="76"/>
    <col min="5884" max="5884" width="44" style="76" customWidth="1"/>
    <col min="5885" max="5885" width="24" style="76" customWidth="1"/>
    <col min="5886" max="5886" width="26.25" style="76" customWidth="1"/>
    <col min="5887" max="5887" width="25.375" style="76" customWidth="1"/>
    <col min="5888" max="5890" width="26" style="76" customWidth="1"/>
    <col min="5891" max="5891" width="9" style="76"/>
    <col min="5892" max="5893" width="26" style="76" customWidth="1"/>
    <col min="5894" max="6139" width="9" style="76"/>
    <col min="6140" max="6140" width="44" style="76" customWidth="1"/>
    <col min="6141" max="6141" width="24" style="76" customWidth="1"/>
    <col min="6142" max="6142" width="26.25" style="76" customWidth="1"/>
    <col min="6143" max="6143" width="25.375" style="76" customWidth="1"/>
    <col min="6144" max="6146" width="26" style="76" customWidth="1"/>
    <col min="6147" max="6147" width="9" style="76"/>
    <col min="6148" max="6149" width="26" style="76" customWidth="1"/>
    <col min="6150" max="6395" width="9" style="76"/>
    <col min="6396" max="6396" width="44" style="76" customWidth="1"/>
    <col min="6397" max="6397" width="24" style="76" customWidth="1"/>
    <col min="6398" max="6398" width="26.25" style="76" customWidth="1"/>
    <col min="6399" max="6399" width="25.375" style="76" customWidth="1"/>
    <col min="6400" max="6402" width="26" style="76" customWidth="1"/>
    <col min="6403" max="6403" width="9" style="76"/>
    <col min="6404" max="6405" width="26" style="76" customWidth="1"/>
    <col min="6406" max="6651" width="9" style="76"/>
    <col min="6652" max="6652" width="44" style="76" customWidth="1"/>
    <col min="6653" max="6653" width="24" style="76" customWidth="1"/>
    <col min="6654" max="6654" width="26.25" style="76" customWidth="1"/>
    <col min="6655" max="6655" width="25.375" style="76" customWidth="1"/>
    <col min="6656" max="6658" width="26" style="76" customWidth="1"/>
    <col min="6659" max="6659" width="9" style="76"/>
    <col min="6660" max="6661" width="26" style="76" customWidth="1"/>
    <col min="6662" max="6907" width="9" style="76"/>
    <col min="6908" max="6908" width="44" style="76" customWidth="1"/>
    <col min="6909" max="6909" width="24" style="76" customWidth="1"/>
    <col min="6910" max="6910" width="26.25" style="76" customWidth="1"/>
    <col min="6911" max="6911" width="25.375" style="76" customWidth="1"/>
    <col min="6912" max="6914" width="26" style="76" customWidth="1"/>
    <col min="6915" max="6915" width="9" style="76"/>
    <col min="6916" max="6917" width="26" style="76" customWidth="1"/>
    <col min="6918" max="7163" width="9" style="76"/>
    <col min="7164" max="7164" width="44" style="76" customWidth="1"/>
    <col min="7165" max="7165" width="24" style="76" customWidth="1"/>
    <col min="7166" max="7166" width="26.25" style="76" customWidth="1"/>
    <col min="7167" max="7167" width="25.375" style="76" customWidth="1"/>
    <col min="7168" max="7170" width="26" style="76" customWidth="1"/>
    <col min="7171" max="7171" width="9" style="76"/>
    <col min="7172" max="7173" width="26" style="76" customWidth="1"/>
    <col min="7174" max="7419" width="9" style="76"/>
    <col min="7420" max="7420" width="44" style="76" customWidth="1"/>
    <col min="7421" max="7421" width="24" style="76" customWidth="1"/>
    <col min="7422" max="7422" width="26.25" style="76" customWidth="1"/>
    <col min="7423" max="7423" width="25.375" style="76" customWidth="1"/>
    <col min="7424" max="7426" width="26" style="76" customWidth="1"/>
    <col min="7427" max="7427" width="9" style="76"/>
    <col min="7428" max="7429" width="26" style="76" customWidth="1"/>
    <col min="7430" max="7675" width="9" style="76"/>
    <col min="7676" max="7676" width="44" style="76" customWidth="1"/>
    <col min="7677" max="7677" width="24" style="76" customWidth="1"/>
    <col min="7678" max="7678" width="26.25" style="76" customWidth="1"/>
    <col min="7679" max="7679" width="25.375" style="76" customWidth="1"/>
    <col min="7680" max="7682" width="26" style="76" customWidth="1"/>
    <col min="7683" max="7683" width="9" style="76"/>
    <col min="7684" max="7685" width="26" style="76" customWidth="1"/>
    <col min="7686" max="7931" width="9" style="76"/>
    <col min="7932" max="7932" width="44" style="76" customWidth="1"/>
    <col min="7933" max="7933" width="24" style="76" customWidth="1"/>
    <col min="7934" max="7934" width="26.25" style="76" customWidth="1"/>
    <col min="7935" max="7935" width="25.375" style="76" customWidth="1"/>
    <col min="7936" max="7938" width="26" style="76" customWidth="1"/>
    <col min="7939" max="7939" width="9" style="76"/>
    <col min="7940" max="7941" width="26" style="76" customWidth="1"/>
    <col min="7942" max="8187" width="9" style="76"/>
    <col min="8188" max="8188" width="44" style="76" customWidth="1"/>
    <col min="8189" max="8189" width="24" style="76" customWidth="1"/>
    <col min="8190" max="8190" width="26.25" style="76" customWidth="1"/>
    <col min="8191" max="8191" width="25.375" style="76" customWidth="1"/>
    <col min="8192" max="8194" width="26" style="76" customWidth="1"/>
    <col min="8195" max="8195" width="9" style="76"/>
    <col min="8196" max="8197" width="26" style="76" customWidth="1"/>
    <col min="8198" max="8443" width="9" style="76"/>
    <col min="8444" max="8444" width="44" style="76" customWidth="1"/>
    <col min="8445" max="8445" width="24" style="76" customWidth="1"/>
    <col min="8446" max="8446" width="26.25" style="76" customWidth="1"/>
    <col min="8447" max="8447" width="25.375" style="76" customWidth="1"/>
    <col min="8448" max="8450" width="26" style="76" customWidth="1"/>
    <col min="8451" max="8451" width="9" style="76"/>
    <col min="8452" max="8453" width="26" style="76" customWidth="1"/>
    <col min="8454" max="8699" width="9" style="76"/>
    <col min="8700" max="8700" width="44" style="76" customWidth="1"/>
    <col min="8701" max="8701" width="24" style="76" customWidth="1"/>
    <col min="8702" max="8702" width="26.25" style="76" customWidth="1"/>
    <col min="8703" max="8703" width="25.375" style="76" customWidth="1"/>
    <col min="8704" max="8706" width="26" style="76" customWidth="1"/>
    <col min="8707" max="8707" width="9" style="76"/>
    <col min="8708" max="8709" width="26" style="76" customWidth="1"/>
    <col min="8710" max="8955" width="9" style="76"/>
    <col min="8956" max="8956" width="44" style="76" customWidth="1"/>
    <col min="8957" max="8957" width="24" style="76" customWidth="1"/>
    <col min="8958" max="8958" width="26.25" style="76" customWidth="1"/>
    <col min="8959" max="8959" width="25.375" style="76" customWidth="1"/>
    <col min="8960" max="8962" width="26" style="76" customWidth="1"/>
    <col min="8963" max="8963" width="9" style="76"/>
    <col min="8964" max="8965" width="26" style="76" customWidth="1"/>
    <col min="8966" max="9211" width="9" style="76"/>
    <col min="9212" max="9212" width="44" style="76" customWidth="1"/>
    <col min="9213" max="9213" width="24" style="76" customWidth="1"/>
    <col min="9214" max="9214" width="26.25" style="76" customWidth="1"/>
    <col min="9215" max="9215" width="25.375" style="76" customWidth="1"/>
    <col min="9216" max="9218" width="26" style="76" customWidth="1"/>
    <col min="9219" max="9219" width="9" style="76"/>
    <col min="9220" max="9221" width="26" style="76" customWidth="1"/>
    <col min="9222" max="9467" width="9" style="76"/>
    <col min="9468" max="9468" width="44" style="76" customWidth="1"/>
    <col min="9469" max="9469" width="24" style="76" customWidth="1"/>
    <col min="9470" max="9470" width="26.25" style="76" customWidth="1"/>
    <col min="9471" max="9471" width="25.375" style="76" customWidth="1"/>
    <col min="9472" max="9474" width="26" style="76" customWidth="1"/>
    <col min="9475" max="9475" width="9" style="76"/>
    <col min="9476" max="9477" width="26" style="76" customWidth="1"/>
    <col min="9478" max="9723" width="9" style="76"/>
    <col min="9724" max="9724" width="44" style="76" customWidth="1"/>
    <col min="9725" max="9725" width="24" style="76" customWidth="1"/>
    <col min="9726" max="9726" width="26.25" style="76" customWidth="1"/>
    <col min="9727" max="9727" width="25.375" style="76" customWidth="1"/>
    <col min="9728" max="9730" width="26" style="76" customWidth="1"/>
    <col min="9731" max="9731" width="9" style="76"/>
    <col min="9732" max="9733" width="26" style="76" customWidth="1"/>
    <col min="9734" max="9979" width="9" style="76"/>
    <col min="9980" max="9980" width="44" style="76" customWidth="1"/>
    <col min="9981" max="9981" width="24" style="76" customWidth="1"/>
    <col min="9982" max="9982" width="26.25" style="76" customWidth="1"/>
    <col min="9983" max="9983" width="25.375" style="76" customWidth="1"/>
    <col min="9984" max="9986" width="26" style="76" customWidth="1"/>
    <col min="9987" max="9987" width="9" style="76"/>
    <col min="9988" max="9989" width="26" style="76" customWidth="1"/>
    <col min="9990" max="10235" width="9" style="76"/>
    <col min="10236" max="10236" width="44" style="76" customWidth="1"/>
    <col min="10237" max="10237" width="24" style="76" customWidth="1"/>
    <col min="10238" max="10238" width="26.25" style="76" customWidth="1"/>
    <col min="10239" max="10239" width="25.375" style="76" customWidth="1"/>
    <col min="10240" max="10242" width="26" style="76" customWidth="1"/>
    <col min="10243" max="10243" width="9" style="76"/>
    <col min="10244" max="10245" width="26" style="76" customWidth="1"/>
    <col min="10246" max="10491" width="9" style="76"/>
    <col min="10492" max="10492" width="44" style="76" customWidth="1"/>
    <col min="10493" max="10493" width="24" style="76" customWidth="1"/>
    <col min="10494" max="10494" width="26.25" style="76" customWidth="1"/>
    <col min="10495" max="10495" width="25.375" style="76" customWidth="1"/>
    <col min="10496" max="10498" width="26" style="76" customWidth="1"/>
    <col min="10499" max="10499" width="9" style="76"/>
    <col min="10500" max="10501" width="26" style="76" customWidth="1"/>
    <col min="10502" max="10747" width="9" style="76"/>
    <col min="10748" max="10748" width="44" style="76" customWidth="1"/>
    <col min="10749" max="10749" width="24" style="76" customWidth="1"/>
    <col min="10750" max="10750" width="26.25" style="76" customWidth="1"/>
    <col min="10751" max="10751" width="25.375" style="76" customWidth="1"/>
    <col min="10752" max="10754" width="26" style="76" customWidth="1"/>
    <col min="10755" max="10755" width="9" style="76"/>
    <col min="10756" max="10757" width="26" style="76" customWidth="1"/>
    <col min="10758" max="11003" width="9" style="76"/>
    <col min="11004" max="11004" width="44" style="76" customWidth="1"/>
    <col min="11005" max="11005" width="24" style="76" customWidth="1"/>
    <col min="11006" max="11006" width="26.25" style="76" customWidth="1"/>
    <col min="11007" max="11007" width="25.375" style="76" customWidth="1"/>
    <col min="11008" max="11010" width="26" style="76" customWidth="1"/>
    <col min="11011" max="11011" width="9" style="76"/>
    <col min="11012" max="11013" width="26" style="76" customWidth="1"/>
    <col min="11014" max="11259" width="9" style="76"/>
    <col min="11260" max="11260" width="44" style="76" customWidth="1"/>
    <col min="11261" max="11261" width="24" style="76" customWidth="1"/>
    <col min="11262" max="11262" width="26.25" style="76" customWidth="1"/>
    <col min="11263" max="11263" width="25.375" style="76" customWidth="1"/>
    <col min="11264" max="11266" width="26" style="76" customWidth="1"/>
    <col min="11267" max="11267" width="9" style="76"/>
    <col min="11268" max="11269" width="26" style="76" customWidth="1"/>
    <col min="11270" max="11515" width="9" style="76"/>
    <col min="11516" max="11516" width="44" style="76" customWidth="1"/>
    <col min="11517" max="11517" width="24" style="76" customWidth="1"/>
    <col min="11518" max="11518" width="26.25" style="76" customWidth="1"/>
    <col min="11519" max="11519" width="25.375" style="76" customWidth="1"/>
    <col min="11520" max="11522" width="26" style="76" customWidth="1"/>
    <col min="11523" max="11523" width="9" style="76"/>
    <col min="11524" max="11525" width="26" style="76" customWidth="1"/>
    <col min="11526" max="11771" width="9" style="76"/>
    <col min="11772" max="11772" width="44" style="76" customWidth="1"/>
    <col min="11773" max="11773" width="24" style="76" customWidth="1"/>
    <col min="11774" max="11774" width="26.25" style="76" customWidth="1"/>
    <col min="11775" max="11775" width="25.375" style="76" customWidth="1"/>
    <col min="11776" max="11778" width="26" style="76" customWidth="1"/>
    <col min="11779" max="11779" width="9" style="76"/>
    <col min="11780" max="11781" width="26" style="76" customWidth="1"/>
    <col min="11782" max="12027" width="9" style="76"/>
    <col min="12028" max="12028" width="44" style="76" customWidth="1"/>
    <col min="12029" max="12029" width="24" style="76" customWidth="1"/>
    <col min="12030" max="12030" width="26.25" style="76" customWidth="1"/>
    <col min="12031" max="12031" width="25.375" style="76" customWidth="1"/>
    <col min="12032" max="12034" width="26" style="76" customWidth="1"/>
    <col min="12035" max="12035" width="9" style="76"/>
    <col min="12036" max="12037" width="26" style="76" customWidth="1"/>
    <col min="12038" max="12283" width="9" style="76"/>
    <col min="12284" max="12284" width="44" style="76" customWidth="1"/>
    <col min="12285" max="12285" width="24" style="76" customWidth="1"/>
    <col min="12286" max="12286" width="26.25" style="76" customWidth="1"/>
    <col min="12287" max="12287" width="25.375" style="76" customWidth="1"/>
    <col min="12288" max="12290" width="26" style="76" customWidth="1"/>
    <col min="12291" max="12291" width="9" style="76"/>
    <col min="12292" max="12293" width="26" style="76" customWidth="1"/>
    <col min="12294" max="12539" width="9" style="76"/>
    <col min="12540" max="12540" width="44" style="76" customWidth="1"/>
    <col min="12541" max="12541" width="24" style="76" customWidth="1"/>
    <col min="12542" max="12542" width="26.25" style="76" customWidth="1"/>
    <col min="12543" max="12543" width="25.375" style="76" customWidth="1"/>
    <col min="12544" max="12546" width="26" style="76" customWidth="1"/>
    <col min="12547" max="12547" width="9" style="76"/>
    <col min="12548" max="12549" width="26" style="76" customWidth="1"/>
    <col min="12550" max="12795" width="9" style="76"/>
    <col min="12796" max="12796" width="44" style="76" customWidth="1"/>
    <col min="12797" max="12797" width="24" style="76" customWidth="1"/>
    <col min="12798" max="12798" width="26.25" style="76" customWidth="1"/>
    <col min="12799" max="12799" width="25.375" style="76" customWidth="1"/>
    <col min="12800" max="12802" width="26" style="76" customWidth="1"/>
    <col min="12803" max="12803" width="9" style="76"/>
    <col min="12804" max="12805" width="26" style="76" customWidth="1"/>
    <col min="12806" max="13051" width="9" style="76"/>
    <col min="13052" max="13052" width="44" style="76" customWidth="1"/>
    <col min="13053" max="13053" width="24" style="76" customWidth="1"/>
    <col min="13054" max="13054" width="26.25" style="76" customWidth="1"/>
    <col min="13055" max="13055" width="25.375" style="76" customWidth="1"/>
    <col min="13056" max="13058" width="26" style="76" customWidth="1"/>
    <col min="13059" max="13059" width="9" style="76"/>
    <col min="13060" max="13061" width="26" style="76" customWidth="1"/>
    <col min="13062" max="13307" width="9" style="76"/>
    <col min="13308" max="13308" width="44" style="76" customWidth="1"/>
    <col min="13309" max="13309" width="24" style="76" customWidth="1"/>
    <col min="13310" max="13310" width="26.25" style="76" customWidth="1"/>
    <col min="13311" max="13311" width="25.375" style="76" customWidth="1"/>
    <col min="13312" max="13314" width="26" style="76" customWidth="1"/>
    <col min="13315" max="13315" width="9" style="76"/>
    <col min="13316" max="13317" width="26" style="76" customWidth="1"/>
    <col min="13318" max="13563" width="9" style="76"/>
    <col min="13564" max="13564" width="44" style="76" customWidth="1"/>
    <col min="13565" max="13565" width="24" style="76" customWidth="1"/>
    <col min="13566" max="13566" width="26.25" style="76" customWidth="1"/>
    <col min="13567" max="13567" width="25.375" style="76" customWidth="1"/>
    <col min="13568" max="13570" width="26" style="76" customWidth="1"/>
    <col min="13571" max="13571" width="9" style="76"/>
    <col min="13572" max="13573" width="26" style="76" customWidth="1"/>
    <col min="13574" max="13819" width="9" style="76"/>
    <col min="13820" max="13820" width="44" style="76" customWidth="1"/>
    <col min="13821" max="13821" width="24" style="76" customWidth="1"/>
    <col min="13822" max="13822" width="26.25" style="76" customWidth="1"/>
    <col min="13823" max="13823" width="25.375" style="76" customWidth="1"/>
    <col min="13824" max="13826" width="26" style="76" customWidth="1"/>
    <col min="13827" max="13827" width="9" style="76"/>
    <col min="13828" max="13829" width="26" style="76" customWidth="1"/>
    <col min="13830" max="14075" width="9" style="76"/>
    <col min="14076" max="14076" width="44" style="76" customWidth="1"/>
    <col min="14077" max="14077" width="24" style="76" customWidth="1"/>
    <col min="14078" max="14078" width="26.25" style="76" customWidth="1"/>
    <col min="14079" max="14079" width="25.375" style="76" customWidth="1"/>
    <col min="14080" max="14082" width="26" style="76" customWidth="1"/>
    <col min="14083" max="14083" width="9" style="76"/>
    <col min="14084" max="14085" width="26" style="76" customWidth="1"/>
    <col min="14086" max="14331" width="9" style="76"/>
    <col min="14332" max="14332" width="44" style="76" customWidth="1"/>
    <col min="14333" max="14333" width="24" style="76" customWidth="1"/>
    <col min="14334" max="14334" width="26.25" style="76" customWidth="1"/>
    <col min="14335" max="14335" width="25.375" style="76" customWidth="1"/>
    <col min="14336" max="14338" width="26" style="76" customWidth="1"/>
    <col min="14339" max="14339" width="9" style="76"/>
    <col min="14340" max="14341" width="26" style="76" customWidth="1"/>
    <col min="14342" max="14587" width="9" style="76"/>
    <col min="14588" max="14588" width="44" style="76" customWidth="1"/>
    <col min="14589" max="14589" width="24" style="76" customWidth="1"/>
    <col min="14590" max="14590" width="26.25" style="76" customWidth="1"/>
    <col min="14591" max="14591" width="25.375" style="76" customWidth="1"/>
    <col min="14592" max="14594" width="26" style="76" customWidth="1"/>
    <col min="14595" max="14595" width="9" style="76"/>
    <col min="14596" max="14597" width="26" style="76" customWidth="1"/>
    <col min="14598" max="14843" width="9" style="76"/>
    <col min="14844" max="14844" width="44" style="76" customWidth="1"/>
    <col min="14845" max="14845" width="24" style="76" customWidth="1"/>
    <col min="14846" max="14846" width="26.25" style="76" customWidth="1"/>
    <col min="14847" max="14847" width="25.375" style="76" customWidth="1"/>
    <col min="14848" max="14850" width="26" style="76" customWidth="1"/>
    <col min="14851" max="14851" width="9" style="76"/>
    <col min="14852" max="14853" width="26" style="76" customWidth="1"/>
    <col min="14854" max="15099" width="9" style="76"/>
    <col min="15100" max="15100" width="44" style="76" customWidth="1"/>
    <col min="15101" max="15101" width="24" style="76" customWidth="1"/>
    <col min="15102" max="15102" width="26.25" style="76" customWidth="1"/>
    <col min="15103" max="15103" width="25.375" style="76" customWidth="1"/>
    <col min="15104" max="15106" width="26" style="76" customWidth="1"/>
    <col min="15107" max="15107" width="9" style="76"/>
    <col min="15108" max="15109" width="26" style="76" customWidth="1"/>
    <col min="15110" max="15355" width="9" style="76"/>
    <col min="15356" max="15356" width="44" style="76" customWidth="1"/>
    <col min="15357" max="15357" width="24" style="76" customWidth="1"/>
    <col min="15358" max="15358" width="26.25" style="76" customWidth="1"/>
    <col min="15359" max="15359" width="25.375" style="76" customWidth="1"/>
    <col min="15360" max="15362" width="26" style="76" customWidth="1"/>
    <col min="15363" max="15363" width="9" style="76"/>
    <col min="15364" max="15365" width="26" style="76" customWidth="1"/>
    <col min="15366" max="15611" width="9" style="76"/>
    <col min="15612" max="15612" width="44" style="76" customWidth="1"/>
    <col min="15613" max="15613" width="24" style="76" customWidth="1"/>
    <col min="15614" max="15614" width="26.25" style="76" customWidth="1"/>
    <col min="15615" max="15615" width="25.375" style="76" customWidth="1"/>
    <col min="15616" max="15618" width="26" style="76" customWidth="1"/>
    <col min="15619" max="15619" width="9" style="76"/>
    <col min="15620" max="15621" width="26" style="76" customWidth="1"/>
    <col min="15622" max="15867" width="9" style="76"/>
    <col min="15868" max="15868" width="44" style="76" customWidth="1"/>
    <col min="15869" max="15869" width="24" style="76" customWidth="1"/>
    <col min="15870" max="15870" width="26.25" style="76" customWidth="1"/>
    <col min="15871" max="15871" width="25.375" style="76" customWidth="1"/>
    <col min="15872" max="15874" width="26" style="76" customWidth="1"/>
    <col min="15875" max="15875" width="9" style="76"/>
    <col min="15876" max="15877" width="26" style="76" customWidth="1"/>
    <col min="15878" max="16123" width="9" style="76"/>
    <col min="16124" max="16124" width="44" style="76" customWidth="1"/>
    <col min="16125" max="16125" width="24" style="76" customWidth="1"/>
    <col min="16126" max="16126" width="26.25" style="76" customWidth="1"/>
    <col min="16127" max="16127" width="25.375" style="76" customWidth="1"/>
    <col min="16128" max="16130" width="26" style="76" customWidth="1"/>
    <col min="16131" max="16131" width="9" style="76"/>
    <col min="16132" max="16133" width="26" style="76" customWidth="1"/>
    <col min="16134" max="16384" width="9" style="76"/>
  </cols>
  <sheetData>
    <row r="1" spans="1:17">
      <c r="C1" s="74"/>
      <c r="D1" s="77"/>
      <c r="H1" s="74"/>
      <c r="I1" s="74"/>
      <c r="N1" s="74"/>
    </row>
    <row r="2" spans="1:17">
      <c r="C2" s="74"/>
      <c r="D2" s="78"/>
      <c r="H2" s="74"/>
      <c r="I2" s="74"/>
      <c r="N2" s="74"/>
    </row>
    <row r="3" spans="1:17">
      <c r="C3" s="80"/>
      <c r="D3" s="77" t="s">
        <v>312</v>
      </c>
      <c r="E3" s="198"/>
      <c r="H3" s="199" t="s">
        <v>313</v>
      </c>
      <c r="I3" s="80"/>
      <c r="N3" s="81"/>
    </row>
    <row r="4" spans="1:17">
      <c r="C4" s="199" t="s">
        <v>314</v>
      </c>
      <c r="D4" s="199" t="s">
        <v>315</v>
      </c>
      <c r="E4" s="199" t="s">
        <v>316</v>
      </c>
      <c r="H4" s="199" t="s">
        <v>317</v>
      </c>
      <c r="I4" s="199" t="s">
        <v>318</v>
      </c>
      <c r="L4" s="199" t="s">
        <v>319</v>
      </c>
      <c r="N4" s="199" t="s">
        <v>320</v>
      </c>
      <c r="O4" s="199" t="s">
        <v>321</v>
      </c>
      <c r="P4" s="199" t="s">
        <v>322</v>
      </c>
      <c r="Q4" s="199" t="s">
        <v>323</v>
      </c>
    </row>
    <row r="5" spans="1:17">
      <c r="A5" s="104"/>
      <c r="B5" s="83"/>
      <c r="C5" s="84" t="s">
        <v>151</v>
      </c>
      <c r="D5" s="200" t="s">
        <v>152</v>
      </c>
      <c r="E5" s="77" t="s">
        <v>153</v>
      </c>
      <c r="H5" s="77" t="s">
        <v>156</v>
      </c>
      <c r="I5" s="86" t="s">
        <v>155</v>
      </c>
      <c r="L5" s="86" t="s">
        <v>324</v>
      </c>
      <c r="N5" s="77" t="s">
        <v>154</v>
      </c>
      <c r="O5" s="86" t="s">
        <v>325</v>
      </c>
      <c r="P5" s="86" t="s">
        <v>326</v>
      </c>
      <c r="Q5" s="200" t="s">
        <v>327</v>
      </c>
    </row>
    <row r="6" spans="1:17">
      <c r="A6" s="87" t="s">
        <v>158</v>
      </c>
      <c r="B6" s="87" t="s">
        <v>159</v>
      </c>
      <c r="C6" s="87" t="s">
        <v>123</v>
      </c>
      <c r="D6" s="87" t="s">
        <v>124</v>
      </c>
      <c r="E6" s="87" t="s">
        <v>126</v>
      </c>
      <c r="H6" s="87" t="s">
        <v>126</v>
      </c>
      <c r="I6" s="87" t="s">
        <v>123</v>
      </c>
      <c r="L6" s="87" t="s">
        <v>124</v>
      </c>
      <c r="N6" s="87" t="s">
        <v>126</v>
      </c>
      <c r="O6" s="87" t="s">
        <v>123</v>
      </c>
      <c r="P6" s="87" t="s">
        <v>126</v>
      </c>
      <c r="Q6" s="87" t="s">
        <v>126</v>
      </c>
    </row>
    <row r="7" spans="1:17">
      <c r="A7" s="88" t="s">
        <v>160</v>
      </c>
      <c r="B7" s="89" t="e">
        <f>датоц</f>
        <v>#NAME?</v>
      </c>
      <c r="C7" s="89" t="e">
        <f>датоц</f>
        <v>#NAME?</v>
      </c>
      <c r="D7" s="89" t="e">
        <f>датоц</f>
        <v>#NAME?</v>
      </c>
      <c r="E7" s="89" t="e">
        <f>датоц</f>
        <v>#NAME?</v>
      </c>
      <c r="H7" s="89" t="e">
        <f>датоц</f>
        <v>#NAME?</v>
      </c>
      <c r="I7" s="89" t="e">
        <f>датоц</f>
        <v>#NAME?</v>
      </c>
      <c r="L7" s="89" t="e">
        <f>датоц</f>
        <v>#NAME?</v>
      </c>
      <c r="N7" s="89" t="e">
        <f>датоц</f>
        <v>#NAME?</v>
      </c>
      <c r="O7" s="89" t="e">
        <f>датоц</f>
        <v>#NAME?</v>
      </c>
      <c r="P7" s="89" t="e">
        <f>датоц</f>
        <v>#NAME?</v>
      </c>
      <c r="Q7" s="89" t="e">
        <f>датоц</f>
        <v>#NAME?</v>
      </c>
    </row>
    <row r="8" spans="1:17">
      <c r="A8" s="88" t="s">
        <v>161</v>
      </c>
      <c r="B8" s="90"/>
      <c r="C8" s="91" t="s">
        <v>162</v>
      </c>
      <c r="D8" s="91" t="s">
        <v>163</v>
      </c>
      <c r="E8" s="92" t="s">
        <v>164</v>
      </c>
      <c r="H8" s="92" t="s">
        <v>167</v>
      </c>
      <c r="I8" s="93" t="s">
        <v>166</v>
      </c>
      <c r="L8" s="97" t="s">
        <v>328</v>
      </c>
      <c r="N8" s="92" t="s">
        <v>165</v>
      </c>
      <c r="O8" s="98" t="s">
        <v>329</v>
      </c>
      <c r="P8" s="97" t="s">
        <v>328</v>
      </c>
      <c r="Q8" s="201" t="s">
        <v>330</v>
      </c>
    </row>
    <row r="9" spans="1:17" ht="25.5">
      <c r="A9" s="88" t="s">
        <v>169</v>
      </c>
      <c r="B9" s="94" t="s">
        <v>170</v>
      </c>
      <c r="C9" s="95" t="s">
        <v>170</v>
      </c>
      <c r="D9" s="94" t="s">
        <v>170</v>
      </c>
      <c r="E9" s="96" t="s">
        <v>331</v>
      </c>
      <c r="H9" s="94" t="s">
        <v>170</v>
      </c>
      <c r="I9" s="94" t="s">
        <v>170</v>
      </c>
      <c r="L9" s="96" t="s">
        <v>331</v>
      </c>
      <c r="N9" s="94" t="s">
        <v>171</v>
      </c>
      <c r="O9" s="94" t="s">
        <v>170</v>
      </c>
      <c r="P9" s="94" t="s">
        <v>170</v>
      </c>
      <c r="Q9" s="96" t="s">
        <v>331</v>
      </c>
    </row>
    <row r="10" spans="1:17" ht="25.5">
      <c r="A10" s="88" t="s">
        <v>172</v>
      </c>
      <c r="B10" s="96" t="s">
        <v>304</v>
      </c>
      <c r="C10" s="97" t="s">
        <v>173</v>
      </c>
      <c r="D10" s="98" t="s">
        <v>174</v>
      </c>
      <c r="E10" s="99" t="s">
        <v>175</v>
      </c>
      <c r="H10" s="99" t="s">
        <v>178</v>
      </c>
      <c r="I10" s="99" t="s">
        <v>332</v>
      </c>
      <c r="L10" s="202" t="s">
        <v>307</v>
      </c>
      <c r="N10" s="99" t="s">
        <v>176</v>
      </c>
      <c r="O10" s="97" t="s">
        <v>333</v>
      </c>
      <c r="P10" s="202" t="s">
        <v>334</v>
      </c>
      <c r="Q10" s="101" t="s">
        <v>335</v>
      </c>
    </row>
    <row r="11" spans="1:17" ht="25.5">
      <c r="A11" s="88" t="s">
        <v>180</v>
      </c>
      <c r="B11" s="96" t="s">
        <v>181</v>
      </c>
      <c r="C11" s="101" t="s">
        <v>181</v>
      </c>
      <c r="D11" s="93" t="s">
        <v>181</v>
      </c>
      <c r="E11" s="99" t="s">
        <v>182</v>
      </c>
      <c r="H11" s="99" t="s">
        <v>184</v>
      </c>
      <c r="I11" s="99" t="s">
        <v>181</v>
      </c>
      <c r="L11" s="203" t="s">
        <v>181</v>
      </c>
      <c r="N11" s="99" t="s">
        <v>183</v>
      </c>
      <c r="O11" s="93" t="s">
        <v>336</v>
      </c>
      <c r="P11" s="203" t="s">
        <v>181</v>
      </c>
      <c r="Q11" s="203" t="s">
        <v>337</v>
      </c>
    </row>
    <row r="12" spans="1:17" s="207" customFormat="1" outlineLevel="1">
      <c r="A12" s="111" t="s">
        <v>338</v>
      </c>
      <c r="B12" s="204"/>
      <c r="C12" s="205" t="s">
        <v>187</v>
      </c>
      <c r="D12" s="206" t="s">
        <v>187</v>
      </c>
      <c r="E12" s="205" t="s">
        <v>187</v>
      </c>
      <c r="H12" s="205" t="s">
        <v>187</v>
      </c>
      <c r="I12" s="208" t="s">
        <v>188</v>
      </c>
      <c r="L12" s="204"/>
      <c r="N12" s="205" t="s">
        <v>187</v>
      </c>
      <c r="O12" s="205" t="s">
        <v>339</v>
      </c>
      <c r="P12" s="206"/>
      <c r="Q12" s="206"/>
    </row>
    <row r="13" spans="1:17" ht="38.25">
      <c r="A13" s="88" t="s">
        <v>186</v>
      </c>
      <c r="B13" s="91" t="s">
        <v>364</v>
      </c>
      <c r="C13" s="94" t="s">
        <v>187</v>
      </c>
      <c r="D13" s="93" t="s">
        <v>187</v>
      </c>
      <c r="E13" s="94" t="s">
        <v>187</v>
      </c>
      <c r="H13" s="94" t="s">
        <v>187</v>
      </c>
      <c r="I13" s="102" t="s">
        <v>188</v>
      </c>
      <c r="L13" s="94" t="s">
        <v>187</v>
      </c>
      <c r="N13" s="94" t="s">
        <v>187</v>
      </c>
      <c r="O13" s="94" t="s">
        <v>187</v>
      </c>
      <c r="P13" s="209" t="s">
        <v>187</v>
      </c>
      <c r="Q13" s="209" t="s">
        <v>340</v>
      </c>
    </row>
    <row r="14" spans="1:17" ht="15">
      <c r="A14" s="88" t="s">
        <v>341</v>
      </c>
      <c r="B14" s="103">
        <f>SUM(B15:B22)</f>
        <v>19990</v>
      </c>
      <c r="C14" s="103">
        <f t="shared" ref="C14:E14" si="0">SUM(C15:C22)</f>
        <v>1870</v>
      </c>
      <c r="D14" s="103">
        <f t="shared" si="0"/>
        <v>6996</v>
      </c>
      <c r="E14" s="103">
        <f t="shared" si="0"/>
        <v>3337.1</v>
      </c>
      <c r="H14" s="103">
        <f t="shared" ref="H14" si="1">SUM(H15:H23)</f>
        <v>3400</v>
      </c>
      <c r="I14" s="103">
        <f>SUM(I15:I23)</f>
        <v>1906</v>
      </c>
      <c r="L14" s="103">
        <f>SUM(L15:L23)</f>
        <v>2476</v>
      </c>
      <c r="N14" s="103">
        <f>SUM(N15:N22)</f>
        <v>5699.9999999999991</v>
      </c>
      <c r="O14" s="103">
        <f>SUM(O15:O23)</f>
        <v>1407</v>
      </c>
      <c r="P14" s="103">
        <f>SUM(P15:P22)</f>
        <v>1800</v>
      </c>
      <c r="Q14" s="103">
        <f>SUM(Q15:Q22)</f>
        <v>2283.1999999999998</v>
      </c>
    </row>
    <row r="15" spans="1:17">
      <c r="A15" s="105" t="str">
        <f>Выжимка!B32</f>
        <v>произв класс 4</v>
      </c>
      <c r="B15" s="106">
        <f>Выжимка!D3</f>
        <v>0</v>
      </c>
      <c r="C15" s="106">
        <f>'1.1 Алыкулова'!C15</f>
        <v>1760</v>
      </c>
      <c r="D15" s="106">
        <f>'1.1 Алыкулова'!D15</f>
        <v>1112.2</v>
      </c>
      <c r="E15" s="106">
        <f>'1.1 Алыкулова'!E15</f>
        <v>0</v>
      </c>
      <c r="H15" s="106">
        <f>2550+850</f>
        <v>3400</v>
      </c>
      <c r="I15" s="108">
        <v>1260</v>
      </c>
      <c r="L15" s="106">
        <f>13+15.6+32.7+13.5</f>
        <v>74.800000000000011</v>
      </c>
      <c r="N15" s="106">
        <v>877.69999999999993</v>
      </c>
      <c r="O15" s="108">
        <v>500</v>
      </c>
      <c r="P15" s="210">
        <v>23.1</v>
      </c>
      <c r="Q15" s="106">
        <f>786+309.5</f>
        <v>1095.5</v>
      </c>
    </row>
    <row r="16" spans="1:17">
      <c r="A16" s="105" t="str">
        <f>Выжимка!B33</f>
        <v>произв класс 3</v>
      </c>
      <c r="B16" s="106">
        <f>Выжимка!D4</f>
        <v>19040.5</v>
      </c>
      <c r="C16" s="106">
        <f>'1.1 Алыкулова'!C16</f>
        <v>0</v>
      </c>
      <c r="D16" s="106">
        <f>'1.1 Алыкулова'!D16</f>
        <v>5523.8</v>
      </c>
      <c r="E16" s="106">
        <f>'1.1 Алыкулова'!E16</f>
        <v>0</v>
      </c>
      <c r="H16" s="106">
        <v>0</v>
      </c>
      <c r="I16" s="108">
        <v>646</v>
      </c>
      <c r="L16" s="106">
        <f>1636-L15</f>
        <v>1561.2</v>
      </c>
      <c r="N16" s="106">
        <v>4822.2999999999993</v>
      </c>
      <c r="O16" s="108">
        <v>0</v>
      </c>
      <c r="P16" s="210">
        <v>800</v>
      </c>
      <c r="Q16" s="106">
        <f>767.7+120</f>
        <v>887.7</v>
      </c>
    </row>
    <row r="17" spans="1:17">
      <c r="A17" s="105" t="str">
        <f>Выжимка!B34</f>
        <v>произв класс 2</v>
      </c>
      <c r="B17" s="106">
        <f>Выжимка!D5</f>
        <v>0</v>
      </c>
      <c r="C17" s="106">
        <f>'1.1 Алыкулова'!C17</f>
        <v>0</v>
      </c>
      <c r="D17" s="106">
        <f>'1.1 Алыкулова'!D17</f>
        <v>0</v>
      </c>
      <c r="E17" s="106">
        <f>'1.1 Алыкулова'!E17</f>
        <v>1947.1</v>
      </c>
      <c r="H17" s="106">
        <v>0</v>
      </c>
      <c r="I17" s="108">
        <v>0</v>
      </c>
      <c r="L17" s="106">
        <v>840</v>
      </c>
      <c r="N17" s="106">
        <v>0</v>
      </c>
      <c r="O17" s="108">
        <v>700</v>
      </c>
      <c r="P17" s="210">
        <v>976.90000000000009</v>
      </c>
      <c r="Q17" s="106">
        <v>300</v>
      </c>
    </row>
    <row r="18" spans="1:17">
      <c r="A18" s="105" t="str">
        <f>Выжимка!B35</f>
        <v>произв класс 1</v>
      </c>
      <c r="B18" s="106">
        <f>Выжимка!D6</f>
        <v>0</v>
      </c>
      <c r="C18" s="106">
        <f>'1.1 Алыкулова'!C18</f>
        <v>0</v>
      </c>
      <c r="D18" s="106">
        <f>'1.1 Алыкулова'!D18</f>
        <v>0</v>
      </c>
      <c r="E18" s="106">
        <f>'1.1 Алыкулова'!E18</f>
        <v>0</v>
      </c>
      <c r="H18" s="106"/>
      <c r="I18" s="108"/>
      <c r="L18" s="106"/>
      <c r="N18" s="106"/>
      <c r="O18" s="108"/>
      <c r="P18" s="210"/>
      <c r="Q18" s="106"/>
    </row>
    <row r="19" spans="1:17">
      <c r="A19" s="105" t="str">
        <f>Выжимка!B36</f>
        <v>гражд класс 4</v>
      </c>
      <c r="B19" s="106">
        <f>Выжимка!D7</f>
        <v>0</v>
      </c>
      <c r="C19" s="106">
        <f>'1.1 Алыкулова'!C19</f>
        <v>110</v>
      </c>
      <c r="D19" s="106">
        <f>'1.1 Алыкулова'!D19</f>
        <v>0</v>
      </c>
      <c r="E19" s="106">
        <f>'1.1 Алыкулова'!E19</f>
        <v>0</v>
      </c>
      <c r="H19" s="106"/>
      <c r="I19" s="108"/>
      <c r="L19" s="106"/>
      <c r="N19" s="106"/>
      <c r="O19" s="108"/>
      <c r="P19" s="210"/>
      <c r="Q19" s="106"/>
    </row>
    <row r="20" spans="1:17">
      <c r="A20" s="105" t="str">
        <f>Выжимка!B37</f>
        <v>гражд класс 3</v>
      </c>
      <c r="B20" s="106">
        <f>Выжимка!D8</f>
        <v>949.5</v>
      </c>
      <c r="C20" s="106">
        <f>'1.1 Алыкулова'!C20</f>
        <v>0</v>
      </c>
      <c r="D20" s="106">
        <f>'1.1 Алыкулова'!D20</f>
        <v>360</v>
      </c>
      <c r="E20" s="106">
        <f>'1.1 Алыкулова'!E20</f>
        <v>1390</v>
      </c>
      <c r="H20" s="106"/>
      <c r="I20" s="108"/>
      <c r="L20" s="106"/>
      <c r="N20" s="106"/>
      <c r="O20" s="108"/>
      <c r="P20" s="210"/>
      <c r="Q20" s="106"/>
    </row>
    <row r="21" spans="1:17">
      <c r="A21" s="105" t="str">
        <f>Выжимка!B38</f>
        <v>гражд класс 2</v>
      </c>
      <c r="B21" s="106">
        <f>Выжимка!D9</f>
        <v>0</v>
      </c>
      <c r="C21" s="106">
        <f>'1.1 Алыкулова'!C21</f>
        <v>0</v>
      </c>
      <c r="D21" s="106">
        <f>'1.1 Алыкулова'!D21</f>
        <v>0</v>
      </c>
      <c r="E21" s="106">
        <f>'1.1 Алыкулова'!E21</f>
        <v>0</v>
      </c>
      <c r="H21" s="106"/>
      <c r="I21" s="108"/>
      <c r="L21" s="106"/>
      <c r="N21" s="106"/>
      <c r="O21" s="108"/>
      <c r="P21" s="210"/>
      <c r="Q21" s="106"/>
    </row>
    <row r="22" spans="1:17" ht="15" customHeight="1">
      <c r="A22" s="105" t="str">
        <f>Выжимка!B39</f>
        <v>гражд класс 1</v>
      </c>
      <c r="B22" s="106">
        <f>Выжимка!D10</f>
        <v>0</v>
      </c>
      <c r="C22" s="106">
        <f>'1.1 Алыкулова'!C22</f>
        <v>0</v>
      </c>
      <c r="D22" s="106">
        <f>'1.1 Алыкулова'!D22</f>
        <v>0</v>
      </c>
      <c r="E22" s="106">
        <f>'1.1 Алыкулова'!E22</f>
        <v>0</v>
      </c>
      <c r="H22" s="106">
        <v>0</v>
      </c>
      <c r="I22" s="106">
        <v>0</v>
      </c>
      <c r="L22" s="94">
        <v>0</v>
      </c>
      <c r="N22" s="106">
        <v>0</v>
      </c>
      <c r="O22" s="108">
        <v>122</v>
      </c>
      <c r="P22" s="210">
        <v>0</v>
      </c>
      <c r="Q22" s="94">
        <v>0</v>
      </c>
    </row>
    <row r="23" spans="1:17">
      <c r="A23" s="105" t="str">
        <f>Выжимка!B40</f>
        <v>прочие</v>
      </c>
      <c r="B23" s="106">
        <f>Выжимка!D11</f>
        <v>0</v>
      </c>
      <c r="C23" s="106">
        <f>'1.1 Алыкулова'!C23</f>
        <v>0</v>
      </c>
      <c r="D23" s="106">
        <f>'1.1 Алыкулова'!D23</f>
        <v>0</v>
      </c>
      <c r="E23" s="106">
        <f>'1.1 Алыкулова'!E23</f>
        <v>0</v>
      </c>
      <c r="H23" s="106">
        <v>0</v>
      </c>
      <c r="I23" s="106">
        <v>0</v>
      </c>
      <c r="L23" s="103">
        <v>0</v>
      </c>
      <c r="N23" s="106">
        <v>0</v>
      </c>
      <c r="O23" s="104">
        <v>85</v>
      </c>
      <c r="P23" s="94">
        <v>0</v>
      </c>
      <c r="Q23" s="103">
        <v>0</v>
      </c>
    </row>
    <row r="24" spans="1:17" ht="25.5">
      <c r="A24" s="88" t="s">
        <v>202</v>
      </c>
      <c r="B24" s="94" t="s">
        <v>342</v>
      </c>
      <c r="C24" s="115" t="s">
        <v>204</v>
      </c>
      <c r="D24" s="94" t="s">
        <v>205</v>
      </c>
      <c r="E24" s="115" t="s">
        <v>206</v>
      </c>
      <c r="H24" s="94" t="s">
        <v>343</v>
      </c>
      <c r="I24" s="115" t="s">
        <v>344</v>
      </c>
      <c r="L24" s="94" t="s">
        <v>345</v>
      </c>
      <c r="N24" s="115" t="s">
        <v>346</v>
      </c>
      <c r="O24" s="94" t="s">
        <v>345</v>
      </c>
      <c r="P24" s="209" t="s">
        <v>345</v>
      </c>
      <c r="Q24" s="209" t="s">
        <v>347</v>
      </c>
    </row>
    <row r="25" spans="1:17" ht="25.5">
      <c r="A25" s="88" t="s">
        <v>211</v>
      </c>
      <c r="B25" s="205" t="s">
        <v>644</v>
      </c>
      <c r="C25" s="205" t="s">
        <v>213</v>
      </c>
      <c r="D25" s="205" t="s">
        <v>212</v>
      </c>
      <c r="E25" s="205" t="s">
        <v>214</v>
      </c>
      <c r="H25" s="94" t="s">
        <v>214</v>
      </c>
      <c r="I25" s="94" t="s">
        <v>212</v>
      </c>
      <c r="L25" s="209" t="s">
        <v>214</v>
      </c>
      <c r="N25" s="94" t="s">
        <v>214</v>
      </c>
      <c r="O25" s="94" t="s">
        <v>212</v>
      </c>
      <c r="P25" s="209" t="s">
        <v>212</v>
      </c>
      <c r="Q25" s="209" t="s">
        <v>212</v>
      </c>
    </row>
    <row r="26" spans="1:17" ht="25.5">
      <c r="A26" s="88" t="s">
        <v>215</v>
      </c>
      <c r="B26" s="94" t="s">
        <v>365</v>
      </c>
      <c r="C26" s="94" t="s">
        <v>216</v>
      </c>
      <c r="D26" s="94" t="s">
        <v>217</v>
      </c>
      <c r="E26" s="94" t="s">
        <v>217</v>
      </c>
      <c r="H26" s="94" t="s">
        <v>218</v>
      </c>
      <c r="I26" s="115" t="s">
        <v>216</v>
      </c>
      <c r="L26" s="94" t="s">
        <v>349</v>
      </c>
      <c r="N26" s="94" t="s">
        <v>216</v>
      </c>
      <c r="O26" s="94" t="s">
        <v>216</v>
      </c>
      <c r="P26" s="94" t="s">
        <v>216</v>
      </c>
      <c r="Q26" s="209" t="s">
        <v>217</v>
      </c>
    </row>
    <row r="27" spans="1:17">
      <c r="A27" s="88" t="s">
        <v>220</v>
      </c>
      <c r="B27" s="94" t="s">
        <v>221</v>
      </c>
      <c r="C27" s="115" t="s">
        <v>221</v>
      </c>
      <c r="D27" s="94" t="s">
        <v>221</v>
      </c>
      <c r="E27" s="209" t="s">
        <v>221</v>
      </c>
      <c r="H27" s="94" t="s">
        <v>221</v>
      </c>
      <c r="I27" s="115" t="s">
        <v>221</v>
      </c>
      <c r="L27" s="209" t="s">
        <v>221</v>
      </c>
      <c r="N27" s="94" t="s">
        <v>221</v>
      </c>
      <c r="O27" s="94" t="s">
        <v>221</v>
      </c>
      <c r="P27" s="209" t="s">
        <v>221</v>
      </c>
      <c r="Q27" s="209" t="s">
        <v>221</v>
      </c>
    </row>
    <row r="28" spans="1:17" ht="15">
      <c r="A28" s="88" t="s">
        <v>350</v>
      </c>
      <c r="B28" s="103">
        <v>45550</v>
      </c>
      <c r="C28" s="104">
        <v>5480</v>
      </c>
      <c r="D28" s="103">
        <v>12620</v>
      </c>
      <c r="E28" s="212">
        <v>7800</v>
      </c>
      <c r="H28" s="103">
        <v>6500</v>
      </c>
      <c r="I28" s="115">
        <v>1300</v>
      </c>
      <c r="L28" s="103">
        <v>6000</v>
      </c>
      <c r="N28" s="103">
        <f>6640+5000+595</f>
        <v>12235</v>
      </c>
      <c r="O28" s="103">
        <v>3000</v>
      </c>
      <c r="P28" s="212">
        <v>3200</v>
      </c>
      <c r="Q28" s="103">
        <v>2469</v>
      </c>
    </row>
    <row r="29" spans="1:17" ht="25.5">
      <c r="A29" s="88" t="s">
        <v>226</v>
      </c>
      <c r="B29" s="94" t="s">
        <v>227</v>
      </c>
      <c r="C29" s="94" t="s">
        <v>227</v>
      </c>
      <c r="D29" s="94" t="s">
        <v>228</v>
      </c>
      <c r="E29" s="94" t="s">
        <v>228</v>
      </c>
      <c r="H29" s="115" t="s">
        <v>229</v>
      </c>
      <c r="I29" s="94" t="s">
        <v>227</v>
      </c>
      <c r="L29" s="209" t="s">
        <v>227</v>
      </c>
      <c r="N29" s="115" t="s">
        <v>351</v>
      </c>
      <c r="O29" s="94" t="s">
        <v>227</v>
      </c>
      <c r="P29" s="209" t="s">
        <v>227</v>
      </c>
      <c r="Q29" s="209" t="s">
        <v>227</v>
      </c>
    </row>
    <row r="30" spans="1:17" ht="25.5">
      <c r="A30" s="88" t="s">
        <v>230</v>
      </c>
      <c r="B30" s="97" t="s">
        <v>231</v>
      </c>
      <c r="C30" s="116" t="s">
        <v>231</v>
      </c>
      <c r="D30" s="97" t="s">
        <v>232</v>
      </c>
      <c r="E30" s="116" t="s">
        <v>233</v>
      </c>
      <c r="H30" s="116" t="s">
        <v>231</v>
      </c>
      <c r="I30" s="116" t="s">
        <v>233</v>
      </c>
      <c r="L30" s="213" t="s">
        <v>231</v>
      </c>
      <c r="N30" s="116" t="s">
        <v>231</v>
      </c>
      <c r="O30" s="213" t="s">
        <v>231</v>
      </c>
      <c r="P30" s="214" t="s">
        <v>234</v>
      </c>
      <c r="Q30" s="97" t="s">
        <v>231</v>
      </c>
    </row>
    <row r="31" spans="1:17">
      <c r="A31" s="88" t="s">
        <v>235</v>
      </c>
      <c r="B31" s="97" t="s">
        <v>366</v>
      </c>
      <c r="C31" s="94" t="s">
        <v>236</v>
      </c>
      <c r="D31" s="94" t="s">
        <v>237</v>
      </c>
      <c r="E31" s="201" t="s">
        <v>238</v>
      </c>
      <c r="H31" s="97" t="s">
        <v>238</v>
      </c>
      <c r="I31" s="94" t="s">
        <v>239</v>
      </c>
      <c r="L31" s="201" t="s">
        <v>236</v>
      </c>
      <c r="N31" s="97" t="s">
        <v>238</v>
      </c>
      <c r="O31" s="91" t="s">
        <v>236</v>
      </c>
      <c r="P31" s="201" t="s">
        <v>238</v>
      </c>
      <c r="Q31" s="201" t="s">
        <v>238</v>
      </c>
    </row>
    <row r="32" spans="1:17">
      <c r="A32" s="88" t="s">
        <v>240</v>
      </c>
      <c r="B32" s="94" t="s">
        <v>241</v>
      </c>
      <c r="C32" s="94" t="s">
        <v>239</v>
      </c>
      <c r="D32" s="94" t="s">
        <v>239</v>
      </c>
      <c r="E32" s="209" t="s">
        <v>238</v>
      </c>
      <c r="H32" s="94" t="s">
        <v>239</v>
      </c>
      <c r="I32" s="94" t="s">
        <v>239</v>
      </c>
      <c r="L32" s="209" t="s">
        <v>238</v>
      </c>
      <c r="N32" s="94" t="s">
        <v>239</v>
      </c>
      <c r="O32" s="209" t="s">
        <v>238</v>
      </c>
      <c r="P32" s="209" t="s">
        <v>238</v>
      </c>
      <c r="Q32" s="209" t="s">
        <v>238</v>
      </c>
    </row>
    <row r="33" spans="1:17">
      <c r="A33" s="88" t="s">
        <v>243</v>
      </c>
      <c r="B33" s="117"/>
      <c r="C33" s="94" t="s">
        <v>244</v>
      </c>
      <c r="D33" s="94" t="s">
        <v>245</v>
      </c>
      <c r="E33" s="118" t="s">
        <v>245</v>
      </c>
      <c r="H33" s="118" t="s">
        <v>245</v>
      </c>
      <c r="I33" s="94" t="s">
        <v>245</v>
      </c>
      <c r="L33" s="215" t="s">
        <v>245</v>
      </c>
      <c r="N33" s="118" t="s">
        <v>244</v>
      </c>
      <c r="O33" s="118" t="s">
        <v>245</v>
      </c>
      <c r="P33" s="215" t="s">
        <v>245</v>
      </c>
      <c r="Q33" s="215" t="s">
        <v>244</v>
      </c>
    </row>
    <row r="34" spans="1:17">
      <c r="A34" s="88" t="s">
        <v>122</v>
      </c>
      <c r="B34" s="117"/>
      <c r="C34" s="94">
        <v>1800000</v>
      </c>
      <c r="D34" s="118">
        <v>7200000</v>
      </c>
      <c r="E34" s="209">
        <v>2450000</v>
      </c>
      <c r="H34" s="94">
        <v>2800000</v>
      </c>
      <c r="I34" s="94">
        <v>1300000</v>
      </c>
      <c r="L34" s="118">
        <v>2700000</v>
      </c>
      <c r="N34" s="94">
        <v>5800000</v>
      </c>
      <c r="O34" s="118">
        <v>1500000</v>
      </c>
      <c r="P34" s="215">
        <v>1500000</v>
      </c>
      <c r="Q34" s="209">
        <v>1350000</v>
      </c>
    </row>
    <row r="35" spans="1:17">
      <c r="A35" s="88" t="s">
        <v>246</v>
      </c>
      <c r="B35" s="117"/>
      <c r="C35" s="94">
        <f>C34*долл</f>
        <v>157410000</v>
      </c>
      <c r="D35" s="94">
        <f>D34*долл</f>
        <v>629640000</v>
      </c>
      <c r="E35" s="94">
        <f>E34*долл</f>
        <v>214252500</v>
      </c>
      <c r="H35" s="94">
        <f>H34*долл</f>
        <v>244860000</v>
      </c>
      <c r="I35" s="94">
        <f>I34*долл</f>
        <v>113685000</v>
      </c>
      <c r="L35" s="94">
        <f>L34*долл</f>
        <v>236115000</v>
      </c>
      <c r="N35" s="94">
        <f>N34*долл</f>
        <v>507210000</v>
      </c>
      <c r="O35" s="94">
        <f>O34*долл</f>
        <v>131175000</v>
      </c>
      <c r="P35" s="94">
        <f>P34*долл</f>
        <v>131175000</v>
      </c>
      <c r="Q35" s="94">
        <f>Q34*долл</f>
        <v>118057500</v>
      </c>
    </row>
    <row r="36" spans="1:17" ht="15">
      <c r="A36" s="88" t="s">
        <v>247</v>
      </c>
      <c r="B36" s="115"/>
      <c r="C36" s="115">
        <f>C34/C14</f>
        <v>962.56684491978615</v>
      </c>
      <c r="D36" s="115">
        <f>D34/D14</f>
        <v>1029.1595197255574</v>
      </c>
      <c r="E36" s="115">
        <f>E34/E14</f>
        <v>734.17038746216781</v>
      </c>
      <c r="H36" s="115">
        <f>H34/H14</f>
        <v>823.52941176470586</v>
      </c>
      <c r="I36" s="115">
        <f>I34/I14</f>
        <v>682.05666316894019</v>
      </c>
      <c r="L36" s="104">
        <f>L34/L14</f>
        <v>1090.4684975767366</v>
      </c>
      <c r="N36" s="115">
        <f>N34/N14</f>
        <v>1017.543859649123</v>
      </c>
      <c r="O36" s="115">
        <f>O34/O14</f>
        <v>1066.0980810234541</v>
      </c>
      <c r="P36" s="115">
        <f>P34/P14</f>
        <v>833.33333333333337</v>
      </c>
      <c r="Q36" s="115">
        <f>Q34/Q14</f>
        <v>591.27540294323762</v>
      </c>
    </row>
    <row r="37" spans="1:17" ht="15">
      <c r="A37" s="88" t="s">
        <v>248</v>
      </c>
      <c r="B37" s="115"/>
      <c r="C37" s="115">
        <f>C36*долл</f>
        <v>84176.470588235301</v>
      </c>
      <c r="D37" s="115">
        <f>D36*долл</f>
        <v>90000</v>
      </c>
      <c r="E37" s="115">
        <f>E36*долл</f>
        <v>64203.200383566575</v>
      </c>
      <c r="H37" s="115">
        <f>H36*долл</f>
        <v>72017.647058823524</v>
      </c>
      <c r="I37" s="115">
        <f>I36*долл</f>
        <v>59645.855194123818</v>
      </c>
      <c r="L37" s="115">
        <f>L36*долл</f>
        <v>95361.470113085612</v>
      </c>
      <c r="N37" s="115">
        <f>N36*долл</f>
        <v>88984.210526315801</v>
      </c>
      <c r="O37" s="115">
        <f>O36*долл</f>
        <v>93230.277185501065</v>
      </c>
      <c r="P37" s="115">
        <f>P36*долл</f>
        <v>72875</v>
      </c>
      <c r="Q37" s="115">
        <f>Q36*долл</f>
        <v>51707.03398738613</v>
      </c>
    </row>
    <row r="38" spans="1:17">
      <c r="A38" s="119" t="s">
        <v>249</v>
      </c>
      <c r="B38" s="87" t="s">
        <v>159</v>
      </c>
      <c r="C38" s="87" t="str">
        <f>C6</f>
        <v>Аналог 1</v>
      </c>
      <c r="D38" s="87" t="str">
        <f>D6</f>
        <v>Аналог 2</v>
      </c>
      <c r="E38" s="87" t="str">
        <f>E6</f>
        <v>Аналог 3</v>
      </c>
      <c r="H38" s="87" t="str">
        <f>H6</f>
        <v>Аналог 3</v>
      </c>
      <c r="I38" s="87" t="str">
        <f>I6</f>
        <v>Аналог 1</v>
      </c>
      <c r="L38" s="87" t="str">
        <f>L6</f>
        <v>Аналог 2</v>
      </c>
      <c r="N38" s="87" t="str">
        <f>N6</f>
        <v>Аналог 3</v>
      </c>
      <c r="O38" s="87" t="str">
        <f>O6</f>
        <v>Аналог 1</v>
      </c>
      <c r="P38" s="87" t="str">
        <f>P6</f>
        <v>Аналог 3</v>
      </c>
      <c r="Q38" s="87" t="str">
        <f>Q6</f>
        <v>Аналог 3</v>
      </c>
    </row>
    <row r="39" spans="1:17" s="207" customFormat="1" hidden="1" outlineLevel="1">
      <c r="A39" s="120" t="s">
        <v>250</v>
      </c>
      <c r="B39" s="121"/>
      <c r="C39" s="122">
        <v>1</v>
      </c>
      <c r="D39" s="122">
        <v>1</v>
      </c>
      <c r="E39" s="122">
        <v>1</v>
      </c>
      <c r="H39" s="122">
        <v>1</v>
      </c>
      <c r="I39" s="122">
        <v>1</v>
      </c>
      <c r="L39" s="122">
        <v>1</v>
      </c>
      <c r="N39" s="122">
        <v>1</v>
      </c>
      <c r="O39" s="122">
        <v>1</v>
      </c>
      <c r="P39" s="122">
        <v>1</v>
      </c>
      <c r="Q39" s="122">
        <v>1</v>
      </c>
    </row>
    <row r="40" spans="1:17" s="207" customFormat="1" ht="15" hidden="1" outlineLevel="1">
      <c r="A40" s="123" t="s">
        <v>352</v>
      </c>
      <c r="B40" s="124"/>
      <c r="C40" s="124">
        <f>C39*C37</f>
        <v>84176.470588235301</v>
      </c>
      <c r="D40" s="124">
        <f>D39*D37</f>
        <v>90000</v>
      </c>
      <c r="E40" s="124">
        <f>E39*E37</f>
        <v>64203.200383566575</v>
      </c>
      <c r="H40" s="124">
        <f>H39*H37</f>
        <v>72017.647058823524</v>
      </c>
      <c r="I40" s="124">
        <f>I39*I37</f>
        <v>59645.855194123818</v>
      </c>
      <c r="L40" s="124">
        <f>L39*L37</f>
        <v>95361.470113085612</v>
      </c>
      <c r="N40" s="124">
        <f>N39*N37</f>
        <v>88984.210526315801</v>
      </c>
      <c r="O40" s="124">
        <f>O39*O37</f>
        <v>93230.277185501065</v>
      </c>
      <c r="P40" s="124">
        <f>P39*P37</f>
        <v>72875</v>
      </c>
      <c r="Q40" s="124">
        <f>Q39*Q37</f>
        <v>51707.03398738613</v>
      </c>
    </row>
    <row r="41" spans="1:17" collapsed="1">
      <c r="A41" s="130" t="s">
        <v>252</v>
      </c>
      <c r="B41" s="115"/>
      <c r="C41" s="131">
        <v>0.95</v>
      </c>
      <c r="D41" s="131">
        <v>0.9</v>
      </c>
      <c r="E41" s="131">
        <v>0.9</v>
      </c>
      <c r="H41" s="131">
        <v>0.9</v>
      </c>
      <c r="I41" s="131">
        <v>0.9</v>
      </c>
      <c r="L41" s="131">
        <v>0.9</v>
      </c>
      <c r="N41" s="131">
        <v>0.85</v>
      </c>
      <c r="O41" s="131">
        <v>0.9</v>
      </c>
      <c r="P41" s="131">
        <v>0.95</v>
      </c>
      <c r="Q41" s="131">
        <v>0.95</v>
      </c>
    </row>
    <row r="42" spans="1:17" ht="15">
      <c r="A42" s="132" t="s">
        <v>352</v>
      </c>
      <c r="B42" s="133"/>
      <c r="C42" s="133">
        <f>C41*C40</f>
        <v>79967.647058823539</v>
      </c>
      <c r="D42" s="133">
        <f>D41*D40</f>
        <v>81000</v>
      </c>
      <c r="E42" s="133">
        <f>E41*E40</f>
        <v>57782.880345209916</v>
      </c>
      <c r="H42" s="133">
        <f>H41*H40</f>
        <v>64815.882352941175</v>
      </c>
      <c r="I42" s="133">
        <f>I41*I40</f>
        <v>53681.269674711439</v>
      </c>
      <c r="L42" s="133">
        <f>L41*L40</f>
        <v>85825.323101777059</v>
      </c>
      <c r="N42" s="133">
        <f>N41*N40</f>
        <v>75636.578947368427</v>
      </c>
      <c r="O42" s="133">
        <f>O41*O40</f>
        <v>83907.249466950962</v>
      </c>
      <c r="P42" s="133">
        <f>P41*P40</f>
        <v>69231.25</v>
      </c>
      <c r="Q42" s="133">
        <f>Q41*Q40</f>
        <v>49121.682288016818</v>
      </c>
    </row>
    <row r="43" spans="1:17">
      <c r="A43" s="130" t="s">
        <v>253</v>
      </c>
      <c r="B43" s="115"/>
      <c r="C43" s="131">
        <v>1</v>
      </c>
      <c r="D43" s="131">
        <v>1</v>
      </c>
      <c r="E43" s="131">
        <v>1</v>
      </c>
      <c r="H43" s="131">
        <v>1</v>
      </c>
      <c r="I43" s="131">
        <v>1</v>
      </c>
      <c r="L43" s="131">
        <v>1</v>
      </c>
      <c r="N43" s="131">
        <v>1</v>
      </c>
      <c r="O43" s="131">
        <v>1</v>
      </c>
      <c r="P43" s="131">
        <v>1</v>
      </c>
      <c r="Q43" s="131">
        <v>1</v>
      </c>
    </row>
    <row r="44" spans="1:17" ht="15">
      <c r="A44" s="132" t="s">
        <v>352</v>
      </c>
      <c r="B44" s="133"/>
      <c r="C44" s="133">
        <f>C43*C42</f>
        <v>79967.647058823539</v>
      </c>
      <c r="D44" s="133">
        <f>D43*D42</f>
        <v>81000</v>
      </c>
      <c r="E44" s="133">
        <f>E43*E42</f>
        <v>57782.880345209916</v>
      </c>
      <c r="H44" s="133">
        <f>H43*H42</f>
        <v>64815.882352941175</v>
      </c>
      <c r="I44" s="133">
        <f>I43*I42</f>
        <v>53681.269674711439</v>
      </c>
      <c r="L44" s="133">
        <f>L43*L42</f>
        <v>85825.323101777059</v>
      </c>
      <c r="N44" s="133">
        <f>N43*N42</f>
        <v>75636.578947368427</v>
      </c>
      <c r="O44" s="133">
        <f>O43*O42</f>
        <v>83907.249466950962</v>
      </c>
      <c r="P44" s="133">
        <f>P43*P42</f>
        <v>69231.25</v>
      </c>
      <c r="Q44" s="133">
        <f>Q43*Q42</f>
        <v>49121.682288016818</v>
      </c>
    </row>
    <row r="45" spans="1:17">
      <c r="A45" s="130" t="s">
        <v>254</v>
      </c>
      <c r="B45" s="115"/>
      <c r="C45" s="131">
        <v>0.92</v>
      </c>
      <c r="D45" s="131">
        <v>0.8</v>
      </c>
      <c r="E45" s="131">
        <v>1.1000000000000001</v>
      </c>
      <c r="H45" s="131">
        <v>1.1000000000000001</v>
      </c>
      <c r="I45" s="131">
        <v>0.92</v>
      </c>
      <c r="L45" s="131">
        <v>0.8</v>
      </c>
      <c r="N45" s="131">
        <v>1.1000000000000001</v>
      </c>
      <c r="O45" s="131">
        <v>1</v>
      </c>
      <c r="P45" s="131">
        <v>1.1000000000000001</v>
      </c>
      <c r="Q45" s="131">
        <v>1.1000000000000001</v>
      </c>
    </row>
    <row r="46" spans="1:17" ht="15">
      <c r="A46" s="132" t="s">
        <v>352</v>
      </c>
      <c r="B46" s="133"/>
      <c r="C46" s="133">
        <f>C45*C44</f>
        <v>73570.235294117665</v>
      </c>
      <c r="D46" s="133">
        <f>D45*D44</f>
        <v>64800</v>
      </c>
      <c r="E46" s="133">
        <f>E45*E44</f>
        <v>63561.168379730916</v>
      </c>
      <c r="H46" s="133">
        <f>H45*H44</f>
        <v>71297.470588235301</v>
      </c>
      <c r="I46" s="133">
        <f>I45*I44</f>
        <v>49386.768100734524</v>
      </c>
      <c r="L46" s="133">
        <f>L45*L44</f>
        <v>68660.258481421653</v>
      </c>
      <c r="N46" s="133">
        <f>N45*N44</f>
        <v>83200.236842105282</v>
      </c>
      <c r="O46" s="133">
        <f>O45*O44</f>
        <v>83907.249466950962</v>
      </c>
      <c r="P46" s="133">
        <f>P45*P44</f>
        <v>76154.375</v>
      </c>
      <c r="Q46" s="133">
        <f>Q45*Q44</f>
        <v>54033.850516818507</v>
      </c>
    </row>
    <row r="47" spans="1:17">
      <c r="A47" s="216" t="s">
        <v>255</v>
      </c>
      <c r="B47" s="217"/>
      <c r="C47" s="218">
        <v>1</v>
      </c>
      <c r="D47" s="218">
        <v>1</v>
      </c>
      <c r="E47" s="218">
        <v>0.9</v>
      </c>
      <c r="H47" s="131">
        <v>0.9</v>
      </c>
      <c r="I47" s="131">
        <v>1</v>
      </c>
      <c r="L47" s="131">
        <v>1.05</v>
      </c>
      <c r="N47" s="131">
        <v>0.8</v>
      </c>
      <c r="O47" s="131">
        <v>0.95</v>
      </c>
      <c r="P47" s="131">
        <v>1.5</v>
      </c>
      <c r="Q47" s="131">
        <v>1.5</v>
      </c>
    </row>
    <row r="48" spans="1:17" ht="15">
      <c r="A48" s="219" t="s">
        <v>352</v>
      </c>
      <c r="B48" s="220"/>
      <c r="C48" s="220">
        <f>C47*C46</f>
        <v>73570.235294117665</v>
      </c>
      <c r="D48" s="220">
        <f>D47*D46</f>
        <v>64800</v>
      </c>
      <c r="E48" s="220">
        <f>E47*E46</f>
        <v>57205.051541757828</v>
      </c>
      <c r="H48" s="133">
        <f>H47*H46</f>
        <v>64167.723529411771</v>
      </c>
      <c r="I48" s="133">
        <f>I47*I46</f>
        <v>49386.768100734524</v>
      </c>
      <c r="L48" s="133">
        <f>L47*L46</f>
        <v>72093.271405492735</v>
      </c>
      <c r="N48" s="133">
        <f>N47*N46</f>
        <v>66560.189473684222</v>
      </c>
      <c r="O48" s="133">
        <f>O47*O46</f>
        <v>79711.886993603403</v>
      </c>
      <c r="P48" s="133">
        <f>P47*P46</f>
        <v>114231.5625</v>
      </c>
      <c r="Q48" s="133">
        <f>Q47*Q46</f>
        <v>81050.775775227754</v>
      </c>
    </row>
    <row r="49" spans="1:17">
      <c r="A49" s="130" t="s">
        <v>256</v>
      </c>
      <c r="B49" s="133"/>
      <c r="C49" s="131">
        <v>1</v>
      </c>
      <c r="D49" s="131">
        <v>1</v>
      </c>
      <c r="E49" s="131">
        <v>1</v>
      </c>
      <c r="H49" s="131">
        <v>1</v>
      </c>
      <c r="I49" s="131">
        <v>1</v>
      </c>
      <c r="L49" s="131">
        <v>1</v>
      </c>
      <c r="N49" s="131">
        <v>1</v>
      </c>
      <c r="O49" s="131">
        <v>1</v>
      </c>
      <c r="P49" s="131">
        <v>1</v>
      </c>
      <c r="Q49" s="131">
        <v>1</v>
      </c>
    </row>
    <row r="50" spans="1:17" ht="15">
      <c r="A50" s="132" t="s">
        <v>352</v>
      </c>
      <c r="B50" s="133"/>
      <c r="C50" s="133">
        <f>C48*C49</f>
        <v>73570.235294117665</v>
      </c>
      <c r="D50" s="133">
        <f>D48*D49</f>
        <v>64800</v>
      </c>
      <c r="E50" s="133">
        <f>E48*E49</f>
        <v>57205.051541757828</v>
      </c>
      <c r="H50" s="133">
        <f>H48*H49</f>
        <v>64167.723529411771</v>
      </c>
      <c r="I50" s="133">
        <f>I48*I49</f>
        <v>49386.768100734524</v>
      </c>
      <c r="L50" s="133">
        <f>L48*L49</f>
        <v>72093.271405492735</v>
      </c>
      <c r="N50" s="133">
        <f>N48*N49</f>
        <v>66560.189473684222</v>
      </c>
      <c r="O50" s="133">
        <f>O48*O49</f>
        <v>79711.886993603403</v>
      </c>
      <c r="P50" s="133">
        <f>P48*P49</f>
        <v>114231.5625</v>
      </c>
      <c r="Q50" s="133">
        <f>Q48*Q49</f>
        <v>81050.775775227754</v>
      </c>
    </row>
    <row r="51" spans="1:17">
      <c r="A51" s="216" t="s">
        <v>257</v>
      </c>
      <c r="B51" s="217"/>
      <c r="C51" s="218">
        <v>0.98</v>
      </c>
      <c r="D51" s="218">
        <v>1.02</v>
      </c>
      <c r="E51" s="218">
        <v>1.02</v>
      </c>
      <c r="H51" s="131">
        <v>0.98</v>
      </c>
      <c r="I51" s="131">
        <v>0.98</v>
      </c>
      <c r="L51" s="131">
        <v>1</v>
      </c>
      <c r="N51" s="131">
        <v>0.98</v>
      </c>
      <c r="O51" s="131">
        <v>0.9</v>
      </c>
      <c r="P51" s="131">
        <v>0.98</v>
      </c>
      <c r="Q51" s="131">
        <v>0.98</v>
      </c>
    </row>
    <row r="52" spans="1:17" ht="15">
      <c r="A52" s="219" t="s">
        <v>352</v>
      </c>
      <c r="B52" s="220"/>
      <c r="C52" s="220">
        <f>C51*C50</f>
        <v>72098.830588235316</v>
      </c>
      <c r="D52" s="220">
        <f>D51*D50</f>
        <v>66096</v>
      </c>
      <c r="E52" s="220">
        <f>E51*E50</f>
        <v>58349.152572592982</v>
      </c>
      <c r="H52" s="133">
        <f>H51*H50</f>
        <v>62884.369058823533</v>
      </c>
      <c r="I52" s="133">
        <f>I51*I50</f>
        <v>48399.032738719834</v>
      </c>
      <c r="L52" s="133">
        <f>L51*L50</f>
        <v>72093.271405492735</v>
      </c>
      <c r="N52" s="133">
        <f>N51*N50</f>
        <v>65228.985684210536</v>
      </c>
      <c r="O52" s="133">
        <f>O51*O50</f>
        <v>71740.698294243062</v>
      </c>
      <c r="P52" s="133">
        <f>P51*P50</f>
        <v>111946.93124999999</v>
      </c>
      <c r="Q52" s="133">
        <f>Q51*Q50</f>
        <v>79429.760259723203</v>
      </c>
    </row>
    <row r="53" spans="1:17" ht="13.5" customHeight="1">
      <c r="A53" s="130" t="s">
        <v>258</v>
      </c>
      <c r="B53" s="133"/>
      <c r="C53" s="131">
        <f>MROUND(C125,0.02)</f>
        <v>1.3</v>
      </c>
      <c r="D53" s="131">
        <f>MROUND(D125,0.02)</f>
        <v>1.04</v>
      </c>
      <c r="E53" s="131">
        <f t="shared" ref="E53" si="2">MROUND(E125,0.02)</f>
        <v>0.92</v>
      </c>
      <c r="H53" s="131">
        <f>MROUND(H125,0.02)</f>
        <v>1.3800000000000001</v>
      </c>
      <c r="I53" s="131">
        <f>MROUND(I125,0.02)</f>
        <v>1.3</v>
      </c>
      <c r="L53" s="131">
        <f>MROUND(L125,0.02)</f>
        <v>1.6</v>
      </c>
      <c r="N53" s="131">
        <f>MROUND(N125,0.02)</f>
        <v>1.04</v>
      </c>
      <c r="O53" s="131">
        <f>MROUND(O125,0.02)</f>
        <v>1.06</v>
      </c>
      <c r="P53" s="131">
        <f>MROUND(P125,0.02)</f>
        <v>0.9</v>
      </c>
      <c r="Q53" s="131">
        <f>MROUND(Q125,0.02)</f>
        <v>1.1000000000000001</v>
      </c>
    </row>
    <row r="54" spans="1:17" ht="15">
      <c r="A54" s="132" t="s">
        <v>352</v>
      </c>
      <c r="B54" s="133"/>
      <c r="C54" s="133">
        <f>C53*C52</f>
        <v>93728.479764705917</v>
      </c>
      <c r="D54" s="133">
        <f>D53*D52</f>
        <v>68739.839999999997</v>
      </c>
      <c r="E54" s="133">
        <f>E53*E52</f>
        <v>53681.220366785543</v>
      </c>
      <c r="H54" s="133">
        <f>H53*H52</f>
        <v>86780.429301176482</v>
      </c>
      <c r="I54" s="133">
        <f>I53*I52</f>
        <v>62918.742560335784</v>
      </c>
      <c r="L54" s="133">
        <f>L53*L52</f>
        <v>115349.23424878839</v>
      </c>
      <c r="N54" s="133">
        <f>N53*N52</f>
        <v>67838.145111578953</v>
      </c>
      <c r="O54" s="133">
        <f>O53*O52</f>
        <v>76045.140191897648</v>
      </c>
      <c r="P54" s="133">
        <f>P53*P52</f>
        <v>100752.238125</v>
      </c>
      <c r="Q54" s="133">
        <f>Q53*Q52</f>
        <v>87372.73628569553</v>
      </c>
    </row>
    <row r="55" spans="1:17">
      <c r="A55" s="130" t="s">
        <v>263</v>
      </c>
      <c r="B55" s="115"/>
      <c r="C55" s="131">
        <v>1</v>
      </c>
      <c r="D55" s="131">
        <v>1</v>
      </c>
      <c r="E55" s="131">
        <v>1</v>
      </c>
      <c r="H55" s="131">
        <v>1</v>
      </c>
      <c r="I55" s="131">
        <v>1</v>
      </c>
      <c r="L55" s="131">
        <v>1</v>
      </c>
      <c r="N55" s="131">
        <v>1</v>
      </c>
      <c r="O55" s="131">
        <v>0.9</v>
      </c>
      <c r="P55" s="131">
        <v>1</v>
      </c>
      <c r="Q55" s="131">
        <v>1</v>
      </c>
    </row>
    <row r="56" spans="1:17" ht="15">
      <c r="A56" s="132" t="s">
        <v>352</v>
      </c>
      <c r="B56" s="133"/>
      <c r="C56" s="133">
        <f>C55*C54</f>
        <v>93728.479764705917</v>
      </c>
      <c r="D56" s="133">
        <f>D55*D54</f>
        <v>68739.839999999997</v>
      </c>
      <c r="E56" s="133">
        <f>E55*E54</f>
        <v>53681.220366785543</v>
      </c>
      <c r="H56" s="133">
        <f>H55*H54</f>
        <v>86780.429301176482</v>
      </c>
      <c r="I56" s="133">
        <f>I55*I54</f>
        <v>62918.742560335784</v>
      </c>
      <c r="L56" s="133">
        <f>L55*L54</f>
        <v>115349.23424878839</v>
      </c>
      <c r="N56" s="133">
        <f>N55*N54</f>
        <v>67838.145111578953</v>
      </c>
      <c r="O56" s="133">
        <f>O55*O54</f>
        <v>68440.626172707882</v>
      </c>
      <c r="P56" s="133">
        <f>P55*P54</f>
        <v>100752.238125</v>
      </c>
      <c r="Q56" s="133">
        <f>Q55*Q54</f>
        <v>87372.73628569553</v>
      </c>
    </row>
    <row r="57" spans="1:17">
      <c r="A57" s="216" t="s">
        <v>260</v>
      </c>
      <c r="B57" s="220"/>
      <c r="C57" s="218">
        <v>1.02</v>
      </c>
      <c r="D57" s="218">
        <v>0.92</v>
      </c>
      <c r="E57" s="218">
        <v>0.9</v>
      </c>
      <c r="H57" s="131">
        <v>0.88</v>
      </c>
      <c r="I57" s="131">
        <v>0.88</v>
      </c>
      <c r="L57" s="131">
        <v>1</v>
      </c>
      <c r="N57" s="131">
        <v>0.9</v>
      </c>
      <c r="O57" s="131">
        <v>0.9</v>
      </c>
      <c r="P57" s="131">
        <v>1.05</v>
      </c>
      <c r="Q57" s="131">
        <v>1.05</v>
      </c>
    </row>
    <row r="58" spans="1:17" ht="15">
      <c r="A58" s="219" t="s">
        <v>352</v>
      </c>
      <c r="B58" s="220"/>
      <c r="C58" s="220">
        <f>C57*C56</f>
        <v>95603.049360000034</v>
      </c>
      <c r="D58" s="220">
        <f>D57*D56</f>
        <v>63240.652799999996</v>
      </c>
      <c r="E58" s="220">
        <f>E57*E56</f>
        <v>48313.098330106986</v>
      </c>
      <c r="H58" s="133">
        <f>H57*H56</f>
        <v>76366.777785035301</v>
      </c>
      <c r="I58" s="133">
        <f>I57*I56</f>
        <v>55368.493453095492</v>
      </c>
      <c r="L58" s="133">
        <f>L57*L56</f>
        <v>115349.23424878839</v>
      </c>
      <c r="N58" s="133">
        <f>N57*N56</f>
        <v>61054.330600421061</v>
      </c>
      <c r="O58" s="133">
        <f>O57*O56</f>
        <v>61596.563555437097</v>
      </c>
      <c r="P58" s="133">
        <f>P57*P56</f>
        <v>105789.85003125001</v>
      </c>
      <c r="Q58" s="133">
        <f>Q57*Q56</f>
        <v>91741.373099980308</v>
      </c>
    </row>
    <row r="59" spans="1:17">
      <c r="A59" s="216" t="s">
        <v>261</v>
      </c>
      <c r="B59" s="220"/>
      <c r="C59" s="428">
        <f>Выжимка!K44</f>
        <v>1.0887573964497042</v>
      </c>
      <c r="D59" s="428">
        <f>Выжимка!L44</f>
        <v>1.2348993288590604</v>
      </c>
      <c r="E59" s="428">
        <f>Выжимка!L44</f>
        <v>1.2348993288590604</v>
      </c>
      <c r="H59" s="131">
        <v>1.1499999999999999</v>
      </c>
      <c r="I59" s="131">
        <v>0.95</v>
      </c>
      <c r="L59" s="131">
        <v>0.9</v>
      </c>
      <c r="N59" s="131">
        <v>1.05</v>
      </c>
      <c r="O59" s="131">
        <v>1.1000000000000001</v>
      </c>
      <c r="P59" s="131">
        <v>1</v>
      </c>
      <c r="Q59" s="131">
        <v>1</v>
      </c>
    </row>
    <row r="60" spans="1:17" ht="15">
      <c r="A60" s="219" t="s">
        <v>352</v>
      </c>
      <c r="B60" s="220"/>
      <c r="C60" s="220">
        <f>C59*C58</f>
        <v>104088.5271138462</v>
      </c>
      <c r="D60" s="220">
        <f>D59*D58</f>
        <v>78095.839699328848</v>
      </c>
      <c r="E60" s="220">
        <f>E59*E58</f>
        <v>59661.812702950912</v>
      </c>
      <c r="H60" s="133">
        <f>H59*H58</f>
        <v>87821.794452790593</v>
      </c>
      <c r="I60" s="133">
        <f>I59*I58</f>
        <v>52600.068780440713</v>
      </c>
      <c r="L60" s="133">
        <f>L59*L58</f>
        <v>103814.31082390955</v>
      </c>
      <c r="N60" s="133">
        <f>N59*N58</f>
        <v>64107.047130442115</v>
      </c>
      <c r="O60" s="133">
        <f>O59*O58</f>
        <v>67756.219910980813</v>
      </c>
      <c r="P60" s="133">
        <f>P59*P58</f>
        <v>105789.85003125001</v>
      </c>
      <c r="Q60" s="133">
        <f>Q59*Q58</f>
        <v>91741.373099980308</v>
      </c>
    </row>
    <row r="61" spans="1:17">
      <c r="A61" s="130" t="s">
        <v>262</v>
      </c>
      <c r="B61" s="115"/>
      <c r="C61" s="131">
        <v>1</v>
      </c>
      <c r="D61" s="131">
        <v>1</v>
      </c>
      <c r="E61" s="131">
        <v>1</v>
      </c>
      <c r="H61" s="131">
        <v>1.02</v>
      </c>
      <c r="I61" s="131">
        <v>1</v>
      </c>
      <c r="L61" s="131">
        <v>0.95</v>
      </c>
      <c r="N61" s="131">
        <v>1</v>
      </c>
      <c r="O61" s="131">
        <v>1</v>
      </c>
      <c r="P61" s="131">
        <v>1</v>
      </c>
      <c r="Q61" s="131">
        <v>1</v>
      </c>
    </row>
    <row r="62" spans="1:17" ht="15">
      <c r="A62" s="132" t="s">
        <v>352</v>
      </c>
      <c r="B62" s="133"/>
      <c r="C62" s="133">
        <f>C61*C60</f>
        <v>104088.5271138462</v>
      </c>
      <c r="D62" s="133">
        <f>D61*D60</f>
        <v>78095.839699328848</v>
      </c>
      <c r="E62" s="133">
        <f>E61*E60</f>
        <v>59661.812702950912</v>
      </c>
      <c r="H62" s="133">
        <f>H61*H60</f>
        <v>89578.2303418464</v>
      </c>
      <c r="I62" s="133">
        <f>I61*I60</f>
        <v>52600.068780440713</v>
      </c>
      <c r="L62" s="133">
        <f>L61*L60</f>
        <v>98623.595282714057</v>
      </c>
      <c r="N62" s="133">
        <f>N61*N60</f>
        <v>64107.047130442115</v>
      </c>
      <c r="O62" s="133">
        <f>O61*O60</f>
        <v>67756.219910980813</v>
      </c>
      <c r="P62" s="133">
        <f>P61*P60</f>
        <v>105789.85003125001</v>
      </c>
      <c r="Q62" s="133">
        <f>Q61*Q60</f>
        <v>91741.373099980308</v>
      </c>
    </row>
    <row r="63" spans="1:17">
      <c r="A63" s="130" t="s">
        <v>265</v>
      </c>
      <c r="B63" s="115"/>
      <c r="C63" s="131">
        <v>1</v>
      </c>
      <c r="D63" s="131">
        <v>0.98</v>
      </c>
      <c r="E63" s="131">
        <v>1.02</v>
      </c>
      <c r="H63" s="131">
        <v>1</v>
      </c>
      <c r="I63" s="131">
        <v>1.02</v>
      </c>
      <c r="L63" s="131">
        <v>1.02</v>
      </c>
      <c r="N63" s="131">
        <v>1</v>
      </c>
      <c r="O63" s="131">
        <v>1</v>
      </c>
      <c r="P63" s="131">
        <v>1</v>
      </c>
      <c r="Q63" s="131">
        <v>1</v>
      </c>
    </row>
    <row r="64" spans="1:17" ht="15">
      <c r="A64" s="132" t="s">
        <v>352</v>
      </c>
      <c r="B64" s="133"/>
      <c r="C64" s="133">
        <f>C63*C62</f>
        <v>104088.5271138462</v>
      </c>
      <c r="D64" s="133">
        <f>D63*D62</f>
        <v>76533.922905342275</v>
      </c>
      <c r="E64" s="133">
        <f>E63*E62</f>
        <v>60855.048957009931</v>
      </c>
      <c r="H64" s="133">
        <f>H63*H62</f>
        <v>89578.2303418464</v>
      </c>
      <c r="I64" s="133">
        <f>I63*I62</f>
        <v>53652.070156049529</v>
      </c>
      <c r="L64" s="133">
        <f>L63*L62</f>
        <v>100596.06718836834</v>
      </c>
      <c r="N64" s="133">
        <f>N63*N62</f>
        <v>64107.047130442115</v>
      </c>
      <c r="O64" s="133">
        <f>O63*O62</f>
        <v>67756.219910980813</v>
      </c>
      <c r="P64" s="133">
        <f>P63*P62</f>
        <v>105789.85003125001</v>
      </c>
      <c r="Q64" s="133">
        <f>Q63*Q62</f>
        <v>91741.373099980308</v>
      </c>
    </row>
    <row r="65" spans="1:17">
      <c r="A65" s="130" t="s">
        <v>266</v>
      </c>
      <c r="B65" s="115"/>
      <c r="C65" s="131">
        <f>C136</f>
        <v>0.94000000000000006</v>
      </c>
      <c r="D65" s="131">
        <f>D136</f>
        <v>1.06</v>
      </c>
      <c r="E65" s="131">
        <f>E136</f>
        <v>1</v>
      </c>
      <c r="H65" s="131">
        <f>H136</f>
        <v>1.04</v>
      </c>
      <c r="I65" s="131">
        <f>I136</f>
        <v>1.26</v>
      </c>
      <c r="L65" s="131">
        <f>L136</f>
        <v>0.98</v>
      </c>
      <c r="N65" s="131">
        <f>N136</f>
        <v>1.02</v>
      </c>
      <c r="O65" s="131">
        <f>O136</f>
        <v>1.02</v>
      </c>
      <c r="P65" s="131">
        <f>P136</f>
        <v>1.04</v>
      </c>
      <c r="Q65" s="131">
        <f>Q136</f>
        <v>1.1200000000000001</v>
      </c>
    </row>
    <row r="66" spans="1:17" ht="15">
      <c r="A66" s="132" t="s">
        <v>352</v>
      </c>
      <c r="B66" s="133"/>
      <c r="C66" s="133">
        <f>C65*C64</f>
        <v>97843.215487015434</v>
      </c>
      <c r="D66" s="133">
        <f>D65*D64</f>
        <v>81125.958279662809</v>
      </c>
      <c r="E66" s="133">
        <f>E65*E64</f>
        <v>60855.048957009931</v>
      </c>
      <c r="H66" s="133">
        <f>H65*H64</f>
        <v>93161.359555520263</v>
      </c>
      <c r="I66" s="133">
        <f>I65*I64</f>
        <v>67601.608396622411</v>
      </c>
      <c r="L66" s="133">
        <f>L65*L64</f>
        <v>98584.145844600964</v>
      </c>
      <c r="N66" s="133">
        <f>N65*N64</f>
        <v>65389.188073050958</v>
      </c>
      <c r="O66" s="133">
        <f>O65*O64</f>
        <v>69111.344309200431</v>
      </c>
      <c r="P66" s="133">
        <f>P65*P64</f>
        <v>110021.44403250002</v>
      </c>
      <c r="Q66" s="133">
        <f>Q65*Q64</f>
        <v>102750.33787197796</v>
      </c>
    </row>
    <row r="67" spans="1:17">
      <c r="A67" s="130" t="s">
        <v>267</v>
      </c>
      <c r="B67" s="115"/>
      <c r="C67" s="131">
        <v>0.88</v>
      </c>
      <c r="D67" s="131">
        <v>0.92</v>
      </c>
      <c r="E67" s="131">
        <v>0.9</v>
      </c>
      <c r="H67" s="131">
        <v>0.9</v>
      </c>
      <c r="I67" s="131">
        <v>0.88</v>
      </c>
      <c r="L67" s="131">
        <v>0.85</v>
      </c>
      <c r="N67" s="131">
        <v>0.8</v>
      </c>
      <c r="O67" s="131">
        <v>0.9</v>
      </c>
      <c r="P67" s="131">
        <v>1</v>
      </c>
      <c r="Q67" s="131">
        <v>1</v>
      </c>
    </row>
    <row r="68" spans="1:17" ht="15">
      <c r="A68" s="132" t="s">
        <v>352</v>
      </c>
      <c r="B68" s="134"/>
      <c r="C68" s="133">
        <f>C67*C66</f>
        <v>86102.029628573582</v>
      </c>
      <c r="D68" s="133">
        <f>D67*D66</f>
        <v>74635.881617289793</v>
      </c>
      <c r="E68" s="133">
        <f>E67*E66</f>
        <v>54769.544061308938</v>
      </c>
      <c r="H68" s="133">
        <f>H67*H66</f>
        <v>83845.223599968245</v>
      </c>
      <c r="I68" s="133">
        <f>I67*I66</f>
        <v>59489.415389027723</v>
      </c>
      <c r="L68" s="133">
        <f>L67*L66</f>
        <v>83796.52396791082</v>
      </c>
      <c r="N68" s="133">
        <f>N67*N66</f>
        <v>52311.350458440771</v>
      </c>
      <c r="O68" s="133">
        <f>O67*O66</f>
        <v>62200.209878280388</v>
      </c>
      <c r="P68" s="133">
        <f>P67*P66</f>
        <v>110021.44403250002</v>
      </c>
      <c r="Q68" s="133">
        <f>Q67*Q66</f>
        <v>102750.33787197796</v>
      </c>
    </row>
    <row r="69" spans="1:17">
      <c r="A69" s="130" t="s">
        <v>268</v>
      </c>
      <c r="B69" s="134"/>
      <c r="C69" s="131">
        <v>1.1499999999999999</v>
      </c>
      <c r="D69" s="131">
        <v>1.1000000000000001</v>
      </c>
      <c r="E69" s="131">
        <v>1.2</v>
      </c>
      <c r="H69" s="131">
        <v>1.1000000000000001</v>
      </c>
      <c r="I69" s="131">
        <v>1.1000000000000001</v>
      </c>
      <c r="L69" s="131">
        <v>1</v>
      </c>
      <c r="N69" s="131">
        <v>1.1000000000000001</v>
      </c>
      <c r="O69" s="131">
        <v>1.05</v>
      </c>
      <c r="P69" s="131">
        <v>1</v>
      </c>
      <c r="Q69" s="131">
        <v>1</v>
      </c>
    </row>
    <row r="70" spans="1:17" ht="15">
      <c r="A70" s="132" t="s">
        <v>352</v>
      </c>
      <c r="B70" s="134"/>
      <c r="C70" s="133">
        <f>C68*C69</f>
        <v>99017.334072859609</v>
      </c>
      <c r="D70" s="133">
        <f>D68*D69</f>
        <v>82099.469779018778</v>
      </c>
      <c r="E70" s="133">
        <f>E68*E69</f>
        <v>65723.452873570728</v>
      </c>
      <c r="H70" s="133">
        <f>H68*H69</f>
        <v>92229.745959965076</v>
      </c>
      <c r="I70" s="133">
        <f>I68*I69</f>
        <v>65438.356927930501</v>
      </c>
      <c r="L70" s="133">
        <f>L68*L69</f>
        <v>83796.52396791082</v>
      </c>
      <c r="N70" s="133">
        <f>N68*N69</f>
        <v>57542.48550428485</v>
      </c>
      <c r="O70" s="133">
        <f>O68*O69</f>
        <v>65310.22037219441</v>
      </c>
      <c r="P70" s="133">
        <f>P68*P69</f>
        <v>110021.44403250002</v>
      </c>
      <c r="Q70" s="133">
        <f>Q68*Q69</f>
        <v>102750.33787197796</v>
      </c>
    </row>
    <row r="71" spans="1:17">
      <c r="A71" s="216" t="s">
        <v>269</v>
      </c>
      <c r="B71" s="221"/>
      <c r="C71" s="218">
        <v>1</v>
      </c>
      <c r="D71" s="218">
        <v>1</v>
      </c>
      <c r="E71" s="218">
        <v>1</v>
      </c>
      <c r="H71" s="131">
        <v>1.02</v>
      </c>
      <c r="I71" s="131">
        <v>1</v>
      </c>
      <c r="L71" s="131">
        <v>1</v>
      </c>
      <c r="N71" s="131">
        <v>0.9</v>
      </c>
      <c r="O71" s="131">
        <v>0.95</v>
      </c>
      <c r="P71" s="131">
        <v>1</v>
      </c>
      <c r="Q71" s="131">
        <v>1</v>
      </c>
    </row>
    <row r="72" spans="1:17" ht="15">
      <c r="A72" s="219" t="s">
        <v>352</v>
      </c>
      <c r="B72" s="221"/>
      <c r="C72" s="220">
        <f>C70*C71</f>
        <v>99017.334072859609</v>
      </c>
      <c r="D72" s="220">
        <f>D70*D71</f>
        <v>82099.469779018778</v>
      </c>
      <c r="E72" s="220">
        <f>E70*E71</f>
        <v>65723.452873570728</v>
      </c>
      <c r="H72" s="133">
        <f>H70*H71</f>
        <v>94074.340879164374</v>
      </c>
      <c r="I72" s="133">
        <f>I70*I71</f>
        <v>65438.356927930501</v>
      </c>
      <c r="L72" s="133">
        <f>L70*L71</f>
        <v>83796.52396791082</v>
      </c>
      <c r="N72" s="133">
        <f>N70*N71</f>
        <v>51788.236953856365</v>
      </c>
      <c r="O72" s="133">
        <f>O70*O71</f>
        <v>62044.709353584687</v>
      </c>
      <c r="P72" s="133">
        <f>P70*P71</f>
        <v>110021.44403250002</v>
      </c>
      <c r="Q72" s="133">
        <f>Q70*Q71</f>
        <v>102750.33787197796</v>
      </c>
    </row>
    <row r="73" spans="1:17" ht="15">
      <c r="A73" s="132" t="s">
        <v>270</v>
      </c>
      <c r="B73" s="133"/>
      <c r="C73" s="133">
        <f>C72/долл</f>
        <v>1132.2736886547696</v>
      </c>
      <c r="D73" s="133">
        <f>D72/долл</f>
        <v>938.81612097219875</v>
      </c>
      <c r="E73" s="133">
        <f>E72/долл</f>
        <v>751.55463548965952</v>
      </c>
      <c r="H73" s="133">
        <f>H72/долл</f>
        <v>1075.750038641102</v>
      </c>
      <c r="I73" s="133">
        <f>I72/долл</f>
        <v>748.29453319531729</v>
      </c>
      <c r="L73" s="133">
        <f>L72/долл</f>
        <v>958.2221151276251</v>
      </c>
      <c r="N73" s="133">
        <f>N72/долл</f>
        <v>592.20396745404651</v>
      </c>
      <c r="O73" s="133">
        <f>O72/долл</f>
        <v>709.48781422052241</v>
      </c>
      <c r="P73" s="133">
        <f>P72/долл</f>
        <v>1258.1068500000001</v>
      </c>
      <c r="Q73" s="133">
        <f>Q72/долл</f>
        <v>1174.9609819551511</v>
      </c>
    </row>
    <row r="74" spans="1:17">
      <c r="A74" s="119" t="s">
        <v>271</v>
      </c>
      <c r="B74" s="87" t="s">
        <v>159</v>
      </c>
      <c r="C74" s="135"/>
      <c r="D74" s="135"/>
      <c r="E74" s="135"/>
      <c r="H74" s="135"/>
      <c r="I74" s="135"/>
      <c r="L74" s="135"/>
      <c r="N74" s="135"/>
      <c r="O74" s="135"/>
      <c r="P74" s="135"/>
      <c r="Q74" s="135"/>
    </row>
    <row r="75" spans="1:17" ht="15">
      <c r="A75" s="136" t="s">
        <v>272</v>
      </c>
      <c r="B75" s="115">
        <f>ROUND(AVERAGE(C72:E72),-2)</f>
        <v>82300</v>
      </c>
      <c r="C75" s="104"/>
      <c r="D75" s="104"/>
      <c r="E75" s="104"/>
      <c r="H75" s="104"/>
      <c r="I75" s="104"/>
      <c r="L75" s="104"/>
      <c r="N75" s="104"/>
      <c r="O75" s="104"/>
      <c r="P75" s="104"/>
      <c r="Q75" s="104"/>
    </row>
    <row r="76" spans="1:17" ht="14.25" customHeight="1">
      <c r="A76" s="136" t="s">
        <v>273</v>
      </c>
      <c r="B76" s="115">
        <f>ROUND(B75/долл,2)</f>
        <v>941.11</v>
      </c>
      <c r="C76" s="104"/>
      <c r="D76" s="104"/>
      <c r="E76" s="104"/>
      <c r="H76" s="104"/>
      <c r="I76" s="104"/>
      <c r="L76" s="104"/>
      <c r="N76" s="104"/>
      <c r="O76" s="104"/>
      <c r="P76" s="104"/>
      <c r="Q76" s="104"/>
    </row>
    <row r="77" spans="1:17">
      <c r="A77" s="132" t="s">
        <v>274</v>
      </c>
      <c r="B77" s="133">
        <f>ROUND(B75*B14,-3)</f>
        <v>1645177000</v>
      </c>
      <c r="C77" s="104"/>
      <c r="D77" s="104"/>
      <c r="E77" s="104"/>
      <c r="H77" s="104"/>
      <c r="I77" s="104"/>
      <c r="L77" s="104"/>
      <c r="N77" s="104"/>
      <c r="O77" s="104"/>
      <c r="P77" s="104"/>
      <c r="Q77" s="104"/>
    </row>
    <row r="78" spans="1:17">
      <c r="A78" s="132" t="s">
        <v>275</v>
      </c>
      <c r="B78" s="133">
        <f>ROUND(B77/долл,-2)</f>
        <v>18812800</v>
      </c>
      <c r="C78" s="133"/>
      <c r="D78" s="133"/>
      <c r="E78" s="133"/>
      <c r="H78" s="133"/>
      <c r="I78" s="133"/>
      <c r="L78" s="133"/>
      <c r="N78" s="133"/>
      <c r="O78" s="133"/>
      <c r="P78" s="133"/>
      <c r="Q78" s="133"/>
    </row>
    <row r="79" spans="1:17">
      <c r="A79" s="137"/>
      <c r="B79" s="138"/>
      <c r="C79" s="138"/>
      <c r="D79" s="138"/>
      <c r="E79" s="138"/>
      <c r="H79" s="138"/>
      <c r="I79" s="138"/>
      <c r="L79" s="138"/>
      <c r="N79" s="138"/>
      <c r="O79" s="138"/>
      <c r="P79" s="138"/>
      <c r="Q79" s="138"/>
    </row>
    <row r="80" spans="1:17">
      <c r="C80" s="138"/>
      <c r="D80" s="138"/>
      <c r="E80" s="138"/>
      <c r="H80" s="138"/>
      <c r="I80" s="138"/>
      <c r="L80" s="138"/>
      <c r="N80" s="138"/>
      <c r="O80" s="138"/>
      <c r="P80" s="138"/>
      <c r="Q80" s="138"/>
    </row>
    <row r="81" spans="1:17">
      <c r="A81" s="137"/>
      <c r="B81" s="138"/>
      <c r="C81" s="138"/>
      <c r="D81" s="138"/>
      <c r="E81" s="138"/>
      <c r="H81" s="138"/>
      <c r="I81" s="138"/>
      <c r="L81" s="138"/>
      <c r="N81" s="138"/>
      <c r="O81" s="138"/>
      <c r="P81" s="138"/>
      <c r="Q81" s="138"/>
    </row>
    <row r="82" spans="1:17">
      <c r="A82" s="137"/>
      <c r="B82" s="138"/>
      <c r="C82" s="138"/>
      <c r="D82" s="138"/>
      <c r="E82" s="138"/>
      <c r="H82" s="138"/>
      <c r="I82" s="138"/>
      <c r="L82" s="138"/>
      <c r="N82" s="138"/>
      <c r="O82" s="138"/>
      <c r="P82" s="138"/>
      <c r="Q82" s="138"/>
    </row>
    <row r="84" spans="1:17">
      <c r="A84" s="197" t="s">
        <v>276</v>
      </c>
      <c r="B84" s="197">
        <f t="shared" ref="B84:E85" si="3">B14</f>
        <v>19990</v>
      </c>
      <c r="C84" s="197">
        <f t="shared" si="3"/>
        <v>1870</v>
      </c>
      <c r="D84" s="197">
        <f t="shared" si="3"/>
        <v>6996</v>
      </c>
      <c r="E84" s="197">
        <f t="shared" si="3"/>
        <v>3337.1</v>
      </c>
      <c r="H84" s="229">
        <f t="shared" ref="H84:I87" si="4">H14</f>
        <v>3400</v>
      </c>
      <c r="I84" s="229">
        <f t="shared" si="4"/>
        <v>1906</v>
      </c>
      <c r="L84" s="229">
        <f>L14</f>
        <v>2476</v>
      </c>
      <c r="N84" s="229">
        <f t="shared" ref="N84:Q87" si="5">N14</f>
        <v>5699.9999999999991</v>
      </c>
      <c r="O84" s="229">
        <f t="shared" si="5"/>
        <v>1407</v>
      </c>
      <c r="P84" s="229">
        <f t="shared" si="5"/>
        <v>1800</v>
      </c>
      <c r="Q84" s="229">
        <f t="shared" si="5"/>
        <v>2283.1999999999998</v>
      </c>
    </row>
    <row r="85" spans="1:17">
      <c r="A85" s="230" t="str">
        <f>A15</f>
        <v>произв класс 4</v>
      </c>
      <c r="B85" s="231">
        <f t="shared" si="3"/>
        <v>0</v>
      </c>
      <c r="C85" s="231">
        <f t="shared" si="3"/>
        <v>1760</v>
      </c>
      <c r="D85" s="231">
        <f t="shared" si="3"/>
        <v>1112.2</v>
      </c>
      <c r="E85" s="231">
        <f t="shared" si="3"/>
        <v>0</v>
      </c>
      <c r="H85" s="231">
        <f t="shared" si="4"/>
        <v>3400</v>
      </c>
      <c r="I85" s="231">
        <f t="shared" si="4"/>
        <v>1260</v>
      </c>
      <c r="L85" s="231">
        <f>L15</f>
        <v>74.800000000000011</v>
      </c>
      <c r="N85" s="231">
        <f t="shared" si="5"/>
        <v>877.69999999999993</v>
      </c>
      <c r="O85" s="231">
        <f t="shared" si="5"/>
        <v>500</v>
      </c>
      <c r="P85" s="231">
        <f t="shared" si="5"/>
        <v>23.1</v>
      </c>
      <c r="Q85" s="231">
        <f t="shared" si="5"/>
        <v>1095.5</v>
      </c>
    </row>
    <row r="86" spans="1:17">
      <c r="A86" s="230" t="str">
        <f t="shared" ref="A86:E93" si="6">A16</f>
        <v>произв класс 3</v>
      </c>
      <c r="B86" s="231">
        <f t="shared" si="6"/>
        <v>19040.5</v>
      </c>
      <c r="C86" s="231">
        <f t="shared" si="6"/>
        <v>0</v>
      </c>
      <c r="D86" s="231">
        <f t="shared" si="6"/>
        <v>5523.8</v>
      </c>
      <c r="E86" s="231">
        <f t="shared" si="6"/>
        <v>0</v>
      </c>
      <c r="H86" s="231">
        <f t="shared" si="4"/>
        <v>0</v>
      </c>
      <c r="I86" s="231">
        <f t="shared" si="4"/>
        <v>646</v>
      </c>
      <c r="L86" s="231">
        <f>L16</f>
        <v>1561.2</v>
      </c>
      <c r="N86" s="231">
        <f t="shared" si="5"/>
        <v>4822.2999999999993</v>
      </c>
      <c r="O86" s="231">
        <f t="shared" si="5"/>
        <v>0</v>
      </c>
      <c r="P86" s="231">
        <f t="shared" si="5"/>
        <v>800</v>
      </c>
      <c r="Q86" s="231">
        <f t="shared" si="5"/>
        <v>887.7</v>
      </c>
    </row>
    <row r="87" spans="1:17">
      <c r="A87" s="230" t="str">
        <f t="shared" si="6"/>
        <v>произв класс 2</v>
      </c>
      <c r="B87" s="231">
        <f t="shared" si="6"/>
        <v>0</v>
      </c>
      <c r="C87" s="231">
        <f t="shared" si="6"/>
        <v>0</v>
      </c>
      <c r="D87" s="231">
        <f t="shared" si="6"/>
        <v>0</v>
      </c>
      <c r="E87" s="231">
        <f t="shared" si="6"/>
        <v>1947.1</v>
      </c>
      <c r="H87" s="231">
        <f t="shared" si="4"/>
        <v>0</v>
      </c>
      <c r="I87" s="231">
        <f t="shared" si="4"/>
        <v>0</v>
      </c>
      <c r="L87" s="231">
        <f>L17</f>
        <v>840</v>
      </c>
      <c r="N87" s="231">
        <f t="shared" si="5"/>
        <v>0</v>
      </c>
      <c r="O87" s="231">
        <f t="shared" si="5"/>
        <v>700</v>
      </c>
      <c r="P87" s="231">
        <f t="shared" si="5"/>
        <v>976.90000000000009</v>
      </c>
      <c r="Q87" s="231">
        <f t="shared" si="5"/>
        <v>300</v>
      </c>
    </row>
    <row r="88" spans="1:17">
      <c r="A88" s="230" t="str">
        <f t="shared" si="6"/>
        <v>произв класс 1</v>
      </c>
      <c r="B88" s="231">
        <f t="shared" si="6"/>
        <v>0</v>
      </c>
      <c r="C88" s="231">
        <f t="shared" si="6"/>
        <v>0</v>
      </c>
      <c r="D88" s="231">
        <f t="shared" si="6"/>
        <v>0</v>
      </c>
      <c r="E88" s="231">
        <f t="shared" si="6"/>
        <v>0</v>
      </c>
      <c r="H88" s="231">
        <f>H22</f>
        <v>0</v>
      </c>
      <c r="I88" s="231">
        <f>I22</f>
        <v>0</v>
      </c>
      <c r="L88" s="231">
        <f>L22</f>
        <v>0</v>
      </c>
      <c r="N88" s="231">
        <f>N22</f>
        <v>0</v>
      </c>
      <c r="O88" s="231">
        <f>O22</f>
        <v>122</v>
      </c>
      <c r="P88" s="231">
        <f>P22</f>
        <v>0</v>
      </c>
      <c r="Q88" s="231">
        <f>Q22</f>
        <v>0</v>
      </c>
    </row>
    <row r="89" spans="1:17">
      <c r="A89" s="230" t="str">
        <f t="shared" si="6"/>
        <v>гражд класс 4</v>
      </c>
      <c r="B89" s="231">
        <f t="shared" si="6"/>
        <v>0</v>
      </c>
      <c r="C89" s="231">
        <f t="shared" si="6"/>
        <v>110</v>
      </c>
      <c r="D89" s="231">
        <f t="shared" si="6"/>
        <v>0</v>
      </c>
      <c r="E89" s="231">
        <f t="shared" si="6"/>
        <v>0</v>
      </c>
      <c r="H89" s="231"/>
      <c r="I89" s="231"/>
      <c r="L89" s="231"/>
      <c r="N89" s="231"/>
      <c r="O89" s="231"/>
      <c r="P89" s="231"/>
      <c r="Q89" s="231"/>
    </row>
    <row r="90" spans="1:17">
      <c r="A90" s="230" t="str">
        <f t="shared" si="6"/>
        <v>гражд класс 3</v>
      </c>
      <c r="B90" s="231">
        <f t="shared" si="6"/>
        <v>949.5</v>
      </c>
      <c r="C90" s="231">
        <f t="shared" si="6"/>
        <v>0</v>
      </c>
      <c r="D90" s="231">
        <f t="shared" si="6"/>
        <v>360</v>
      </c>
      <c r="E90" s="231">
        <f t="shared" si="6"/>
        <v>1390</v>
      </c>
      <c r="H90" s="231"/>
      <c r="I90" s="231"/>
      <c r="L90" s="231"/>
      <c r="N90" s="231"/>
      <c r="O90" s="231"/>
      <c r="P90" s="231"/>
      <c r="Q90" s="231"/>
    </row>
    <row r="91" spans="1:17">
      <c r="A91" s="230" t="str">
        <f t="shared" si="6"/>
        <v>гражд класс 2</v>
      </c>
      <c r="B91" s="231">
        <f t="shared" si="6"/>
        <v>0</v>
      </c>
      <c r="C91" s="231">
        <f t="shared" si="6"/>
        <v>0</v>
      </c>
      <c r="D91" s="231">
        <f t="shared" si="6"/>
        <v>0</v>
      </c>
      <c r="E91" s="231">
        <f t="shared" si="6"/>
        <v>0</v>
      </c>
      <c r="H91" s="231"/>
      <c r="I91" s="231"/>
      <c r="L91" s="231"/>
      <c r="N91" s="231"/>
      <c r="O91" s="231"/>
      <c r="P91" s="231"/>
      <c r="Q91" s="231"/>
    </row>
    <row r="92" spans="1:17">
      <c r="A92" s="230" t="str">
        <f t="shared" si="6"/>
        <v>гражд класс 1</v>
      </c>
      <c r="B92" s="231">
        <f t="shared" si="6"/>
        <v>0</v>
      </c>
      <c r="C92" s="231">
        <f t="shared" si="6"/>
        <v>0</v>
      </c>
      <c r="D92" s="231">
        <f t="shared" si="6"/>
        <v>0</v>
      </c>
      <c r="E92" s="231">
        <f t="shared" si="6"/>
        <v>0</v>
      </c>
      <c r="H92" s="231"/>
      <c r="I92" s="231"/>
      <c r="L92" s="231"/>
      <c r="N92" s="231"/>
      <c r="O92" s="231"/>
      <c r="P92" s="231"/>
      <c r="Q92" s="231"/>
    </row>
    <row r="93" spans="1:17">
      <c r="A93" s="230" t="str">
        <f t="shared" si="6"/>
        <v>прочие</v>
      </c>
      <c r="B93" s="231">
        <f t="shared" si="6"/>
        <v>0</v>
      </c>
      <c r="C93" s="231">
        <f t="shared" si="6"/>
        <v>0</v>
      </c>
      <c r="D93" s="231">
        <f t="shared" si="6"/>
        <v>0</v>
      </c>
      <c r="E93" s="231">
        <f t="shared" si="6"/>
        <v>0</v>
      </c>
      <c r="H93" s="231">
        <f>H23</f>
        <v>0</v>
      </c>
      <c r="I93" s="231">
        <f>I23</f>
        <v>0</v>
      </c>
      <c r="L93" s="231">
        <f>L23</f>
        <v>0</v>
      </c>
      <c r="N93" s="231">
        <f>N23</f>
        <v>0</v>
      </c>
      <c r="O93" s="231">
        <f>O23</f>
        <v>85</v>
      </c>
      <c r="P93" s="231">
        <f>P23</f>
        <v>0</v>
      </c>
      <c r="Q93" s="231">
        <f>Q23</f>
        <v>0</v>
      </c>
    </row>
    <row r="94" spans="1:17">
      <c r="A94" s="232"/>
      <c r="B94" s="232"/>
      <c r="C94" s="232"/>
      <c r="D94" s="232"/>
      <c r="E94" s="232"/>
      <c r="H94" s="232"/>
      <c r="I94" s="232"/>
      <c r="L94" s="232"/>
      <c r="N94" s="232"/>
      <c r="O94" s="232"/>
      <c r="P94" s="232"/>
      <c r="Q94" s="232"/>
    </row>
    <row r="95" spans="1:17">
      <c r="A95" s="232"/>
      <c r="B95" s="232"/>
      <c r="C95" s="232"/>
      <c r="D95" s="232"/>
      <c r="E95" s="232"/>
      <c r="H95" s="232"/>
      <c r="I95" s="232"/>
      <c r="L95" s="232"/>
      <c r="N95" s="232"/>
      <c r="O95" s="232"/>
      <c r="P95" s="232"/>
      <c r="Q95" s="232"/>
    </row>
    <row r="96" spans="1:17">
      <c r="A96" s="232"/>
      <c r="B96" s="232"/>
      <c r="C96" s="232"/>
      <c r="D96" s="232"/>
      <c r="E96" s="232"/>
      <c r="H96" s="232"/>
      <c r="I96" s="232"/>
      <c r="L96" s="232"/>
      <c r="N96" s="232"/>
      <c r="O96" s="232"/>
      <c r="P96" s="232"/>
      <c r="Q96" s="232"/>
    </row>
    <row r="97" spans="1:17">
      <c r="B97" s="232"/>
      <c r="C97" s="232"/>
      <c r="D97" s="232"/>
      <c r="E97" s="232"/>
      <c r="H97" s="232"/>
      <c r="I97" s="232"/>
      <c r="L97" s="232"/>
      <c r="N97" s="232"/>
      <c r="O97" s="232"/>
      <c r="P97" s="232"/>
      <c r="Q97" s="232"/>
    </row>
    <row r="98" spans="1:17" ht="14.25">
      <c r="A98" s="194" t="s">
        <v>277</v>
      </c>
      <c r="B98" s="194"/>
      <c r="C98" s="194"/>
      <c r="D98" s="194"/>
      <c r="E98" s="194"/>
      <c r="H98" s="230"/>
      <c r="I98" s="230"/>
      <c r="L98" s="230"/>
      <c r="N98" s="230"/>
      <c r="O98" s="230"/>
      <c r="P98" s="230"/>
      <c r="Q98" s="230"/>
    </row>
    <row r="99" spans="1:17">
      <c r="A99" s="262">
        <f>'1.1 Алыкулова'!A107</f>
        <v>0.33</v>
      </c>
      <c r="B99" s="235">
        <f>B85/B$84</f>
        <v>0</v>
      </c>
      <c r="C99" s="235">
        <f>C85/C$84</f>
        <v>0.94117647058823528</v>
      </c>
      <c r="D99" s="235">
        <f>D85/D$84</f>
        <v>0.15897655803316182</v>
      </c>
      <c r="E99" s="235">
        <f>E85/E$84</f>
        <v>0</v>
      </c>
      <c r="H99" s="235">
        <f t="shared" ref="H99:I101" si="7">H85/H$84</f>
        <v>1</v>
      </c>
      <c r="I99" s="235">
        <f t="shared" si="7"/>
        <v>0.66107030430220359</v>
      </c>
      <c r="L99" s="235">
        <f>L85/L$84</f>
        <v>3.0210016155088858E-2</v>
      </c>
      <c r="N99" s="235">
        <f t="shared" ref="N99:Q101" si="8">N85/N$84</f>
        <v>0.15398245614035089</v>
      </c>
      <c r="O99" s="235">
        <f t="shared" si="8"/>
        <v>0.35536602700781805</v>
      </c>
      <c r="P99" s="235">
        <f t="shared" si="8"/>
        <v>1.2833333333333334E-2</v>
      </c>
      <c r="Q99" s="235">
        <f t="shared" si="8"/>
        <v>0.47980903994393836</v>
      </c>
    </row>
    <row r="100" spans="1:17">
      <c r="A100" s="262">
        <f>'1.1 Алыкулова'!A108</f>
        <v>0.55000000000000004</v>
      </c>
      <c r="B100" s="235">
        <f t="shared" ref="B100:E107" si="9">B86/B$84</f>
        <v>0.95250125062531266</v>
      </c>
      <c r="C100" s="235">
        <f t="shared" si="9"/>
        <v>0</v>
      </c>
      <c r="D100" s="235">
        <f t="shared" si="9"/>
        <v>0.78956546598056032</v>
      </c>
      <c r="E100" s="235">
        <f t="shared" si="9"/>
        <v>0</v>
      </c>
      <c r="H100" s="235">
        <f t="shared" si="7"/>
        <v>0</v>
      </c>
      <c r="I100" s="235">
        <f t="shared" si="7"/>
        <v>0.33892969569779641</v>
      </c>
      <c r="L100" s="235"/>
      <c r="N100" s="235">
        <f t="shared" si="8"/>
        <v>0.84601754385964911</v>
      </c>
      <c r="O100" s="235">
        <f t="shared" si="8"/>
        <v>0</v>
      </c>
      <c r="P100" s="235">
        <f t="shared" si="8"/>
        <v>0.44444444444444442</v>
      </c>
      <c r="Q100" s="235">
        <f t="shared" si="8"/>
        <v>0.38879642606867559</v>
      </c>
    </row>
    <row r="101" spans="1:17">
      <c r="A101" s="262">
        <f>'1.1 Алыкулова'!A109</f>
        <v>0.77</v>
      </c>
      <c r="B101" s="235">
        <f t="shared" si="9"/>
        <v>0</v>
      </c>
      <c r="C101" s="235">
        <f t="shared" si="9"/>
        <v>0</v>
      </c>
      <c r="D101" s="235">
        <f t="shared" si="9"/>
        <v>0</v>
      </c>
      <c r="E101" s="235">
        <f t="shared" si="9"/>
        <v>0.5834706781337089</v>
      </c>
      <c r="H101" s="235">
        <f t="shared" si="7"/>
        <v>0</v>
      </c>
      <c r="I101" s="235">
        <f t="shared" si="7"/>
        <v>0</v>
      </c>
      <c r="L101" s="235">
        <f>L87/L$84</f>
        <v>0.3392568659127625</v>
      </c>
      <c r="N101" s="235">
        <f t="shared" si="8"/>
        <v>0</v>
      </c>
      <c r="O101" s="235">
        <f t="shared" si="8"/>
        <v>0.49751243781094528</v>
      </c>
      <c r="P101" s="235">
        <f t="shared" si="8"/>
        <v>0.54272222222222233</v>
      </c>
      <c r="Q101" s="235">
        <f t="shared" si="8"/>
        <v>0.13139453398738613</v>
      </c>
    </row>
    <row r="102" spans="1:17">
      <c r="A102" s="262">
        <f>'1.1 Алыкулова'!A110</f>
        <v>1</v>
      </c>
      <c r="B102" s="235">
        <f t="shared" si="9"/>
        <v>0</v>
      </c>
      <c r="C102" s="235">
        <f t="shared" si="9"/>
        <v>0</v>
      </c>
      <c r="D102" s="235">
        <f t="shared" si="9"/>
        <v>0</v>
      </c>
      <c r="E102" s="235">
        <f t="shared" si="9"/>
        <v>0</v>
      </c>
      <c r="H102" s="235"/>
      <c r="I102" s="235"/>
      <c r="L102" s="235"/>
      <c r="N102" s="235"/>
      <c r="O102" s="235"/>
      <c r="P102" s="235"/>
      <c r="Q102" s="235"/>
    </row>
    <row r="103" spans="1:17">
      <c r="A103" s="262">
        <f>'1.1 Алыкулова'!A111</f>
        <v>0.33</v>
      </c>
      <c r="B103" s="235">
        <f t="shared" si="9"/>
        <v>0</v>
      </c>
      <c r="C103" s="235">
        <f t="shared" si="9"/>
        <v>5.8823529411764705E-2</v>
      </c>
      <c r="D103" s="235">
        <f t="shared" si="9"/>
        <v>0</v>
      </c>
      <c r="E103" s="235">
        <f t="shared" si="9"/>
        <v>0</v>
      </c>
      <c r="H103" s="235"/>
      <c r="I103" s="235"/>
      <c r="L103" s="235"/>
      <c r="N103" s="235"/>
      <c r="O103" s="235"/>
      <c r="P103" s="235"/>
      <c r="Q103" s="235"/>
    </row>
    <row r="104" spans="1:17">
      <c r="A104" s="262">
        <f>'1.1 Алыкулова'!A112</f>
        <v>0.55000000000000004</v>
      </c>
      <c r="B104" s="235">
        <f t="shared" si="9"/>
        <v>4.7498749374687343E-2</v>
      </c>
      <c r="C104" s="235">
        <f t="shared" si="9"/>
        <v>0</v>
      </c>
      <c r="D104" s="235">
        <f t="shared" si="9"/>
        <v>5.1457975986277875E-2</v>
      </c>
      <c r="E104" s="235">
        <f t="shared" si="9"/>
        <v>0.4165293218662911</v>
      </c>
      <c r="H104" s="235"/>
      <c r="I104" s="235"/>
      <c r="L104" s="235"/>
      <c r="N104" s="235"/>
      <c r="O104" s="235"/>
      <c r="P104" s="235"/>
      <c r="Q104" s="235"/>
    </row>
    <row r="105" spans="1:17">
      <c r="A105" s="262">
        <f>'1.1 Алыкулова'!A113</f>
        <v>0.77</v>
      </c>
      <c r="B105" s="235">
        <f t="shared" si="9"/>
        <v>0</v>
      </c>
      <c r="C105" s="235">
        <f t="shared" si="9"/>
        <v>0</v>
      </c>
      <c r="D105" s="235">
        <f t="shared" si="9"/>
        <v>0</v>
      </c>
      <c r="E105" s="235">
        <f t="shared" si="9"/>
        <v>0</v>
      </c>
      <c r="H105" s="235"/>
      <c r="I105" s="235"/>
      <c r="L105" s="235"/>
      <c r="N105" s="235"/>
      <c r="O105" s="235"/>
      <c r="P105" s="235"/>
      <c r="Q105" s="235"/>
    </row>
    <row r="106" spans="1:17">
      <c r="A106" s="262">
        <f>'1.1 Алыкулова'!A114</f>
        <v>1</v>
      </c>
      <c r="B106" s="235">
        <f t="shared" si="9"/>
        <v>0</v>
      </c>
      <c r="C106" s="235">
        <f t="shared" si="9"/>
        <v>0</v>
      </c>
      <c r="D106" s="235">
        <f t="shared" si="9"/>
        <v>0</v>
      </c>
      <c r="E106" s="235">
        <f t="shared" si="9"/>
        <v>0</v>
      </c>
      <c r="H106" s="235"/>
      <c r="I106" s="235"/>
      <c r="L106" s="235"/>
      <c r="N106" s="235"/>
      <c r="O106" s="235"/>
      <c r="P106" s="235"/>
      <c r="Q106" s="235"/>
    </row>
    <row r="107" spans="1:17">
      <c r="A107" s="262">
        <f>'1.1 Алыкулова'!A115</f>
        <v>0.05</v>
      </c>
      <c r="B107" s="235">
        <f t="shared" si="9"/>
        <v>0</v>
      </c>
      <c r="C107" s="235">
        <f t="shared" si="9"/>
        <v>0</v>
      </c>
      <c r="D107" s="235">
        <f t="shared" si="9"/>
        <v>0</v>
      </c>
      <c r="E107" s="235">
        <f t="shared" si="9"/>
        <v>0</v>
      </c>
      <c r="H107" s="235">
        <f>H88/H$84</f>
        <v>0</v>
      </c>
      <c r="I107" s="235">
        <f>I88/I$84</f>
        <v>0</v>
      </c>
      <c r="L107" s="235">
        <f>L88/L$84</f>
        <v>0</v>
      </c>
      <c r="N107" s="235">
        <f>N88/N$84</f>
        <v>0</v>
      </c>
      <c r="O107" s="235">
        <f>O88/O$84</f>
        <v>8.6709310589907607E-2</v>
      </c>
      <c r="P107" s="235">
        <f>P88/P$84</f>
        <v>0</v>
      </c>
      <c r="Q107" s="235">
        <f>Q88/Q$84</f>
        <v>0</v>
      </c>
    </row>
    <row r="108" spans="1:17">
      <c r="B108" s="236"/>
      <c r="C108" s="236"/>
      <c r="D108" s="236"/>
      <c r="E108" s="236"/>
      <c r="H108" s="236"/>
      <c r="I108" s="236"/>
      <c r="L108" s="236"/>
      <c r="N108" s="236"/>
      <c r="O108" s="236"/>
      <c r="P108" s="236"/>
      <c r="Q108" s="236"/>
    </row>
    <row r="109" spans="1:17">
      <c r="B109" s="236"/>
      <c r="C109" s="236"/>
      <c r="D109" s="236"/>
      <c r="E109" s="236"/>
      <c r="H109" s="236"/>
      <c r="I109" s="236"/>
      <c r="L109" s="236"/>
      <c r="N109" s="236"/>
      <c r="O109" s="236"/>
      <c r="P109" s="236"/>
      <c r="Q109" s="236"/>
    </row>
    <row r="110" spans="1:17">
      <c r="A110" s="263" t="s">
        <v>278</v>
      </c>
      <c r="B110" s="264"/>
      <c r="C110" s="265"/>
      <c r="D110" s="265"/>
      <c r="E110" s="265"/>
      <c r="H110" s="232"/>
      <c r="I110" s="232"/>
      <c r="L110" s="232"/>
      <c r="N110" s="232"/>
      <c r="O110" s="232"/>
      <c r="P110" s="232"/>
      <c r="Q110" s="232"/>
    </row>
    <row r="111" spans="1:17">
      <c r="A111" s="237"/>
      <c r="B111" s="238">
        <f>$A99*B99</f>
        <v>0</v>
      </c>
      <c r="C111" s="238">
        <f>$A99*C99</f>
        <v>0.31058823529411766</v>
      </c>
      <c r="D111" s="238">
        <f>$A99*D99</f>
        <v>5.2462264150943405E-2</v>
      </c>
      <c r="E111" s="238">
        <f>$A99*E99</f>
        <v>0</v>
      </c>
      <c r="H111" s="238">
        <f t="shared" ref="H111:I113" si="10">$A99*H99</f>
        <v>0.33</v>
      </c>
      <c r="I111" s="238">
        <f t="shared" si="10"/>
        <v>0.21815320041972719</v>
      </c>
      <c r="L111" s="238">
        <f>$A99*L99</f>
        <v>9.969305331179323E-3</v>
      </c>
      <c r="N111" s="238">
        <f t="shared" ref="N111:Q113" si="11">$A99*N99</f>
        <v>5.0814210526315795E-2</v>
      </c>
      <c r="O111" s="238">
        <f t="shared" si="11"/>
        <v>0.11727078891257996</v>
      </c>
      <c r="P111" s="238">
        <f t="shared" si="11"/>
        <v>4.235E-3</v>
      </c>
      <c r="Q111" s="238">
        <f t="shared" si="11"/>
        <v>0.15833698318149966</v>
      </c>
    </row>
    <row r="112" spans="1:17">
      <c r="A112" s="237"/>
      <c r="B112" s="238">
        <f t="shared" ref="B112:E120" si="12">$A100*B100</f>
        <v>0.52387568784392202</v>
      </c>
      <c r="C112" s="238">
        <f t="shared" si="12"/>
        <v>0</v>
      </c>
      <c r="D112" s="238">
        <f t="shared" si="12"/>
        <v>0.43426100628930819</v>
      </c>
      <c r="E112" s="238">
        <f t="shared" si="12"/>
        <v>0</v>
      </c>
      <c r="H112" s="238">
        <f t="shared" si="10"/>
        <v>0</v>
      </c>
      <c r="I112" s="238">
        <f t="shared" si="10"/>
        <v>0.18641133263378803</v>
      </c>
      <c r="L112" s="238"/>
      <c r="N112" s="238">
        <f t="shared" si="11"/>
        <v>0.46530964912280703</v>
      </c>
      <c r="O112" s="238">
        <f t="shared" si="11"/>
        <v>0</v>
      </c>
      <c r="P112" s="238">
        <f t="shared" si="11"/>
        <v>0.24444444444444446</v>
      </c>
      <c r="Q112" s="238">
        <f t="shared" si="11"/>
        <v>0.2138380343377716</v>
      </c>
    </row>
    <row r="113" spans="1:17">
      <c r="A113" s="239"/>
      <c r="B113" s="238">
        <f t="shared" si="12"/>
        <v>0</v>
      </c>
      <c r="C113" s="238">
        <f t="shared" si="12"/>
        <v>0</v>
      </c>
      <c r="D113" s="238">
        <f t="shared" si="12"/>
        <v>0</v>
      </c>
      <c r="E113" s="238">
        <f t="shared" si="12"/>
        <v>0.44927242216295588</v>
      </c>
      <c r="H113" s="238">
        <f t="shared" si="10"/>
        <v>0</v>
      </c>
      <c r="I113" s="238">
        <f t="shared" si="10"/>
        <v>0</v>
      </c>
      <c r="L113" s="238">
        <f>$A101*L101</f>
        <v>0.26122778675282715</v>
      </c>
      <c r="N113" s="238">
        <f t="shared" si="11"/>
        <v>0</v>
      </c>
      <c r="O113" s="238">
        <f t="shared" si="11"/>
        <v>0.38308457711442789</v>
      </c>
      <c r="P113" s="238">
        <f t="shared" si="11"/>
        <v>0.41789611111111119</v>
      </c>
      <c r="Q113" s="238">
        <f t="shared" si="11"/>
        <v>0.10117379117028732</v>
      </c>
    </row>
    <row r="114" spans="1:17">
      <c r="A114" s="239"/>
      <c r="B114" s="238">
        <f t="shared" si="12"/>
        <v>0</v>
      </c>
      <c r="C114" s="238">
        <f t="shared" si="12"/>
        <v>0</v>
      </c>
      <c r="D114" s="238">
        <f t="shared" si="12"/>
        <v>0</v>
      </c>
      <c r="E114" s="238">
        <f t="shared" si="12"/>
        <v>0</v>
      </c>
      <c r="H114" s="240"/>
      <c r="I114" s="240"/>
      <c r="L114" s="240"/>
      <c r="N114" s="240"/>
      <c r="O114" s="240"/>
      <c r="P114" s="240"/>
      <c r="Q114" s="240"/>
    </row>
    <row r="115" spans="1:17">
      <c r="A115" s="239"/>
      <c r="B115" s="238">
        <f t="shared" si="12"/>
        <v>0</v>
      </c>
      <c r="C115" s="238">
        <f t="shared" si="12"/>
        <v>1.9411764705882354E-2</v>
      </c>
      <c r="D115" s="238">
        <f t="shared" si="12"/>
        <v>0</v>
      </c>
      <c r="E115" s="238">
        <f t="shared" si="12"/>
        <v>0</v>
      </c>
      <c r="H115" s="240"/>
      <c r="I115" s="240"/>
      <c r="L115" s="240"/>
      <c r="N115" s="240"/>
      <c r="O115" s="240"/>
      <c r="P115" s="240"/>
      <c r="Q115" s="240"/>
    </row>
    <row r="116" spans="1:17">
      <c r="A116" s="239"/>
      <c r="B116" s="238">
        <f t="shared" si="12"/>
        <v>2.612431215607804E-2</v>
      </c>
      <c r="C116" s="238">
        <f t="shared" si="12"/>
        <v>0</v>
      </c>
      <c r="D116" s="238">
        <f t="shared" si="12"/>
        <v>2.8301886792452834E-2</v>
      </c>
      <c r="E116" s="238">
        <f t="shared" si="12"/>
        <v>0.22909112702646012</v>
      </c>
      <c r="H116" s="240"/>
      <c r="I116" s="240"/>
      <c r="L116" s="240"/>
      <c r="N116" s="240"/>
      <c r="O116" s="240"/>
      <c r="P116" s="240"/>
      <c r="Q116" s="240"/>
    </row>
    <row r="117" spans="1:17">
      <c r="A117" s="239"/>
      <c r="B117" s="238">
        <f t="shared" si="12"/>
        <v>0</v>
      </c>
      <c r="C117" s="238">
        <f t="shared" si="12"/>
        <v>0</v>
      </c>
      <c r="D117" s="238">
        <f t="shared" si="12"/>
        <v>0</v>
      </c>
      <c r="E117" s="238">
        <f t="shared" si="12"/>
        <v>0</v>
      </c>
      <c r="H117" s="240"/>
      <c r="I117" s="240"/>
      <c r="L117" s="240"/>
      <c r="N117" s="240"/>
      <c r="O117" s="240"/>
      <c r="P117" s="240"/>
      <c r="Q117" s="240"/>
    </row>
    <row r="118" spans="1:17">
      <c r="A118" s="239"/>
      <c r="B118" s="238">
        <f t="shared" si="12"/>
        <v>0</v>
      </c>
      <c r="C118" s="238">
        <f t="shared" si="12"/>
        <v>0</v>
      </c>
      <c r="D118" s="238">
        <f t="shared" si="12"/>
        <v>0</v>
      </c>
      <c r="E118" s="238">
        <f t="shared" si="12"/>
        <v>0</v>
      </c>
      <c r="H118" s="240"/>
      <c r="I118" s="240"/>
      <c r="L118" s="240"/>
      <c r="N118" s="240"/>
      <c r="O118" s="240"/>
      <c r="P118" s="240"/>
      <c r="Q118" s="240"/>
    </row>
    <row r="119" spans="1:17">
      <c r="A119" s="239"/>
      <c r="B119" s="238">
        <f t="shared" si="12"/>
        <v>0</v>
      </c>
      <c r="C119" s="238">
        <f t="shared" si="12"/>
        <v>0</v>
      </c>
      <c r="D119" s="238">
        <f t="shared" si="12"/>
        <v>0</v>
      </c>
      <c r="E119" s="238">
        <f t="shared" si="12"/>
        <v>0</v>
      </c>
      <c r="H119" s="240"/>
      <c r="I119" s="240"/>
      <c r="L119" s="240"/>
      <c r="N119" s="240"/>
      <c r="O119" s="240"/>
      <c r="P119" s="240"/>
      <c r="Q119" s="240"/>
    </row>
    <row r="120" spans="1:17">
      <c r="A120" s="239"/>
      <c r="B120" s="238">
        <f t="shared" si="12"/>
        <v>0</v>
      </c>
      <c r="C120" s="238">
        <f t="shared" si="12"/>
        <v>0</v>
      </c>
      <c r="D120" s="238">
        <f t="shared" si="12"/>
        <v>0</v>
      </c>
      <c r="E120" s="238">
        <f t="shared" si="12"/>
        <v>0</v>
      </c>
      <c r="H120" s="240">
        <f t="shared" ref="H120:I120" si="13">$A107*H107</f>
        <v>0</v>
      </c>
      <c r="I120" s="240">
        <f t="shared" si="13"/>
        <v>0</v>
      </c>
      <c r="L120" s="240">
        <f>$A107*L107</f>
        <v>0</v>
      </c>
      <c r="N120" s="240">
        <f t="shared" ref="N120:Q120" si="14">$A107*N107</f>
        <v>0</v>
      </c>
      <c r="O120" s="240">
        <f t="shared" si="14"/>
        <v>4.3354655294953809E-3</v>
      </c>
      <c r="P120" s="240">
        <f t="shared" si="14"/>
        <v>0</v>
      </c>
      <c r="Q120" s="240">
        <f t="shared" si="14"/>
        <v>0</v>
      </c>
    </row>
    <row r="121" spans="1:17">
      <c r="A121" s="241" t="s">
        <v>279</v>
      </c>
      <c r="B121" s="242">
        <f>SUM(B111:B120)</f>
        <v>0.55000000000000004</v>
      </c>
      <c r="C121" s="243">
        <f>SUM(C111:C120)</f>
        <v>0.33</v>
      </c>
      <c r="D121" s="243">
        <f>SUM(D111:D120)</f>
        <v>0.51502515723270448</v>
      </c>
      <c r="E121" s="243">
        <f>SUM(E111:E120)</f>
        <v>0.67836354918941599</v>
      </c>
      <c r="H121" s="243">
        <f>SUM(H111:H120)</f>
        <v>0.33</v>
      </c>
      <c r="I121" s="243">
        <f>SUM(I111:I120)</f>
        <v>0.40456453305351525</v>
      </c>
      <c r="L121" s="243">
        <f>SUM(L111:L120)</f>
        <v>0.2711970920840065</v>
      </c>
      <c r="N121" s="243">
        <f t="shared" ref="N121" si="15">SUM(N111:N120)</f>
        <v>0.51612385964912288</v>
      </c>
      <c r="O121" s="243">
        <f>SUM(O111:O120)</f>
        <v>0.50469083155650318</v>
      </c>
      <c r="P121" s="243">
        <f>SUM(P111:P120)</f>
        <v>0.6665755555555557</v>
      </c>
      <c r="Q121" s="243">
        <f>SUM(Q111:Q120)</f>
        <v>0.47334880868955864</v>
      </c>
    </row>
    <row r="122" spans="1:17">
      <c r="A122" s="237" t="s">
        <v>280</v>
      </c>
      <c r="B122" s="244"/>
      <c r="C122" s="245">
        <f>$B$121/C121</f>
        <v>1.6666666666666667</v>
      </c>
      <c r="D122" s="245">
        <f>$B$121/D121</f>
        <v>1.067908998766623</v>
      </c>
      <c r="E122" s="245">
        <f>$B$121/E121</f>
        <v>0.81077469545231473</v>
      </c>
      <c r="H122" s="245">
        <f>$B$121/H121</f>
        <v>1.6666666666666667</v>
      </c>
      <c r="I122" s="245">
        <f>$B$121/I121</f>
        <v>1.3594864479315263</v>
      </c>
      <c r="L122" s="245">
        <f>$B$121/L121</f>
        <v>2.0280453443417863</v>
      </c>
      <c r="N122" s="245">
        <f>$B$121/N121</f>
        <v>1.0656356797260007</v>
      </c>
      <c r="O122" s="245">
        <f>$B$121/O121</f>
        <v>1.0897760878749474</v>
      </c>
      <c r="P122" s="245">
        <f>$B$121/P121</f>
        <v>0.82511276541127276</v>
      </c>
      <c r="Q122" s="245">
        <f>$B$121/Q121</f>
        <v>1.1619338422391856</v>
      </c>
    </row>
    <row r="123" spans="1:17">
      <c r="A123" s="241" t="s">
        <v>281</v>
      </c>
      <c r="B123" s="230">
        <f>$B$130*B28</f>
        <v>8339113.7793024592</v>
      </c>
      <c r="C123" s="230">
        <f>$B$130*C28</f>
        <v>1003256.7181246427</v>
      </c>
      <c r="D123" s="230">
        <f>$B$130*D28</f>
        <v>2310419.6683819327</v>
      </c>
      <c r="E123" s="230">
        <f>$B$130*E28</f>
        <v>1427993.1389365352</v>
      </c>
      <c r="H123" s="230">
        <f>$B$130*H28</f>
        <v>1189994.2824471127</v>
      </c>
      <c r="I123" s="230">
        <f>$B$130*I28</f>
        <v>237998.85648942253</v>
      </c>
      <c r="L123" s="230">
        <f>$B$130*L28</f>
        <v>1098456.2607204118</v>
      </c>
      <c r="N123" s="230">
        <f>$B$130*N28</f>
        <v>2239935.3916523727</v>
      </c>
      <c r="O123" s="230">
        <f>$B$130*O28</f>
        <v>549228.13036020589</v>
      </c>
      <c r="P123" s="230">
        <f>$B$130*P28</f>
        <v>585843.33905088622</v>
      </c>
      <c r="Q123" s="230">
        <f>$B$130*Q28</f>
        <v>452014.75128644943</v>
      </c>
    </row>
    <row r="124" spans="1:17">
      <c r="A124" s="237" t="s">
        <v>282</v>
      </c>
      <c r="B124" s="234"/>
      <c r="C124" s="246">
        <f>1-C123/C34</f>
        <v>0.4426351565974207</v>
      </c>
      <c r="D124" s="246">
        <f>1-D123/D34</f>
        <v>0.67910837939139823</v>
      </c>
      <c r="E124" s="246">
        <f>1-E123/E34</f>
        <v>0.41714565757692434</v>
      </c>
      <c r="H124" s="246">
        <f>1-H123/H34</f>
        <v>0.57500204198317406</v>
      </c>
      <c r="I124" s="246">
        <f>1-I123/I34</f>
        <v>0.816923956546598</v>
      </c>
      <c r="L124" s="246">
        <f>1-L123/L34</f>
        <v>0.59316434788132899</v>
      </c>
      <c r="N124" s="246">
        <f>1-N123/N34</f>
        <v>0.61380424281855639</v>
      </c>
      <c r="O124" s="246">
        <f>1-O123/O34</f>
        <v>0.63384791309319599</v>
      </c>
      <c r="P124" s="246">
        <f>1-P123/P34</f>
        <v>0.6094377739660759</v>
      </c>
      <c r="Q124" s="246">
        <f>1-Q123/Q34</f>
        <v>0.66517425830633381</v>
      </c>
    </row>
    <row r="125" spans="1:17">
      <c r="A125" s="247" t="s">
        <v>283</v>
      </c>
      <c r="B125" s="248"/>
      <c r="C125" s="249">
        <f>1-(1-C122)*C124</f>
        <v>1.2950901043982805</v>
      </c>
      <c r="D125" s="249">
        <f>1-(1-D122)*D124</f>
        <v>1.0461175700984939</v>
      </c>
      <c r="E125" s="249">
        <f>1-(1-E122)*E124</f>
        <v>0.92106548590426207</v>
      </c>
      <c r="H125" s="249">
        <f>1-(1-H122)*H124</f>
        <v>1.3833346946554494</v>
      </c>
      <c r="I125" s="249">
        <f>1-(1-I122)*I124</f>
        <v>1.293673091369105</v>
      </c>
      <c r="L125" s="249">
        <f>1-(1-L122)*L124</f>
        <v>1.609799846268932</v>
      </c>
      <c r="N125" s="249">
        <f>1-(1-N122)*N124</f>
        <v>1.0402874586960991</v>
      </c>
      <c r="O125" s="249">
        <f>1-(1-O122)*O124</f>
        <v>1.0569043859452067</v>
      </c>
      <c r="P125" s="249">
        <f>1-(1-P122)*P124</f>
        <v>0.8934171130571632</v>
      </c>
      <c r="Q125" s="249">
        <f>1-(1-Q122)*Q124</f>
        <v>1.1077142234061452</v>
      </c>
    </row>
    <row r="127" spans="1:17">
      <c r="E127" s="250"/>
      <c r="I127" s="250"/>
      <c r="O127" s="250"/>
    </row>
    <row r="129" spans="1:17">
      <c r="A129" s="239"/>
      <c r="B129" s="235">
        <f>B28/B14</f>
        <v>2.2786393196598298</v>
      </c>
      <c r="C129" s="235">
        <f>C28/C14</f>
        <v>2.9304812834224601</v>
      </c>
      <c r="D129" s="235">
        <f>D28/D14</f>
        <v>1.8038879359634077</v>
      </c>
      <c r="E129" s="235">
        <f>E28/E14</f>
        <v>2.337358784573432</v>
      </c>
      <c r="H129" s="235">
        <f>H28/H14</f>
        <v>1.911764705882353</v>
      </c>
      <c r="I129" s="235">
        <f>I28/I14</f>
        <v>0.6820566631689402</v>
      </c>
      <c r="L129" s="235">
        <f>L28/L14</f>
        <v>2.4232633279483036</v>
      </c>
      <c r="N129" s="235">
        <f>N28/N14</f>
        <v>2.1464912280701758</v>
      </c>
      <c r="O129" s="235">
        <f>O28/O14</f>
        <v>2.1321961620469083</v>
      </c>
      <c r="P129" s="235">
        <f>P28/P14</f>
        <v>1.7777777777777777</v>
      </c>
      <c r="Q129" s="235">
        <f>Q28/Q14</f>
        <v>1.0813770147161879</v>
      </c>
    </row>
    <row r="130" spans="1:17" ht="18">
      <c r="A130" s="251" t="s">
        <v>285</v>
      </c>
      <c r="B130" s="252">
        <v>183.07604345340195</v>
      </c>
      <c r="C130" s="235">
        <f>$B$129-C129</f>
        <v>-0.65184196376263026</v>
      </c>
      <c r="D130" s="235">
        <f>$B$129-D129</f>
        <v>0.47475138369642211</v>
      </c>
      <c r="E130" s="235">
        <f>$B$129-E129</f>
        <v>-5.8719464913602248E-2</v>
      </c>
      <c r="H130" s="235">
        <f>$B$129-H129</f>
        <v>0.36687461377747677</v>
      </c>
      <c r="I130" s="235">
        <f>$B$129-I129</f>
        <v>1.5965826564908896</v>
      </c>
      <c r="L130" s="235">
        <f>$B$129-L129</f>
        <v>-0.14462400828847377</v>
      </c>
      <c r="N130" s="235">
        <f>$B$129-N129</f>
        <v>0.13214809158965402</v>
      </c>
      <c r="O130" s="235">
        <f>$B$129-O129</f>
        <v>0.14644315761292148</v>
      </c>
      <c r="P130" s="235">
        <f>$B$129-P129</f>
        <v>0.50086154188205212</v>
      </c>
      <c r="Q130" s="235">
        <f>$B$129-Q129</f>
        <v>1.1972623049436419</v>
      </c>
    </row>
    <row r="131" spans="1:17">
      <c r="A131" s="239"/>
      <c r="B131" s="239"/>
      <c r="C131" s="235">
        <f>$B$130*C130</f>
        <v>-119.33664768255815</v>
      </c>
      <c r="D131" s="235">
        <f>$B$130*D130</f>
        <v>86.915604951168874</v>
      </c>
      <c r="E131" s="235">
        <f>$B$130*E130</f>
        <v>-10.750127310083156</v>
      </c>
      <c r="H131" s="235">
        <f>$B$130*H130</f>
        <v>67.1659527338754</v>
      </c>
      <c r="I131" s="235">
        <f>$B$130*I130</f>
        <v>292.296035796674</v>
      </c>
      <c r="L131" s="235">
        <f>$B$130*L130</f>
        <v>-26.477191225825788</v>
      </c>
      <c r="N131" s="235">
        <f>$B$130*N130</f>
        <v>24.193149758151641</v>
      </c>
      <c r="O131" s="235">
        <f>$B$130*O130</f>
        <v>26.810233886596603</v>
      </c>
      <c r="P131" s="235">
        <f>$B$130*P130</f>
        <v>91.695749405736478</v>
      </c>
      <c r="Q131" s="235">
        <f>$B$130*Q130</f>
        <v>219.19004576498236</v>
      </c>
    </row>
    <row r="132" spans="1:17">
      <c r="A132" s="239"/>
      <c r="B132" s="239"/>
      <c r="C132" s="230">
        <f>C131*долл</f>
        <v>-10435.989839839711</v>
      </c>
      <c r="D132" s="230">
        <f>D131*долл</f>
        <v>7600.7696529797186</v>
      </c>
      <c r="E132" s="230">
        <f>E131*долл</f>
        <v>-940.09863326677203</v>
      </c>
      <c r="H132" s="230">
        <f t="shared" ref="H132:Q132" si="16">H131*долл</f>
        <v>5873.6625665774036</v>
      </c>
      <c r="I132" s="230">
        <f t="shared" si="16"/>
        <v>25561.288330419142</v>
      </c>
      <c r="J132" s="230">
        <f t="shared" si="16"/>
        <v>0</v>
      </c>
      <c r="K132" s="230">
        <f t="shared" si="16"/>
        <v>0</v>
      </c>
      <c r="L132" s="230">
        <f t="shared" si="16"/>
        <v>-2315.4303726984654</v>
      </c>
      <c r="M132" s="230">
        <f t="shared" si="16"/>
        <v>0</v>
      </c>
      <c r="N132" s="230">
        <f t="shared" si="16"/>
        <v>2115.6909463503612</v>
      </c>
      <c r="O132" s="230">
        <f t="shared" si="16"/>
        <v>2344.554953382873</v>
      </c>
      <c r="P132" s="230">
        <f t="shared" si="16"/>
        <v>8018.7932855316549</v>
      </c>
      <c r="Q132" s="230">
        <f t="shared" si="16"/>
        <v>19168.169502147706</v>
      </c>
    </row>
    <row r="133" spans="1:17">
      <c r="A133" s="239"/>
      <c r="B133" s="239"/>
      <c r="C133" s="234">
        <f>1+C132/C64</f>
        <v>0.89973928799640512</v>
      </c>
      <c r="D133" s="234">
        <f>1+D132/D64</f>
        <v>1.0993124272798667</v>
      </c>
      <c r="E133" s="234">
        <f>1+E132/E64</f>
        <v>0.98455183835394022</v>
      </c>
      <c r="H133" s="234">
        <f>1+H132/H64</f>
        <v>1.0655702009758674</v>
      </c>
      <c r="I133" s="234">
        <f>1+I132/I64</f>
        <v>1.4764268788897232</v>
      </c>
      <c r="L133" s="234">
        <f>1+L132/L64</f>
        <v>0.97698289369143254</v>
      </c>
      <c r="N133" s="234">
        <f>1+N132/N64</f>
        <v>1.0330024707275232</v>
      </c>
      <c r="O133" s="234">
        <f>1+O132/O64</f>
        <v>1.0346028003991838</v>
      </c>
      <c r="P133" s="234">
        <f>1+P132/P64</f>
        <v>1.0757992688633449</v>
      </c>
      <c r="Q133" s="234">
        <f>1+Q132/Q64</f>
        <v>1.2089370243157154</v>
      </c>
    </row>
    <row r="134" spans="1:17">
      <c r="A134" s="247"/>
      <c r="B134" s="248"/>
      <c r="C134" s="249"/>
      <c r="D134" s="249"/>
      <c r="E134" s="249"/>
      <c r="H134" s="249"/>
      <c r="I134" s="249"/>
      <c r="L134" s="249"/>
      <c r="N134" s="249"/>
      <c r="O134" s="249"/>
      <c r="P134" s="249"/>
      <c r="Q134" s="249"/>
    </row>
    <row r="135" spans="1:17" ht="14.25">
      <c r="A135" s="241" t="s">
        <v>358</v>
      </c>
      <c r="B135" s="239">
        <v>0.02</v>
      </c>
      <c r="C135" s="253">
        <f>C132/C64</f>
        <v>-0.10026071200359488</v>
      </c>
      <c r="D135" s="253">
        <f>D132/D64</f>
        <v>9.9312427279866569E-2</v>
      </c>
      <c r="E135" s="253">
        <f>E132/E64</f>
        <v>-1.5448161646059796E-2</v>
      </c>
      <c r="H135" s="253">
        <f>H132/H64</f>
        <v>6.5570200975867313E-2</v>
      </c>
      <c r="I135" s="253">
        <f>I132/I64</f>
        <v>0.47642687888972318</v>
      </c>
      <c r="L135" s="253">
        <f>L132/L64</f>
        <v>-2.3017106308567424E-2</v>
      </c>
      <c r="N135" s="253">
        <f>N132/N64</f>
        <v>3.3002470727523124E-2</v>
      </c>
      <c r="O135" s="253">
        <f>O132/O64</f>
        <v>3.4602800399183814E-2</v>
      </c>
      <c r="P135" s="253">
        <f>P132/P64</f>
        <v>7.5799268863344899E-2</v>
      </c>
      <c r="Q135" s="253">
        <f>Q132/Q64</f>
        <v>0.20893702431571542</v>
      </c>
    </row>
    <row r="136" spans="1:17" ht="20.25">
      <c r="A136" s="239"/>
      <c r="B136" s="254">
        <v>0.5755549113798244</v>
      </c>
      <c r="C136" s="255">
        <f>MROUND((1+C135)^$B$136,$B$135)</f>
        <v>0.94000000000000006</v>
      </c>
      <c r="D136" s="255">
        <f>MROUND((1+D135)^$B$136,$B$135)</f>
        <v>1.06</v>
      </c>
      <c r="E136" s="255">
        <f>MROUND((1+E135)^$B$136,$B$135)</f>
        <v>1</v>
      </c>
      <c r="H136" s="255">
        <f>MROUND((1+H135)^$B$136,$B$135)</f>
        <v>1.04</v>
      </c>
      <c r="I136" s="255">
        <f>MROUND((1+I135)^$B$136,$B$135)</f>
        <v>1.26</v>
      </c>
      <c r="L136" s="255">
        <f>MROUND((1+L135)^$B$136,$B$135)</f>
        <v>0.98</v>
      </c>
      <c r="N136" s="255">
        <f>MROUND((1+N135)^$B$136,$B$135)</f>
        <v>1.02</v>
      </c>
      <c r="O136" s="255">
        <f>MROUND((1+O135)^$B$136,$B$135)</f>
        <v>1.02</v>
      </c>
      <c r="P136" s="255">
        <f>MROUND((1+P135)^$B$136,$B$135)</f>
        <v>1.04</v>
      </c>
      <c r="Q136" s="255">
        <f>MROUND((1+Q135)^$B$136,$B$135)</f>
        <v>1.1200000000000001</v>
      </c>
    </row>
    <row r="137" spans="1:17" ht="15.75">
      <c r="A137" s="256" t="s">
        <v>287</v>
      </c>
      <c r="B137" s="257">
        <v>0</v>
      </c>
    </row>
    <row r="138" spans="1:17" ht="15.75">
      <c r="A138" s="258" t="s">
        <v>289</v>
      </c>
      <c r="B138" s="259">
        <v>0.3</v>
      </c>
    </row>
    <row r="139" spans="1:17" ht="15.75">
      <c r="A139" s="258" t="s">
        <v>291</v>
      </c>
      <c r="B139" s="259">
        <v>0.5</v>
      </c>
    </row>
    <row r="140" spans="1:17" ht="15.75">
      <c r="A140" s="258" t="s">
        <v>293</v>
      </c>
      <c r="B140" s="259">
        <v>0.7</v>
      </c>
    </row>
    <row r="141" spans="1:17" ht="15.75">
      <c r="A141" s="256" t="s">
        <v>295</v>
      </c>
      <c r="B141" s="257">
        <v>1</v>
      </c>
    </row>
    <row r="142" spans="1:17">
      <c r="A142" s="260" t="s">
        <v>359</v>
      </c>
    </row>
    <row r="143" spans="1:17">
      <c r="A143" s="261" t="s">
        <v>360</v>
      </c>
    </row>
    <row r="144" spans="1:17">
      <c r="A144" s="261" t="s">
        <v>361</v>
      </c>
      <c r="C144" s="76">
        <v>1.2000000000000002</v>
      </c>
      <c r="D144" s="76">
        <v>1.2000000000000002</v>
      </c>
      <c r="E144" s="250"/>
      <c r="H144" s="76">
        <v>1.2000000000000002</v>
      </c>
      <c r="I144" s="250"/>
      <c r="L144" s="76">
        <v>1</v>
      </c>
      <c r="N144" s="76">
        <v>1.2000000000000002</v>
      </c>
      <c r="P144" s="76">
        <v>1.2000000000000002</v>
      </c>
      <c r="Q144" s="76">
        <v>1.2000000000000002</v>
      </c>
    </row>
    <row r="145" spans="1:1">
      <c r="A145" s="261" t="s">
        <v>362</v>
      </c>
    </row>
    <row r="146" spans="1:1">
      <c r="A146" s="260" t="s">
        <v>363</v>
      </c>
    </row>
  </sheetData>
  <hyperlinks>
    <hyperlink ref="I5" r:id="rId1" xr:uid="{50CE2E58-EDC0-4751-AA56-129A70DB02F8}"/>
    <hyperlink ref="C5" r:id="rId2" xr:uid="{841EBAD1-99DF-411F-9810-4D6022FE6347}"/>
    <hyperlink ref="H5" r:id="rId3" xr:uid="{FB72720D-4EB1-4A5C-82E0-7F497257E43B}"/>
    <hyperlink ref="N5" r:id="rId4" xr:uid="{62A5A937-2DED-446C-8CB7-44EB461A0055}"/>
    <hyperlink ref="D5" r:id="rId5" xr:uid="{EFA884AB-932A-488A-BDD9-0A986AB183E6}"/>
    <hyperlink ref="O5" r:id="rId6" xr:uid="{63B44103-62CD-49FF-B6D2-A25C8078B39A}"/>
    <hyperlink ref="Q5" r:id="rId7" xr:uid="{BE4CD260-4D16-4E42-9D92-C62AB8A68C47}"/>
    <hyperlink ref="L5" r:id="rId8" xr:uid="{1385773B-3811-4C89-9755-9E945E30D007}"/>
    <hyperlink ref="E5" r:id="rId9" xr:uid="{F3FB6E6D-67B6-4A97-BE0D-A37F6E833ABA}"/>
  </hyperlinks>
  <pageMargins left="0.7" right="0.7" top="0.75" bottom="0.75" header="0.3" footer="0.3"/>
  <pageSetup paperSize="9" orientation="portrait" verticalDpi="0" r:id="rId10"/>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AB71-FE31-486E-9B69-ADFC2C2F4A8B}">
  <sheetPr>
    <tabColor theme="4" tint="0.39997558519241921"/>
  </sheetPr>
  <dimension ref="A1:Q146"/>
  <sheetViews>
    <sheetView topLeftCell="A3" zoomScaleNormal="100" workbookViewId="0">
      <selection activeCell="D25" sqref="D25"/>
    </sheetView>
  </sheetViews>
  <sheetFormatPr defaultRowHeight="12.75" outlineLevelRow="1"/>
  <cols>
    <col min="1" max="1" width="51.125" style="76" customWidth="1"/>
    <col min="2" max="5" width="34.875" style="76" customWidth="1"/>
    <col min="6" max="7" width="9" style="76"/>
    <col min="8" max="9" width="34.875" style="76" customWidth="1"/>
    <col min="10" max="11" width="9" style="76"/>
    <col min="12" max="12" width="26" style="76" customWidth="1"/>
    <col min="13" max="13" width="9" style="76"/>
    <col min="14" max="17" width="34.875" style="76" customWidth="1"/>
    <col min="18" max="251" width="9" style="76"/>
    <col min="252" max="252" width="44" style="76" customWidth="1"/>
    <col min="253" max="253" width="24" style="76" customWidth="1"/>
    <col min="254" max="254" width="26.25" style="76" customWidth="1"/>
    <col min="255" max="255" width="25.375" style="76" customWidth="1"/>
    <col min="256" max="258" width="26" style="76" customWidth="1"/>
    <col min="259" max="259" width="9" style="76"/>
    <col min="260" max="261" width="26" style="76" customWidth="1"/>
    <col min="262" max="507" width="9" style="76"/>
    <col min="508" max="508" width="44" style="76" customWidth="1"/>
    <col min="509" max="509" width="24" style="76" customWidth="1"/>
    <col min="510" max="510" width="26.25" style="76" customWidth="1"/>
    <col min="511" max="511" width="25.375" style="76" customWidth="1"/>
    <col min="512" max="514" width="26" style="76" customWidth="1"/>
    <col min="515" max="515" width="9" style="76"/>
    <col min="516" max="517" width="26" style="76" customWidth="1"/>
    <col min="518" max="763" width="9" style="76"/>
    <col min="764" max="764" width="44" style="76" customWidth="1"/>
    <col min="765" max="765" width="24" style="76" customWidth="1"/>
    <col min="766" max="766" width="26.25" style="76" customWidth="1"/>
    <col min="767" max="767" width="25.375" style="76" customWidth="1"/>
    <col min="768" max="770" width="26" style="76" customWidth="1"/>
    <col min="771" max="771" width="9" style="76"/>
    <col min="772" max="773" width="26" style="76" customWidth="1"/>
    <col min="774" max="1019" width="9" style="76"/>
    <col min="1020" max="1020" width="44" style="76" customWidth="1"/>
    <col min="1021" max="1021" width="24" style="76" customWidth="1"/>
    <col min="1022" max="1022" width="26.25" style="76" customWidth="1"/>
    <col min="1023" max="1023" width="25.375" style="76" customWidth="1"/>
    <col min="1024" max="1026" width="26" style="76" customWidth="1"/>
    <col min="1027" max="1027" width="9" style="76"/>
    <col min="1028" max="1029" width="26" style="76" customWidth="1"/>
    <col min="1030" max="1275" width="9" style="76"/>
    <col min="1276" max="1276" width="44" style="76" customWidth="1"/>
    <col min="1277" max="1277" width="24" style="76" customWidth="1"/>
    <col min="1278" max="1278" width="26.25" style="76" customWidth="1"/>
    <col min="1279" max="1279" width="25.375" style="76" customWidth="1"/>
    <col min="1280" max="1282" width="26" style="76" customWidth="1"/>
    <col min="1283" max="1283" width="9" style="76"/>
    <col min="1284" max="1285" width="26" style="76" customWidth="1"/>
    <col min="1286" max="1531" width="9" style="76"/>
    <col min="1532" max="1532" width="44" style="76" customWidth="1"/>
    <col min="1533" max="1533" width="24" style="76" customWidth="1"/>
    <col min="1534" max="1534" width="26.25" style="76" customWidth="1"/>
    <col min="1535" max="1535" width="25.375" style="76" customWidth="1"/>
    <col min="1536" max="1538" width="26" style="76" customWidth="1"/>
    <col min="1539" max="1539" width="9" style="76"/>
    <col min="1540" max="1541" width="26" style="76" customWidth="1"/>
    <col min="1542" max="1787" width="9" style="76"/>
    <col min="1788" max="1788" width="44" style="76" customWidth="1"/>
    <col min="1789" max="1789" width="24" style="76" customWidth="1"/>
    <col min="1790" max="1790" width="26.25" style="76" customWidth="1"/>
    <col min="1791" max="1791" width="25.375" style="76" customWidth="1"/>
    <col min="1792" max="1794" width="26" style="76" customWidth="1"/>
    <col min="1795" max="1795" width="9" style="76"/>
    <col min="1796" max="1797" width="26" style="76" customWidth="1"/>
    <col min="1798" max="2043" width="9" style="76"/>
    <col min="2044" max="2044" width="44" style="76" customWidth="1"/>
    <col min="2045" max="2045" width="24" style="76" customWidth="1"/>
    <col min="2046" max="2046" width="26.25" style="76" customWidth="1"/>
    <col min="2047" max="2047" width="25.375" style="76" customWidth="1"/>
    <col min="2048" max="2050" width="26" style="76" customWidth="1"/>
    <col min="2051" max="2051" width="9" style="76"/>
    <col min="2052" max="2053" width="26" style="76" customWidth="1"/>
    <col min="2054" max="2299" width="9" style="76"/>
    <col min="2300" max="2300" width="44" style="76" customWidth="1"/>
    <col min="2301" max="2301" width="24" style="76" customWidth="1"/>
    <col min="2302" max="2302" width="26.25" style="76" customWidth="1"/>
    <col min="2303" max="2303" width="25.375" style="76" customWidth="1"/>
    <col min="2304" max="2306" width="26" style="76" customWidth="1"/>
    <col min="2307" max="2307" width="9" style="76"/>
    <col min="2308" max="2309" width="26" style="76" customWidth="1"/>
    <col min="2310" max="2555" width="9" style="76"/>
    <col min="2556" max="2556" width="44" style="76" customWidth="1"/>
    <col min="2557" max="2557" width="24" style="76" customWidth="1"/>
    <col min="2558" max="2558" width="26.25" style="76" customWidth="1"/>
    <col min="2559" max="2559" width="25.375" style="76" customWidth="1"/>
    <col min="2560" max="2562" width="26" style="76" customWidth="1"/>
    <col min="2563" max="2563" width="9" style="76"/>
    <col min="2564" max="2565" width="26" style="76" customWidth="1"/>
    <col min="2566" max="2811" width="9" style="76"/>
    <col min="2812" max="2812" width="44" style="76" customWidth="1"/>
    <col min="2813" max="2813" width="24" style="76" customWidth="1"/>
    <col min="2814" max="2814" width="26.25" style="76" customWidth="1"/>
    <col min="2815" max="2815" width="25.375" style="76" customWidth="1"/>
    <col min="2816" max="2818" width="26" style="76" customWidth="1"/>
    <col min="2819" max="2819" width="9" style="76"/>
    <col min="2820" max="2821" width="26" style="76" customWidth="1"/>
    <col min="2822" max="3067" width="9" style="76"/>
    <col min="3068" max="3068" width="44" style="76" customWidth="1"/>
    <col min="3069" max="3069" width="24" style="76" customWidth="1"/>
    <col min="3070" max="3070" width="26.25" style="76" customWidth="1"/>
    <col min="3071" max="3071" width="25.375" style="76" customWidth="1"/>
    <col min="3072" max="3074" width="26" style="76" customWidth="1"/>
    <col min="3075" max="3075" width="9" style="76"/>
    <col min="3076" max="3077" width="26" style="76" customWidth="1"/>
    <col min="3078" max="3323" width="9" style="76"/>
    <col min="3324" max="3324" width="44" style="76" customWidth="1"/>
    <col min="3325" max="3325" width="24" style="76" customWidth="1"/>
    <col min="3326" max="3326" width="26.25" style="76" customWidth="1"/>
    <col min="3327" max="3327" width="25.375" style="76" customWidth="1"/>
    <col min="3328" max="3330" width="26" style="76" customWidth="1"/>
    <col min="3331" max="3331" width="9" style="76"/>
    <col min="3332" max="3333" width="26" style="76" customWidth="1"/>
    <col min="3334" max="3579" width="9" style="76"/>
    <col min="3580" max="3580" width="44" style="76" customWidth="1"/>
    <col min="3581" max="3581" width="24" style="76" customWidth="1"/>
    <col min="3582" max="3582" width="26.25" style="76" customWidth="1"/>
    <col min="3583" max="3583" width="25.375" style="76" customWidth="1"/>
    <col min="3584" max="3586" width="26" style="76" customWidth="1"/>
    <col min="3587" max="3587" width="9" style="76"/>
    <col min="3588" max="3589" width="26" style="76" customWidth="1"/>
    <col min="3590" max="3835" width="9" style="76"/>
    <col min="3836" max="3836" width="44" style="76" customWidth="1"/>
    <col min="3837" max="3837" width="24" style="76" customWidth="1"/>
    <col min="3838" max="3838" width="26.25" style="76" customWidth="1"/>
    <col min="3839" max="3839" width="25.375" style="76" customWidth="1"/>
    <col min="3840" max="3842" width="26" style="76" customWidth="1"/>
    <col min="3843" max="3843" width="9" style="76"/>
    <col min="3844" max="3845" width="26" style="76" customWidth="1"/>
    <col min="3846" max="4091" width="9" style="76"/>
    <col min="4092" max="4092" width="44" style="76" customWidth="1"/>
    <col min="4093" max="4093" width="24" style="76" customWidth="1"/>
    <col min="4094" max="4094" width="26.25" style="76" customWidth="1"/>
    <col min="4095" max="4095" width="25.375" style="76" customWidth="1"/>
    <col min="4096" max="4098" width="26" style="76" customWidth="1"/>
    <col min="4099" max="4099" width="9" style="76"/>
    <col min="4100" max="4101" width="26" style="76" customWidth="1"/>
    <col min="4102" max="4347" width="9" style="76"/>
    <col min="4348" max="4348" width="44" style="76" customWidth="1"/>
    <col min="4349" max="4349" width="24" style="76" customWidth="1"/>
    <col min="4350" max="4350" width="26.25" style="76" customWidth="1"/>
    <col min="4351" max="4351" width="25.375" style="76" customWidth="1"/>
    <col min="4352" max="4354" width="26" style="76" customWidth="1"/>
    <col min="4355" max="4355" width="9" style="76"/>
    <col min="4356" max="4357" width="26" style="76" customWidth="1"/>
    <col min="4358" max="4603" width="9" style="76"/>
    <col min="4604" max="4604" width="44" style="76" customWidth="1"/>
    <col min="4605" max="4605" width="24" style="76" customWidth="1"/>
    <col min="4606" max="4606" width="26.25" style="76" customWidth="1"/>
    <col min="4607" max="4607" width="25.375" style="76" customWidth="1"/>
    <col min="4608" max="4610" width="26" style="76" customWidth="1"/>
    <col min="4611" max="4611" width="9" style="76"/>
    <col min="4612" max="4613" width="26" style="76" customWidth="1"/>
    <col min="4614" max="4859" width="9" style="76"/>
    <col min="4860" max="4860" width="44" style="76" customWidth="1"/>
    <col min="4861" max="4861" width="24" style="76" customWidth="1"/>
    <col min="4862" max="4862" width="26.25" style="76" customWidth="1"/>
    <col min="4863" max="4863" width="25.375" style="76" customWidth="1"/>
    <col min="4864" max="4866" width="26" style="76" customWidth="1"/>
    <col min="4867" max="4867" width="9" style="76"/>
    <col min="4868" max="4869" width="26" style="76" customWidth="1"/>
    <col min="4870" max="5115" width="9" style="76"/>
    <col min="5116" max="5116" width="44" style="76" customWidth="1"/>
    <col min="5117" max="5117" width="24" style="76" customWidth="1"/>
    <col min="5118" max="5118" width="26.25" style="76" customWidth="1"/>
    <col min="5119" max="5119" width="25.375" style="76" customWidth="1"/>
    <col min="5120" max="5122" width="26" style="76" customWidth="1"/>
    <col min="5123" max="5123" width="9" style="76"/>
    <col min="5124" max="5125" width="26" style="76" customWidth="1"/>
    <col min="5126" max="5371" width="9" style="76"/>
    <col min="5372" max="5372" width="44" style="76" customWidth="1"/>
    <col min="5373" max="5373" width="24" style="76" customWidth="1"/>
    <col min="5374" max="5374" width="26.25" style="76" customWidth="1"/>
    <col min="5375" max="5375" width="25.375" style="76" customWidth="1"/>
    <col min="5376" max="5378" width="26" style="76" customWidth="1"/>
    <col min="5379" max="5379" width="9" style="76"/>
    <col min="5380" max="5381" width="26" style="76" customWidth="1"/>
    <col min="5382" max="5627" width="9" style="76"/>
    <col min="5628" max="5628" width="44" style="76" customWidth="1"/>
    <col min="5629" max="5629" width="24" style="76" customWidth="1"/>
    <col min="5630" max="5630" width="26.25" style="76" customWidth="1"/>
    <col min="5631" max="5631" width="25.375" style="76" customWidth="1"/>
    <col min="5632" max="5634" width="26" style="76" customWidth="1"/>
    <col min="5635" max="5635" width="9" style="76"/>
    <col min="5636" max="5637" width="26" style="76" customWidth="1"/>
    <col min="5638" max="5883" width="9" style="76"/>
    <col min="5884" max="5884" width="44" style="76" customWidth="1"/>
    <col min="5885" max="5885" width="24" style="76" customWidth="1"/>
    <col min="5886" max="5886" width="26.25" style="76" customWidth="1"/>
    <col min="5887" max="5887" width="25.375" style="76" customWidth="1"/>
    <col min="5888" max="5890" width="26" style="76" customWidth="1"/>
    <col min="5891" max="5891" width="9" style="76"/>
    <col min="5892" max="5893" width="26" style="76" customWidth="1"/>
    <col min="5894" max="6139" width="9" style="76"/>
    <col min="6140" max="6140" width="44" style="76" customWidth="1"/>
    <col min="6141" max="6141" width="24" style="76" customWidth="1"/>
    <col min="6142" max="6142" width="26.25" style="76" customWidth="1"/>
    <col min="6143" max="6143" width="25.375" style="76" customWidth="1"/>
    <col min="6144" max="6146" width="26" style="76" customWidth="1"/>
    <col min="6147" max="6147" width="9" style="76"/>
    <col min="6148" max="6149" width="26" style="76" customWidth="1"/>
    <col min="6150" max="6395" width="9" style="76"/>
    <col min="6396" max="6396" width="44" style="76" customWidth="1"/>
    <col min="6397" max="6397" width="24" style="76" customWidth="1"/>
    <col min="6398" max="6398" width="26.25" style="76" customWidth="1"/>
    <col min="6399" max="6399" width="25.375" style="76" customWidth="1"/>
    <col min="6400" max="6402" width="26" style="76" customWidth="1"/>
    <col min="6403" max="6403" width="9" style="76"/>
    <col min="6404" max="6405" width="26" style="76" customWidth="1"/>
    <col min="6406" max="6651" width="9" style="76"/>
    <col min="6652" max="6652" width="44" style="76" customWidth="1"/>
    <col min="6653" max="6653" width="24" style="76" customWidth="1"/>
    <col min="6654" max="6654" width="26.25" style="76" customWidth="1"/>
    <col min="6655" max="6655" width="25.375" style="76" customWidth="1"/>
    <col min="6656" max="6658" width="26" style="76" customWidth="1"/>
    <col min="6659" max="6659" width="9" style="76"/>
    <col min="6660" max="6661" width="26" style="76" customWidth="1"/>
    <col min="6662" max="6907" width="9" style="76"/>
    <col min="6908" max="6908" width="44" style="76" customWidth="1"/>
    <col min="6909" max="6909" width="24" style="76" customWidth="1"/>
    <col min="6910" max="6910" width="26.25" style="76" customWidth="1"/>
    <col min="6911" max="6911" width="25.375" style="76" customWidth="1"/>
    <col min="6912" max="6914" width="26" style="76" customWidth="1"/>
    <col min="6915" max="6915" width="9" style="76"/>
    <col min="6916" max="6917" width="26" style="76" customWidth="1"/>
    <col min="6918" max="7163" width="9" style="76"/>
    <col min="7164" max="7164" width="44" style="76" customWidth="1"/>
    <col min="7165" max="7165" width="24" style="76" customWidth="1"/>
    <col min="7166" max="7166" width="26.25" style="76" customWidth="1"/>
    <col min="7167" max="7167" width="25.375" style="76" customWidth="1"/>
    <col min="7168" max="7170" width="26" style="76" customWidth="1"/>
    <col min="7171" max="7171" width="9" style="76"/>
    <col min="7172" max="7173" width="26" style="76" customWidth="1"/>
    <col min="7174" max="7419" width="9" style="76"/>
    <col min="7420" max="7420" width="44" style="76" customWidth="1"/>
    <col min="7421" max="7421" width="24" style="76" customWidth="1"/>
    <col min="7422" max="7422" width="26.25" style="76" customWidth="1"/>
    <col min="7423" max="7423" width="25.375" style="76" customWidth="1"/>
    <col min="7424" max="7426" width="26" style="76" customWidth="1"/>
    <col min="7427" max="7427" width="9" style="76"/>
    <col min="7428" max="7429" width="26" style="76" customWidth="1"/>
    <col min="7430" max="7675" width="9" style="76"/>
    <col min="7676" max="7676" width="44" style="76" customWidth="1"/>
    <col min="7677" max="7677" width="24" style="76" customWidth="1"/>
    <col min="7678" max="7678" width="26.25" style="76" customWidth="1"/>
    <col min="7679" max="7679" width="25.375" style="76" customWidth="1"/>
    <col min="7680" max="7682" width="26" style="76" customWidth="1"/>
    <col min="7683" max="7683" width="9" style="76"/>
    <col min="7684" max="7685" width="26" style="76" customWidth="1"/>
    <col min="7686" max="7931" width="9" style="76"/>
    <col min="7932" max="7932" width="44" style="76" customWidth="1"/>
    <col min="7933" max="7933" width="24" style="76" customWidth="1"/>
    <col min="7934" max="7934" width="26.25" style="76" customWidth="1"/>
    <col min="7935" max="7935" width="25.375" style="76" customWidth="1"/>
    <col min="7936" max="7938" width="26" style="76" customWidth="1"/>
    <col min="7939" max="7939" width="9" style="76"/>
    <col min="7940" max="7941" width="26" style="76" customWidth="1"/>
    <col min="7942" max="8187" width="9" style="76"/>
    <col min="8188" max="8188" width="44" style="76" customWidth="1"/>
    <col min="8189" max="8189" width="24" style="76" customWidth="1"/>
    <col min="8190" max="8190" width="26.25" style="76" customWidth="1"/>
    <col min="8191" max="8191" width="25.375" style="76" customWidth="1"/>
    <col min="8192" max="8194" width="26" style="76" customWidth="1"/>
    <col min="8195" max="8195" width="9" style="76"/>
    <col min="8196" max="8197" width="26" style="76" customWidth="1"/>
    <col min="8198" max="8443" width="9" style="76"/>
    <col min="8444" max="8444" width="44" style="76" customWidth="1"/>
    <col min="8445" max="8445" width="24" style="76" customWidth="1"/>
    <col min="8446" max="8446" width="26.25" style="76" customWidth="1"/>
    <col min="8447" max="8447" width="25.375" style="76" customWidth="1"/>
    <col min="8448" max="8450" width="26" style="76" customWidth="1"/>
    <col min="8451" max="8451" width="9" style="76"/>
    <col min="8452" max="8453" width="26" style="76" customWidth="1"/>
    <col min="8454" max="8699" width="9" style="76"/>
    <col min="8700" max="8700" width="44" style="76" customWidth="1"/>
    <col min="8701" max="8701" width="24" style="76" customWidth="1"/>
    <col min="8702" max="8702" width="26.25" style="76" customWidth="1"/>
    <col min="8703" max="8703" width="25.375" style="76" customWidth="1"/>
    <col min="8704" max="8706" width="26" style="76" customWidth="1"/>
    <col min="8707" max="8707" width="9" style="76"/>
    <col min="8708" max="8709" width="26" style="76" customWidth="1"/>
    <col min="8710" max="8955" width="9" style="76"/>
    <col min="8956" max="8956" width="44" style="76" customWidth="1"/>
    <col min="8957" max="8957" width="24" style="76" customWidth="1"/>
    <col min="8958" max="8958" width="26.25" style="76" customWidth="1"/>
    <col min="8959" max="8959" width="25.375" style="76" customWidth="1"/>
    <col min="8960" max="8962" width="26" style="76" customWidth="1"/>
    <col min="8963" max="8963" width="9" style="76"/>
    <col min="8964" max="8965" width="26" style="76" customWidth="1"/>
    <col min="8966" max="9211" width="9" style="76"/>
    <col min="9212" max="9212" width="44" style="76" customWidth="1"/>
    <col min="9213" max="9213" width="24" style="76" customWidth="1"/>
    <col min="9214" max="9214" width="26.25" style="76" customWidth="1"/>
    <col min="9215" max="9215" width="25.375" style="76" customWidth="1"/>
    <col min="9216" max="9218" width="26" style="76" customWidth="1"/>
    <col min="9219" max="9219" width="9" style="76"/>
    <col min="9220" max="9221" width="26" style="76" customWidth="1"/>
    <col min="9222" max="9467" width="9" style="76"/>
    <col min="9468" max="9468" width="44" style="76" customWidth="1"/>
    <col min="9469" max="9469" width="24" style="76" customWidth="1"/>
    <col min="9470" max="9470" width="26.25" style="76" customWidth="1"/>
    <col min="9471" max="9471" width="25.375" style="76" customWidth="1"/>
    <col min="9472" max="9474" width="26" style="76" customWidth="1"/>
    <col min="9475" max="9475" width="9" style="76"/>
    <col min="9476" max="9477" width="26" style="76" customWidth="1"/>
    <col min="9478" max="9723" width="9" style="76"/>
    <col min="9724" max="9724" width="44" style="76" customWidth="1"/>
    <col min="9725" max="9725" width="24" style="76" customWidth="1"/>
    <col min="9726" max="9726" width="26.25" style="76" customWidth="1"/>
    <col min="9727" max="9727" width="25.375" style="76" customWidth="1"/>
    <col min="9728" max="9730" width="26" style="76" customWidth="1"/>
    <col min="9731" max="9731" width="9" style="76"/>
    <col min="9732" max="9733" width="26" style="76" customWidth="1"/>
    <col min="9734" max="9979" width="9" style="76"/>
    <col min="9980" max="9980" width="44" style="76" customWidth="1"/>
    <col min="9981" max="9981" width="24" style="76" customWidth="1"/>
    <col min="9982" max="9982" width="26.25" style="76" customWidth="1"/>
    <col min="9983" max="9983" width="25.375" style="76" customWidth="1"/>
    <col min="9984" max="9986" width="26" style="76" customWidth="1"/>
    <col min="9987" max="9987" width="9" style="76"/>
    <col min="9988" max="9989" width="26" style="76" customWidth="1"/>
    <col min="9990" max="10235" width="9" style="76"/>
    <col min="10236" max="10236" width="44" style="76" customWidth="1"/>
    <col min="10237" max="10237" width="24" style="76" customWidth="1"/>
    <col min="10238" max="10238" width="26.25" style="76" customWidth="1"/>
    <col min="10239" max="10239" width="25.375" style="76" customWidth="1"/>
    <col min="10240" max="10242" width="26" style="76" customWidth="1"/>
    <col min="10243" max="10243" width="9" style="76"/>
    <col min="10244" max="10245" width="26" style="76" customWidth="1"/>
    <col min="10246" max="10491" width="9" style="76"/>
    <col min="10492" max="10492" width="44" style="76" customWidth="1"/>
    <col min="10493" max="10493" width="24" style="76" customWidth="1"/>
    <col min="10494" max="10494" width="26.25" style="76" customWidth="1"/>
    <col min="10495" max="10495" width="25.375" style="76" customWidth="1"/>
    <col min="10496" max="10498" width="26" style="76" customWidth="1"/>
    <col min="10499" max="10499" width="9" style="76"/>
    <col min="10500" max="10501" width="26" style="76" customWidth="1"/>
    <col min="10502" max="10747" width="9" style="76"/>
    <col min="10748" max="10748" width="44" style="76" customWidth="1"/>
    <col min="10749" max="10749" width="24" style="76" customWidth="1"/>
    <col min="10750" max="10750" width="26.25" style="76" customWidth="1"/>
    <col min="10751" max="10751" width="25.375" style="76" customWidth="1"/>
    <col min="10752" max="10754" width="26" style="76" customWidth="1"/>
    <col min="10755" max="10755" width="9" style="76"/>
    <col min="10756" max="10757" width="26" style="76" customWidth="1"/>
    <col min="10758" max="11003" width="9" style="76"/>
    <col min="11004" max="11004" width="44" style="76" customWidth="1"/>
    <col min="11005" max="11005" width="24" style="76" customWidth="1"/>
    <col min="11006" max="11006" width="26.25" style="76" customWidth="1"/>
    <col min="11007" max="11007" width="25.375" style="76" customWidth="1"/>
    <col min="11008" max="11010" width="26" style="76" customWidth="1"/>
    <col min="11011" max="11011" width="9" style="76"/>
    <col min="11012" max="11013" width="26" style="76" customWidth="1"/>
    <col min="11014" max="11259" width="9" style="76"/>
    <col min="11260" max="11260" width="44" style="76" customWidth="1"/>
    <col min="11261" max="11261" width="24" style="76" customWidth="1"/>
    <col min="11262" max="11262" width="26.25" style="76" customWidth="1"/>
    <col min="11263" max="11263" width="25.375" style="76" customWidth="1"/>
    <col min="11264" max="11266" width="26" style="76" customWidth="1"/>
    <col min="11267" max="11267" width="9" style="76"/>
    <col min="11268" max="11269" width="26" style="76" customWidth="1"/>
    <col min="11270" max="11515" width="9" style="76"/>
    <col min="11516" max="11516" width="44" style="76" customWidth="1"/>
    <col min="11517" max="11517" width="24" style="76" customWidth="1"/>
    <col min="11518" max="11518" width="26.25" style="76" customWidth="1"/>
    <col min="11519" max="11519" width="25.375" style="76" customWidth="1"/>
    <col min="11520" max="11522" width="26" style="76" customWidth="1"/>
    <col min="11523" max="11523" width="9" style="76"/>
    <col min="11524" max="11525" width="26" style="76" customWidth="1"/>
    <col min="11526" max="11771" width="9" style="76"/>
    <col min="11772" max="11772" width="44" style="76" customWidth="1"/>
    <col min="11773" max="11773" width="24" style="76" customWidth="1"/>
    <col min="11774" max="11774" width="26.25" style="76" customWidth="1"/>
    <col min="11775" max="11775" width="25.375" style="76" customWidth="1"/>
    <col min="11776" max="11778" width="26" style="76" customWidth="1"/>
    <col min="11779" max="11779" width="9" style="76"/>
    <col min="11780" max="11781" width="26" style="76" customWidth="1"/>
    <col min="11782" max="12027" width="9" style="76"/>
    <col min="12028" max="12028" width="44" style="76" customWidth="1"/>
    <col min="12029" max="12029" width="24" style="76" customWidth="1"/>
    <col min="12030" max="12030" width="26.25" style="76" customWidth="1"/>
    <col min="12031" max="12031" width="25.375" style="76" customWidth="1"/>
    <col min="12032" max="12034" width="26" style="76" customWidth="1"/>
    <col min="12035" max="12035" width="9" style="76"/>
    <col min="12036" max="12037" width="26" style="76" customWidth="1"/>
    <col min="12038" max="12283" width="9" style="76"/>
    <col min="12284" max="12284" width="44" style="76" customWidth="1"/>
    <col min="12285" max="12285" width="24" style="76" customWidth="1"/>
    <col min="12286" max="12286" width="26.25" style="76" customWidth="1"/>
    <col min="12287" max="12287" width="25.375" style="76" customWidth="1"/>
    <col min="12288" max="12290" width="26" style="76" customWidth="1"/>
    <col min="12291" max="12291" width="9" style="76"/>
    <col min="12292" max="12293" width="26" style="76" customWidth="1"/>
    <col min="12294" max="12539" width="9" style="76"/>
    <col min="12540" max="12540" width="44" style="76" customWidth="1"/>
    <col min="12541" max="12541" width="24" style="76" customWidth="1"/>
    <col min="12542" max="12542" width="26.25" style="76" customWidth="1"/>
    <col min="12543" max="12543" width="25.375" style="76" customWidth="1"/>
    <col min="12544" max="12546" width="26" style="76" customWidth="1"/>
    <col min="12547" max="12547" width="9" style="76"/>
    <col min="12548" max="12549" width="26" style="76" customWidth="1"/>
    <col min="12550" max="12795" width="9" style="76"/>
    <col min="12796" max="12796" width="44" style="76" customWidth="1"/>
    <col min="12797" max="12797" width="24" style="76" customWidth="1"/>
    <col min="12798" max="12798" width="26.25" style="76" customWidth="1"/>
    <col min="12799" max="12799" width="25.375" style="76" customWidth="1"/>
    <col min="12800" max="12802" width="26" style="76" customWidth="1"/>
    <col min="12803" max="12803" width="9" style="76"/>
    <col min="12804" max="12805" width="26" style="76" customWidth="1"/>
    <col min="12806" max="13051" width="9" style="76"/>
    <col min="13052" max="13052" width="44" style="76" customWidth="1"/>
    <col min="13053" max="13053" width="24" style="76" customWidth="1"/>
    <col min="13054" max="13054" width="26.25" style="76" customWidth="1"/>
    <col min="13055" max="13055" width="25.375" style="76" customWidth="1"/>
    <col min="13056" max="13058" width="26" style="76" customWidth="1"/>
    <col min="13059" max="13059" width="9" style="76"/>
    <col min="13060" max="13061" width="26" style="76" customWidth="1"/>
    <col min="13062" max="13307" width="9" style="76"/>
    <col min="13308" max="13308" width="44" style="76" customWidth="1"/>
    <col min="13309" max="13309" width="24" style="76" customWidth="1"/>
    <col min="13310" max="13310" width="26.25" style="76" customWidth="1"/>
    <col min="13311" max="13311" width="25.375" style="76" customWidth="1"/>
    <col min="13312" max="13314" width="26" style="76" customWidth="1"/>
    <col min="13315" max="13315" width="9" style="76"/>
    <col min="13316" max="13317" width="26" style="76" customWidth="1"/>
    <col min="13318" max="13563" width="9" style="76"/>
    <col min="13564" max="13564" width="44" style="76" customWidth="1"/>
    <col min="13565" max="13565" width="24" style="76" customWidth="1"/>
    <col min="13566" max="13566" width="26.25" style="76" customWidth="1"/>
    <col min="13567" max="13567" width="25.375" style="76" customWidth="1"/>
    <col min="13568" max="13570" width="26" style="76" customWidth="1"/>
    <col min="13571" max="13571" width="9" style="76"/>
    <col min="13572" max="13573" width="26" style="76" customWidth="1"/>
    <col min="13574" max="13819" width="9" style="76"/>
    <col min="13820" max="13820" width="44" style="76" customWidth="1"/>
    <col min="13821" max="13821" width="24" style="76" customWidth="1"/>
    <col min="13822" max="13822" width="26.25" style="76" customWidth="1"/>
    <col min="13823" max="13823" width="25.375" style="76" customWidth="1"/>
    <col min="13824" max="13826" width="26" style="76" customWidth="1"/>
    <col min="13827" max="13827" width="9" style="76"/>
    <col min="13828" max="13829" width="26" style="76" customWidth="1"/>
    <col min="13830" max="14075" width="9" style="76"/>
    <col min="14076" max="14076" width="44" style="76" customWidth="1"/>
    <col min="14077" max="14077" width="24" style="76" customWidth="1"/>
    <col min="14078" max="14078" width="26.25" style="76" customWidth="1"/>
    <col min="14079" max="14079" width="25.375" style="76" customWidth="1"/>
    <col min="14080" max="14082" width="26" style="76" customWidth="1"/>
    <col min="14083" max="14083" width="9" style="76"/>
    <col min="14084" max="14085" width="26" style="76" customWidth="1"/>
    <col min="14086" max="14331" width="9" style="76"/>
    <col min="14332" max="14332" width="44" style="76" customWidth="1"/>
    <col min="14333" max="14333" width="24" style="76" customWidth="1"/>
    <col min="14334" max="14334" width="26.25" style="76" customWidth="1"/>
    <col min="14335" max="14335" width="25.375" style="76" customWidth="1"/>
    <col min="14336" max="14338" width="26" style="76" customWidth="1"/>
    <col min="14339" max="14339" width="9" style="76"/>
    <col min="14340" max="14341" width="26" style="76" customWidth="1"/>
    <col min="14342" max="14587" width="9" style="76"/>
    <col min="14588" max="14588" width="44" style="76" customWidth="1"/>
    <col min="14589" max="14589" width="24" style="76" customWidth="1"/>
    <col min="14590" max="14590" width="26.25" style="76" customWidth="1"/>
    <col min="14591" max="14591" width="25.375" style="76" customWidth="1"/>
    <col min="14592" max="14594" width="26" style="76" customWidth="1"/>
    <col min="14595" max="14595" width="9" style="76"/>
    <col min="14596" max="14597" width="26" style="76" customWidth="1"/>
    <col min="14598" max="14843" width="9" style="76"/>
    <col min="14844" max="14844" width="44" style="76" customWidth="1"/>
    <col min="14845" max="14845" width="24" style="76" customWidth="1"/>
    <col min="14846" max="14846" width="26.25" style="76" customWidth="1"/>
    <col min="14847" max="14847" width="25.375" style="76" customWidth="1"/>
    <col min="14848" max="14850" width="26" style="76" customWidth="1"/>
    <col min="14851" max="14851" width="9" style="76"/>
    <col min="14852" max="14853" width="26" style="76" customWidth="1"/>
    <col min="14854" max="15099" width="9" style="76"/>
    <col min="15100" max="15100" width="44" style="76" customWidth="1"/>
    <col min="15101" max="15101" width="24" style="76" customWidth="1"/>
    <col min="15102" max="15102" width="26.25" style="76" customWidth="1"/>
    <col min="15103" max="15103" width="25.375" style="76" customWidth="1"/>
    <col min="15104" max="15106" width="26" style="76" customWidth="1"/>
    <col min="15107" max="15107" width="9" style="76"/>
    <col min="15108" max="15109" width="26" style="76" customWidth="1"/>
    <col min="15110" max="15355" width="9" style="76"/>
    <col min="15356" max="15356" width="44" style="76" customWidth="1"/>
    <col min="15357" max="15357" width="24" style="76" customWidth="1"/>
    <col min="15358" max="15358" width="26.25" style="76" customWidth="1"/>
    <col min="15359" max="15359" width="25.375" style="76" customWidth="1"/>
    <col min="15360" max="15362" width="26" style="76" customWidth="1"/>
    <col min="15363" max="15363" width="9" style="76"/>
    <col min="15364" max="15365" width="26" style="76" customWidth="1"/>
    <col min="15366" max="15611" width="9" style="76"/>
    <col min="15612" max="15612" width="44" style="76" customWidth="1"/>
    <col min="15613" max="15613" width="24" style="76" customWidth="1"/>
    <col min="15614" max="15614" width="26.25" style="76" customWidth="1"/>
    <col min="15615" max="15615" width="25.375" style="76" customWidth="1"/>
    <col min="15616" max="15618" width="26" style="76" customWidth="1"/>
    <col min="15619" max="15619" width="9" style="76"/>
    <col min="15620" max="15621" width="26" style="76" customWidth="1"/>
    <col min="15622" max="15867" width="9" style="76"/>
    <col min="15868" max="15868" width="44" style="76" customWidth="1"/>
    <col min="15869" max="15869" width="24" style="76" customWidth="1"/>
    <col min="15870" max="15870" width="26.25" style="76" customWidth="1"/>
    <col min="15871" max="15871" width="25.375" style="76" customWidth="1"/>
    <col min="15872" max="15874" width="26" style="76" customWidth="1"/>
    <col min="15875" max="15875" width="9" style="76"/>
    <col min="15876" max="15877" width="26" style="76" customWidth="1"/>
    <col min="15878" max="16123" width="9" style="76"/>
    <col min="16124" max="16124" width="44" style="76" customWidth="1"/>
    <col min="16125" max="16125" width="24" style="76" customWidth="1"/>
    <col min="16126" max="16126" width="26.25" style="76" customWidth="1"/>
    <col min="16127" max="16127" width="25.375" style="76" customWidth="1"/>
    <col min="16128" max="16130" width="26" style="76" customWidth="1"/>
    <col min="16131" max="16131" width="9" style="76"/>
    <col min="16132" max="16133" width="26" style="76" customWidth="1"/>
    <col min="16134" max="16384" width="9" style="76"/>
  </cols>
  <sheetData>
    <row r="1" spans="1:17">
      <c r="C1" s="74"/>
      <c r="D1" s="77"/>
      <c r="H1" s="74"/>
      <c r="I1" s="74"/>
      <c r="N1" s="74"/>
    </row>
    <row r="2" spans="1:17">
      <c r="C2" s="74"/>
      <c r="D2" s="78"/>
      <c r="H2" s="74"/>
      <c r="I2" s="74"/>
      <c r="N2" s="74"/>
    </row>
    <row r="3" spans="1:17">
      <c r="C3" s="80"/>
      <c r="D3" s="77" t="s">
        <v>312</v>
      </c>
      <c r="E3" s="198"/>
      <c r="H3" s="199" t="s">
        <v>313</v>
      </c>
      <c r="I3" s="80"/>
      <c r="N3" s="81"/>
    </row>
    <row r="4" spans="1:17">
      <c r="C4" s="199" t="s">
        <v>314</v>
      </c>
      <c r="D4" s="199" t="s">
        <v>315</v>
      </c>
      <c r="E4" s="199" t="s">
        <v>316</v>
      </c>
      <c r="H4" s="199" t="s">
        <v>317</v>
      </c>
      <c r="I4" s="199" t="s">
        <v>318</v>
      </c>
      <c r="L4" s="199" t="s">
        <v>319</v>
      </c>
      <c r="N4" s="199" t="s">
        <v>320</v>
      </c>
      <c r="O4" s="199" t="s">
        <v>321</v>
      </c>
      <c r="P4" s="199" t="s">
        <v>322</v>
      </c>
      <c r="Q4" s="199" t="s">
        <v>323</v>
      </c>
    </row>
    <row r="5" spans="1:17">
      <c r="A5" s="104"/>
      <c r="B5" s="83"/>
      <c r="C5" s="84" t="s">
        <v>151</v>
      </c>
      <c r="D5" s="200" t="s">
        <v>152</v>
      </c>
      <c r="E5" s="77" t="s">
        <v>153</v>
      </c>
      <c r="H5" s="77" t="s">
        <v>156</v>
      </c>
      <c r="I5" s="86" t="s">
        <v>155</v>
      </c>
      <c r="L5" s="86" t="s">
        <v>324</v>
      </c>
      <c r="N5" s="77" t="s">
        <v>154</v>
      </c>
      <c r="O5" s="86" t="s">
        <v>325</v>
      </c>
      <c r="P5" s="86" t="s">
        <v>326</v>
      </c>
      <c r="Q5" s="200" t="s">
        <v>327</v>
      </c>
    </row>
    <row r="6" spans="1:17">
      <c r="A6" s="87" t="s">
        <v>158</v>
      </c>
      <c r="B6" s="87" t="s">
        <v>159</v>
      </c>
      <c r="C6" s="87" t="s">
        <v>123</v>
      </c>
      <c r="D6" s="87" t="s">
        <v>124</v>
      </c>
      <c r="E6" s="87" t="s">
        <v>126</v>
      </c>
      <c r="H6" s="87" t="s">
        <v>126</v>
      </c>
      <c r="I6" s="87" t="s">
        <v>123</v>
      </c>
      <c r="L6" s="87" t="s">
        <v>124</v>
      </c>
      <c r="N6" s="87" t="s">
        <v>126</v>
      </c>
      <c r="O6" s="87" t="s">
        <v>123</v>
      </c>
      <c r="P6" s="87" t="s">
        <v>126</v>
      </c>
      <c r="Q6" s="87" t="s">
        <v>126</v>
      </c>
    </row>
    <row r="7" spans="1:17">
      <c r="A7" s="88" t="s">
        <v>160</v>
      </c>
      <c r="B7" s="89" t="e">
        <f>датоц</f>
        <v>#NAME?</v>
      </c>
      <c r="C7" s="89" t="e">
        <f>датоц</f>
        <v>#NAME?</v>
      </c>
      <c r="D7" s="89" t="e">
        <f>датоц</f>
        <v>#NAME?</v>
      </c>
      <c r="E7" s="89" t="e">
        <f>датоц</f>
        <v>#NAME?</v>
      </c>
      <c r="H7" s="89" t="e">
        <f>датоц</f>
        <v>#NAME?</v>
      </c>
      <c r="I7" s="89" t="e">
        <f>датоц</f>
        <v>#NAME?</v>
      </c>
      <c r="L7" s="89" t="e">
        <f>датоц</f>
        <v>#NAME?</v>
      </c>
      <c r="N7" s="89" t="e">
        <f>датоц</f>
        <v>#NAME?</v>
      </c>
      <c r="O7" s="89" t="e">
        <f>датоц</f>
        <v>#NAME?</v>
      </c>
      <c r="P7" s="89" t="e">
        <f>датоц</f>
        <v>#NAME?</v>
      </c>
      <c r="Q7" s="89" t="e">
        <f>датоц</f>
        <v>#NAME?</v>
      </c>
    </row>
    <row r="8" spans="1:17">
      <c r="A8" s="88" t="s">
        <v>161</v>
      </c>
      <c r="B8" s="90"/>
      <c r="C8" s="91" t="s">
        <v>162</v>
      </c>
      <c r="D8" s="91" t="s">
        <v>163</v>
      </c>
      <c r="E8" s="92" t="s">
        <v>164</v>
      </c>
      <c r="H8" s="92" t="s">
        <v>167</v>
      </c>
      <c r="I8" s="93" t="s">
        <v>166</v>
      </c>
      <c r="L8" s="97" t="s">
        <v>328</v>
      </c>
      <c r="N8" s="92" t="s">
        <v>165</v>
      </c>
      <c r="O8" s="98" t="s">
        <v>329</v>
      </c>
      <c r="P8" s="97" t="s">
        <v>328</v>
      </c>
      <c r="Q8" s="201" t="s">
        <v>330</v>
      </c>
    </row>
    <row r="9" spans="1:17" ht="25.5">
      <c r="A9" s="88" t="s">
        <v>169</v>
      </c>
      <c r="B9" s="94" t="s">
        <v>170</v>
      </c>
      <c r="C9" s="95" t="s">
        <v>170</v>
      </c>
      <c r="D9" s="94" t="s">
        <v>170</v>
      </c>
      <c r="E9" s="96" t="s">
        <v>331</v>
      </c>
      <c r="H9" s="94" t="s">
        <v>170</v>
      </c>
      <c r="I9" s="94" t="s">
        <v>170</v>
      </c>
      <c r="L9" s="96" t="s">
        <v>331</v>
      </c>
      <c r="N9" s="94" t="s">
        <v>171</v>
      </c>
      <c r="O9" s="94" t="s">
        <v>170</v>
      </c>
      <c r="P9" s="94" t="s">
        <v>170</v>
      </c>
      <c r="Q9" s="96" t="s">
        <v>331</v>
      </c>
    </row>
    <row r="10" spans="1:17" ht="25.5">
      <c r="A10" s="88" t="s">
        <v>172</v>
      </c>
      <c r="B10" s="96" t="s">
        <v>304</v>
      </c>
      <c r="C10" s="97" t="s">
        <v>173</v>
      </c>
      <c r="D10" s="98" t="s">
        <v>174</v>
      </c>
      <c r="E10" s="99" t="s">
        <v>175</v>
      </c>
      <c r="H10" s="99" t="s">
        <v>178</v>
      </c>
      <c r="I10" s="99" t="s">
        <v>332</v>
      </c>
      <c r="L10" s="202" t="s">
        <v>307</v>
      </c>
      <c r="N10" s="99" t="s">
        <v>176</v>
      </c>
      <c r="O10" s="97" t="s">
        <v>333</v>
      </c>
      <c r="P10" s="202" t="s">
        <v>334</v>
      </c>
      <c r="Q10" s="101" t="s">
        <v>335</v>
      </c>
    </row>
    <row r="11" spans="1:17" ht="25.5">
      <c r="A11" s="88" t="s">
        <v>180</v>
      </c>
      <c r="B11" s="96" t="s">
        <v>181</v>
      </c>
      <c r="C11" s="101" t="s">
        <v>181</v>
      </c>
      <c r="D11" s="93" t="s">
        <v>181</v>
      </c>
      <c r="E11" s="99" t="s">
        <v>182</v>
      </c>
      <c r="H11" s="99" t="s">
        <v>184</v>
      </c>
      <c r="I11" s="99" t="s">
        <v>181</v>
      </c>
      <c r="L11" s="203" t="s">
        <v>181</v>
      </c>
      <c r="N11" s="99" t="s">
        <v>183</v>
      </c>
      <c r="O11" s="93" t="s">
        <v>336</v>
      </c>
      <c r="P11" s="203" t="s">
        <v>181</v>
      </c>
      <c r="Q11" s="203" t="s">
        <v>337</v>
      </c>
    </row>
    <row r="12" spans="1:17" s="207" customFormat="1" outlineLevel="1">
      <c r="A12" s="111" t="s">
        <v>338</v>
      </c>
      <c r="B12" s="204"/>
      <c r="C12" s="205" t="s">
        <v>187</v>
      </c>
      <c r="D12" s="206" t="s">
        <v>187</v>
      </c>
      <c r="E12" s="205" t="s">
        <v>187</v>
      </c>
      <c r="H12" s="205" t="s">
        <v>187</v>
      </c>
      <c r="I12" s="208" t="s">
        <v>188</v>
      </c>
      <c r="L12" s="204"/>
      <c r="N12" s="205" t="s">
        <v>187</v>
      </c>
      <c r="O12" s="205" t="s">
        <v>339</v>
      </c>
      <c r="P12" s="206"/>
      <c r="Q12" s="206"/>
    </row>
    <row r="13" spans="1:17" ht="38.25">
      <c r="A13" s="88" t="s">
        <v>186</v>
      </c>
      <c r="B13" s="91" t="s">
        <v>364</v>
      </c>
      <c r="C13" s="94" t="s">
        <v>187</v>
      </c>
      <c r="D13" s="93" t="s">
        <v>187</v>
      </c>
      <c r="E13" s="94" t="s">
        <v>187</v>
      </c>
      <c r="H13" s="94" t="s">
        <v>187</v>
      </c>
      <c r="I13" s="102" t="s">
        <v>188</v>
      </c>
      <c r="L13" s="94" t="s">
        <v>187</v>
      </c>
      <c r="N13" s="94" t="s">
        <v>187</v>
      </c>
      <c r="O13" s="94" t="s">
        <v>187</v>
      </c>
      <c r="P13" s="209" t="s">
        <v>187</v>
      </c>
      <c r="Q13" s="209" t="s">
        <v>340</v>
      </c>
    </row>
    <row r="14" spans="1:17" ht="15">
      <c r="A14" s="88" t="s">
        <v>341</v>
      </c>
      <c r="B14" s="103">
        <f>SUM(B15:B22)</f>
        <v>19990</v>
      </c>
      <c r="C14" s="103">
        <f t="shared" ref="C14:E14" si="0">SUM(C15:C22)</f>
        <v>1870</v>
      </c>
      <c r="D14" s="103">
        <f t="shared" si="0"/>
        <v>6996</v>
      </c>
      <c r="E14" s="103">
        <f t="shared" si="0"/>
        <v>3337.1</v>
      </c>
      <c r="H14" s="103">
        <f t="shared" ref="H14" si="1">SUM(H15:H23)</f>
        <v>3400</v>
      </c>
      <c r="I14" s="103">
        <f>SUM(I15:I23)</f>
        <v>1906</v>
      </c>
      <c r="L14" s="103">
        <f>SUM(L15:L23)</f>
        <v>2476</v>
      </c>
      <c r="N14" s="103">
        <f>SUM(N15:N22)</f>
        <v>5699.9999999999991</v>
      </c>
      <c r="O14" s="103">
        <f>SUM(O15:O23)</f>
        <v>1407</v>
      </c>
      <c r="P14" s="103">
        <f>SUM(P15:P22)</f>
        <v>1800</v>
      </c>
      <c r="Q14" s="103">
        <f>SUM(Q15:Q22)</f>
        <v>2283.1999999999998</v>
      </c>
    </row>
    <row r="15" spans="1:17">
      <c r="A15" s="105" t="str">
        <f>Выжимка!B32</f>
        <v>произв класс 4</v>
      </c>
      <c r="B15" s="106">
        <f>Выжимка!D3</f>
        <v>0</v>
      </c>
      <c r="C15" s="106">
        <f>'1.1 Алыкулова'!C15</f>
        <v>1760</v>
      </c>
      <c r="D15" s="106">
        <f>'1.1 Алыкулова'!D15</f>
        <v>1112.2</v>
      </c>
      <c r="E15" s="106">
        <f>'1.1 Алыкулова'!E15</f>
        <v>0</v>
      </c>
      <c r="H15" s="106">
        <f>2550+850</f>
        <v>3400</v>
      </c>
      <c r="I15" s="108">
        <v>1260</v>
      </c>
      <c r="L15" s="106">
        <f>13+15.6+32.7+13.5</f>
        <v>74.800000000000011</v>
      </c>
      <c r="N15" s="106">
        <v>877.69999999999993</v>
      </c>
      <c r="O15" s="108">
        <v>500</v>
      </c>
      <c r="P15" s="210">
        <v>23.1</v>
      </c>
      <c r="Q15" s="106">
        <f>786+309.5</f>
        <v>1095.5</v>
      </c>
    </row>
    <row r="16" spans="1:17">
      <c r="A16" s="105" t="str">
        <f>Выжимка!B33</f>
        <v>произв класс 3</v>
      </c>
      <c r="B16" s="106">
        <f>Выжимка!D4</f>
        <v>19040.5</v>
      </c>
      <c r="C16" s="106">
        <f>'1.1 Алыкулова'!C16</f>
        <v>0</v>
      </c>
      <c r="D16" s="106">
        <f>'1.1 Алыкулова'!D16</f>
        <v>5523.8</v>
      </c>
      <c r="E16" s="106">
        <f>'1.1 Алыкулова'!E16</f>
        <v>0</v>
      </c>
      <c r="H16" s="106">
        <v>0</v>
      </c>
      <c r="I16" s="108">
        <v>646</v>
      </c>
      <c r="L16" s="106">
        <f>1636-L15</f>
        <v>1561.2</v>
      </c>
      <c r="N16" s="106">
        <v>4822.2999999999993</v>
      </c>
      <c r="O16" s="108">
        <v>0</v>
      </c>
      <c r="P16" s="210">
        <v>800</v>
      </c>
      <c r="Q16" s="106">
        <f>767.7+120</f>
        <v>887.7</v>
      </c>
    </row>
    <row r="17" spans="1:17">
      <c r="A17" s="105" t="str">
        <f>Выжимка!B34</f>
        <v>произв класс 2</v>
      </c>
      <c r="B17" s="106">
        <f>Выжимка!D5</f>
        <v>0</v>
      </c>
      <c r="C17" s="106">
        <f>'1.1 Алыкулова'!C17</f>
        <v>0</v>
      </c>
      <c r="D17" s="106">
        <f>'1.1 Алыкулова'!D17</f>
        <v>0</v>
      </c>
      <c r="E17" s="106">
        <f>'1.1 Алыкулова'!E17</f>
        <v>1947.1</v>
      </c>
      <c r="H17" s="106">
        <v>0</v>
      </c>
      <c r="I17" s="108">
        <v>0</v>
      </c>
      <c r="L17" s="106">
        <v>840</v>
      </c>
      <c r="N17" s="106">
        <v>0</v>
      </c>
      <c r="O17" s="108">
        <v>700</v>
      </c>
      <c r="P17" s="210">
        <v>976.90000000000009</v>
      </c>
      <c r="Q17" s="106">
        <v>300</v>
      </c>
    </row>
    <row r="18" spans="1:17">
      <c r="A18" s="105" t="str">
        <f>Выжимка!B35</f>
        <v>произв класс 1</v>
      </c>
      <c r="B18" s="106">
        <f>Выжимка!D6</f>
        <v>0</v>
      </c>
      <c r="C18" s="106">
        <f>'1.1 Алыкулова'!C18</f>
        <v>0</v>
      </c>
      <c r="D18" s="106">
        <f>'1.1 Алыкулова'!D18</f>
        <v>0</v>
      </c>
      <c r="E18" s="106">
        <f>'1.1 Алыкулова'!E18</f>
        <v>0</v>
      </c>
      <c r="H18" s="106"/>
      <c r="I18" s="108"/>
      <c r="L18" s="106"/>
      <c r="N18" s="106"/>
      <c r="O18" s="108"/>
      <c r="P18" s="210"/>
      <c r="Q18" s="106"/>
    </row>
    <row r="19" spans="1:17">
      <c r="A19" s="105" t="str">
        <f>Выжимка!B36</f>
        <v>гражд класс 4</v>
      </c>
      <c r="B19" s="106">
        <f>Выжимка!D7</f>
        <v>0</v>
      </c>
      <c r="C19" s="106">
        <f>'1.1 Алыкулова'!C19</f>
        <v>110</v>
      </c>
      <c r="D19" s="106">
        <f>'1.1 Алыкулова'!D19</f>
        <v>0</v>
      </c>
      <c r="E19" s="106">
        <f>'1.1 Алыкулова'!E19</f>
        <v>0</v>
      </c>
      <c r="H19" s="106"/>
      <c r="I19" s="108"/>
      <c r="L19" s="106"/>
      <c r="N19" s="106"/>
      <c r="O19" s="108"/>
      <c r="P19" s="210"/>
      <c r="Q19" s="106"/>
    </row>
    <row r="20" spans="1:17">
      <c r="A20" s="105" t="str">
        <f>Выжимка!B37</f>
        <v>гражд класс 3</v>
      </c>
      <c r="B20" s="106">
        <f>Выжимка!D8</f>
        <v>949.5</v>
      </c>
      <c r="C20" s="106">
        <f>'1.1 Алыкулова'!C20</f>
        <v>0</v>
      </c>
      <c r="D20" s="106">
        <f>'1.1 Алыкулова'!D20</f>
        <v>360</v>
      </c>
      <c r="E20" s="106">
        <f>'1.1 Алыкулова'!E20</f>
        <v>1390</v>
      </c>
      <c r="H20" s="106"/>
      <c r="I20" s="108"/>
      <c r="L20" s="106"/>
      <c r="N20" s="106"/>
      <c r="O20" s="108"/>
      <c r="P20" s="210"/>
      <c r="Q20" s="106"/>
    </row>
    <row r="21" spans="1:17">
      <c r="A21" s="105" t="str">
        <f>Выжимка!B38</f>
        <v>гражд класс 2</v>
      </c>
      <c r="B21" s="106">
        <f>Выжимка!D9</f>
        <v>0</v>
      </c>
      <c r="C21" s="106">
        <f>'1.1 Алыкулова'!C21</f>
        <v>0</v>
      </c>
      <c r="D21" s="106">
        <f>'1.1 Алыкулова'!D21</f>
        <v>0</v>
      </c>
      <c r="E21" s="106">
        <f>'1.1 Алыкулова'!E21</f>
        <v>0</v>
      </c>
      <c r="H21" s="106"/>
      <c r="I21" s="108"/>
      <c r="L21" s="106"/>
      <c r="N21" s="106"/>
      <c r="O21" s="108"/>
      <c r="P21" s="210"/>
      <c r="Q21" s="106"/>
    </row>
    <row r="22" spans="1:17" ht="15" customHeight="1">
      <c r="A22" s="105" t="str">
        <f>Выжимка!B39</f>
        <v>гражд класс 1</v>
      </c>
      <c r="B22" s="106">
        <f>Выжимка!D10</f>
        <v>0</v>
      </c>
      <c r="C22" s="106">
        <f>'1.1 Алыкулова'!C22</f>
        <v>0</v>
      </c>
      <c r="D22" s="106">
        <f>'1.1 Алыкулова'!D22</f>
        <v>0</v>
      </c>
      <c r="E22" s="106">
        <f>'1.1 Алыкулова'!E22</f>
        <v>0</v>
      </c>
      <c r="H22" s="106">
        <v>0</v>
      </c>
      <c r="I22" s="106">
        <v>0</v>
      </c>
      <c r="L22" s="94">
        <v>0</v>
      </c>
      <c r="N22" s="106">
        <v>0</v>
      </c>
      <c r="O22" s="108">
        <v>122</v>
      </c>
      <c r="P22" s="210">
        <v>0</v>
      </c>
      <c r="Q22" s="94">
        <v>0</v>
      </c>
    </row>
    <row r="23" spans="1:17">
      <c r="A23" s="105" t="str">
        <f>Выжимка!B40</f>
        <v>прочие</v>
      </c>
      <c r="B23" s="106">
        <f>Выжимка!D11</f>
        <v>0</v>
      </c>
      <c r="C23" s="106">
        <f>'1.1 Алыкулова'!C23</f>
        <v>0</v>
      </c>
      <c r="D23" s="106">
        <f>'1.1 Алыкулова'!D23</f>
        <v>0</v>
      </c>
      <c r="E23" s="106">
        <f>'1.1 Алыкулова'!E23</f>
        <v>0</v>
      </c>
      <c r="H23" s="106">
        <v>0</v>
      </c>
      <c r="I23" s="106">
        <v>0</v>
      </c>
      <c r="L23" s="103">
        <v>0</v>
      </c>
      <c r="N23" s="106">
        <v>0</v>
      </c>
      <c r="O23" s="104">
        <v>85</v>
      </c>
      <c r="P23" s="94">
        <v>0</v>
      </c>
      <c r="Q23" s="103">
        <v>0</v>
      </c>
    </row>
    <row r="24" spans="1:17" ht="25.5">
      <c r="A24" s="88" t="s">
        <v>202</v>
      </c>
      <c r="B24" s="94" t="s">
        <v>342</v>
      </c>
      <c r="C24" s="115" t="s">
        <v>204</v>
      </c>
      <c r="D24" s="94" t="s">
        <v>205</v>
      </c>
      <c r="E24" s="115" t="s">
        <v>206</v>
      </c>
      <c r="H24" s="94" t="s">
        <v>343</v>
      </c>
      <c r="I24" s="115" t="s">
        <v>344</v>
      </c>
      <c r="L24" s="94" t="s">
        <v>345</v>
      </c>
      <c r="N24" s="115" t="s">
        <v>346</v>
      </c>
      <c r="O24" s="94" t="s">
        <v>345</v>
      </c>
      <c r="P24" s="209" t="s">
        <v>345</v>
      </c>
      <c r="Q24" s="209" t="s">
        <v>347</v>
      </c>
    </row>
    <row r="25" spans="1:17" ht="25.5">
      <c r="A25" s="88" t="s">
        <v>211</v>
      </c>
      <c r="B25" s="205" t="s">
        <v>644</v>
      </c>
      <c r="C25" s="205" t="s">
        <v>213</v>
      </c>
      <c r="D25" s="205" t="s">
        <v>212</v>
      </c>
      <c r="E25" s="205" t="s">
        <v>214</v>
      </c>
      <c r="H25" s="94" t="s">
        <v>214</v>
      </c>
      <c r="I25" s="94" t="s">
        <v>212</v>
      </c>
      <c r="L25" s="209" t="s">
        <v>214</v>
      </c>
      <c r="N25" s="94" t="s">
        <v>214</v>
      </c>
      <c r="O25" s="94" t="s">
        <v>212</v>
      </c>
      <c r="P25" s="209" t="s">
        <v>212</v>
      </c>
      <c r="Q25" s="209" t="s">
        <v>212</v>
      </c>
    </row>
    <row r="26" spans="1:17" ht="25.5">
      <c r="A26" s="88" t="s">
        <v>215</v>
      </c>
      <c r="B26" s="94" t="s">
        <v>365</v>
      </c>
      <c r="C26" s="94" t="s">
        <v>216</v>
      </c>
      <c r="D26" s="94" t="s">
        <v>217</v>
      </c>
      <c r="E26" s="94" t="s">
        <v>217</v>
      </c>
      <c r="H26" s="94" t="s">
        <v>218</v>
      </c>
      <c r="I26" s="115" t="s">
        <v>216</v>
      </c>
      <c r="L26" s="94" t="s">
        <v>349</v>
      </c>
      <c r="N26" s="94" t="s">
        <v>216</v>
      </c>
      <c r="O26" s="94" t="s">
        <v>216</v>
      </c>
      <c r="P26" s="94" t="s">
        <v>216</v>
      </c>
      <c r="Q26" s="209" t="s">
        <v>217</v>
      </c>
    </row>
    <row r="27" spans="1:17">
      <c r="A27" s="88" t="s">
        <v>220</v>
      </c>
      <c r="B27" s="94" t="s">
        <v>221</v>
      </c>
      <c r="C27" s="115" t="s">
        <v>221</v>
      </c>
      <c r="D27" s="94" t="s">
        <v>221</v>
      </c>
      <c r="E27" s="209" t="s">
        <v>221</v>
      </c>
      <c r="H27" s="94" t="s">
        <v>221</v>
      </c>
      <c r="I27" s="115" t="s">
        <v>221</v>
      </c>
      <c r="L27" s="209" t="s">
        <v>221</v>
      </c>
      <c r="N27" s="94" t="s">
        <v>221</v>
      </c>
      <c r="O27" s="94" t="s">
        <v>221</v>
      </c>
      <c r="P27" s="209" t="s">
        <v>221</v>
      </c>
      <c r="Q27" s="209" t="s">
        <v>221</v>
      </c>
    </row>
    <row r="28" spans="1:17" ht="15">
      <c r="A28" s="88" t="s">
        <v>350</v>
      </c>
      <c r="B28" s="103">
        <v>45550</v>
      </c>
      <c r="C28" s="104">
        <v>5480</v>
      </c>
      <c r="D28" s="103">
        <v>12620</v>
      </c>
      <c r="E28" s="212">
        <v>7800</v>
      </c>
      <c r="H28" s="103">
        <v>6500</v>
      </c>
      <c r="I28" s="115">
        <v>1300</v>
      </c>
      <c r="L28" s="103">
        <v>6000</v>
      </c>
      <c r="N28" s="103">
        <f>6640+5000+595</f>
        <v>12235</v>
      </c>
      <c r="O28" s="103">
        <v>3000</v>
      </c>
      <c r="P28" s="212">
        <v>3200</v>
      </c>
      <c r="Q28" s="103">
        <v>2469</v>
      </c>
    </row>
    <row r="29" spans="1:17" ht="25.5">
      <c r="A29" s="88" t="s">
        <v>226</v>
      </c>
      <c r="B29" s="94" t="s">
        <v>227</v>
      </c>
      <c r="C29" s="94" t="s">
        <v>227</v>
      </c>
      <c r="D29" s="94" t="s">
        <v>228</v>
      </c>
      <c r="E29" s="94" t="s">
        <v>228</v>
      </c>
      <c r="H29" s="115" t="s">
        <v>229</v>
      </c>
      <c r="I29" s="94" t="s">
        <v>227</v>
      </c>
      <c r="L29" s="209" t="s">
        <v>227</v>
      </c>
      <c r="N29" s="115" t="s">
        <v>351</v>
      </c>
      <c r="O29" s="94" t="s">
        <v>227</v>
      </c>
      <c r="P29" s="209" t="s">
        <v>227</v>
      </c>
      <c r="Q29" s="209" t="s">
        <v>227</v>
      </c>
    </row>
    <row r="30" spans="1:17" ht="25.5">
      <c r="A30" s="88" t="s">
        <v>230</v>
      </c>
      <c r="B30" s="97" t="s">
        <v>231</v>
      </c>
      <c r="C30" s="116" t="s">
        <v>231</v>
      </c>
      <c r="D30" s="97" t="s">
        <v>232</v>
      </c>
      <c r="E30" s="116" t="s">
        <v>233</v>
      </c>
      <c r="H30" s="116" t="s">
        <v>231</v>
      </c>
      <c r="I30" s="116" t="s">
        <v>233</v>
      </c>
      <c r="L30" s="213" t="s">
        <v>231</v>
      </c>
      <c r="N30" s="116" t="s">
        <v>231</v>
      </c>
      <c r="O30" s="213" t="s">
        <v>231</v>
      </c>
      <c r="P30" s="214" t="s">
        <v>234</v>
      </c>
      <c r="Q30" s="97" t="s">
        <v>231</v>
      </c>
    </row>
    <row r="31" spans="1:17">
      <c r="A31" s="88" t="s">
        <v>235</v>
      </c>
      <c r="B31" s="97" t="s">
        <v>366</v>
      </c>
      <c r="C31" s="94" t="s">
        <v>236</v>
      </c>
      <c r="D31" s="94" t="s">
        <v>237</v>
      </c>
      <c r="E31" s="201" t="s">
        <v>238</v>
      </c>
      <c r="H31" s="97" t="s">
        <v>238</v>
      </c>
      <c r="I31" s="94" t="s">
        <v>239</v>
      </c>
      <c r="L31" s="201" t="s">
        <v>236</v>
      </c>
      <c r="N31" s="97" t="s">
        <v>238</v>
      </c>
      <c r="O31" s="91" t="s">
        <v>236</v>
      </c>
      <c r="P31" s="201" t="s">
        <v>238</v>
      </c>
      <c r="Q31" s="201" t="s">
        <v>238</v>
      </c>
    </row>
    <row r="32" spans="1:17">
      <c r="A32" s="88" t="s">
        <v>240</v>
      </c>
      <c r="B32" s="94" t="s">
        <v>241</v>
      </c>
      <c r="C32" s="94" t="s">
        <v>239</v>
      </c>
      <c r="D32" s="94" t="s">
        <v>239</v>
      </c>
      <c r="E32" s="209" t="s">
        <v>238</v>
      </c>
      <c r="H32" s="94" t="s">
        <v>239</v>
      </c>
      <c r="I32" s="94" t="s">
        <v>239</v>
      </c>
      <c r="L32" s="209" t="s">
        <v>238</v>
      </c>
      <c r="N32" s="94" t="s">
        <v>239</v>
      </c>
      <c r="O32" s="209" t="s">
        <v>238</v>
      </c>
      <c r="P32" s="209" t="s">
        <v>238</v>
      </c>
      <c r="Q32" s="209" t="s">
        <v>238</v>
      </c>
    </row>
    <row r="33" spans="1:17">
      <c r="A33" s="88" t="s">
        <v>243</v>
      </c>
      <c r="B33" s="117"/>
      <c r="C33" s="94" t="s">
        <v>244</v>
      </c>
      <c r="D33" s="94" t="s">
        <v>245</v>
      </c>
      <c r="E33" s="118" t="s">
        <v>245</v>
      </c>
      <c r="H33" s="118" t="s">
        <v>245</v>
      </c>
      <c r="I33" s="94" t="s">
        <v>245</v>
      </c>
      <c r="L33" s="215" t="s">
        <v>245</v>
      </c>
      <c r="N33" s="118" t="s">
        <v>244</v>
      </c>
      <c r="O33" s="118" t="s">
        <v>245</v>
      </c>
      <c r="P33" s="215" t="s">
        <v>245</v>
      </c>
      <c r="Q33" s="215" t="s">
        <v>244</v>
      </c>
    </row>
    <row r="34" spans="1:17">
      <c r="A34" s="88" t="s">
        <v>122</v>
      </c>
      <c r="B34" s="117"/>
      <c r="C34" s="94">
        <v>1800000</v>
      </c>
      <c r="D34" s="118">
        <v>7200000</v>
      </c>
      <c r="E34" s="209">
        <v>2450000</v>
      </c>
      <c r="H34" s="94">
        <v>2800000</v>
      </c>
      <c r="I34" s="94">
        <v>1300000</v>
      </c>
      <c r="L34" s="118">
        <v>2700000</v>
      </c>
      <c r="N34" s="94">
        <v>5800000</v>
      </c>
      <c r="O34" s="118">
        <v>1500000</v>
      </c>
      <c r="P34" s="215">
        <v>1500000</v>
      </c>
      <c r="Q34" s="209">
        <v>1350000</v>
      </c>
    </row>
    <row r="35" spans="1:17">
      <c r="A35" s="88" t="s">
        <v>246</v>
      </c>
      <c r="B35" s="117"/>
      <c r="C35" s="94">
        <f>C34*долл</f>
        <v>157410000</v>
      </c>
      <c r="D35" s="94">
        <f>D34*долл</f>
        <v>629640000</v>
      </c>
      <c r="E35" s="94">
        <f>E34*долл</f>
        <v>214252500</v>
      </c>
      <c r="H35" s="94">
        <f>H34*долл</f>
        <v>244860000</v>
      </c>
      <c r="I35" s="94">
        <f>I34*долл</f>
        <v>113685000</v>
      </c>
      <c r="L35" s="94">
        <f>L34*долл</f>
        <v>236115000</v>
      </c>
      <c r="N35" s="94">
        <f>N34*долл</f>
        <v>507210000</v>
      </c>
      <c r="O35" s="94">
        <f>O34*долл</f>
        <v>131175000</v>
      </c>
      <c r="P35" s="94">
        <f>P34*долл</f>
        <v>131175000</v>
      </c>
      <c r="Q35" s="94">
        <f>Q34*долл</f>
        <v>118057500</v>
      </c>
    </row>
    <row r="36" spans="1:17" ht="15">
      <c r="A36" s="88" t="s">
        <v>247</v>
      </c>
      <c r="B36" s="115"/>
      <c r="C36" s="115">
        <f>C34/C14</f>
        <v>962.56684491978615</v>
      </c>
      <c r="D36" s="115">
        <f>D34/D14</f>
        <v>1029.1595197255574</v>
      </c>
      <c r="E36" s="115">
        <f>E34/E14</f>
        <v>734.17038746216781</v>
      </c>
      <c r="H36" s="115">
        <f>H34/H14</f>
        <v>823.52941176470586</v>
      </c>
      <c r="I36" s="115">
        <f>I34/I14</f>
        <v>682.05666316894019</v>
      </c>
      <c r="L36" s="104">
        <f>L34/L14</f>
        <v>1090.4684975767366</v>
      </c>
      <c r="N36" s="115">
        <f>N34/N14</f>
        <v>1017.543859649123</v>
      </c>
      <c r="O36" s="115">
        <f>O34/O14</f>
        <v>1066.0980810234541</v>
      </c>
      <c r="P36" s="115">
        <f>P34/P14</f>
        <v>833.33333333333337</v>
      </c>
      <c r="Q36" s="115">
        <f>Q34/Q14</f>
        <v>591.27540294323762</v>
      </c>
    </row>
    <row r="37" spans="1:17" ht="15">
      <c r="A37" s="88" t="s">
        <v>248</v>
      </c>
      <c r="B37" s="115"/>
      <c r="C37" s="115">
        <f>C36*долл</f>
        <v>84176.470588235301</v>
      </c>
      <c r="D37" s="115">
        <f>D36*долл</f>
        <v>90000</v>
      </c>
      <c r="E37" s="115">
        <f>E36*долл</f>
        <v>64203.200383566575</v>
      </c>
      <c r="H37" s="115">
        <f>H36*долл</f>
        <v>72017.647058823524</v>
      </c>
      <c r="I37" s="115">
        <f>I36*долл</f>
        <v>59645.855194123818</v>
      </c>
      <c r="L37" s="115">
        <f>L36*долл</f>
        <v>95361.470113085612</v>
      </c>
      <c r="N37" s="115">
        <f>N36*долл</f>
        <v>88984.210526315801</v>
      </c>
      <c r="O37" s="115">
        <f>O36*долл</f>
        <v>93230.277185501065</v>
      </c>
      <c r="P37" s="115">
        <f>P36*долл</f>
        <v>72875</v>
      </c>
      <c r="Q37" s="115">
        <f>Q36*долл</f>
        <v>51707.03398738613</v>
      </c>
    </row>
    <row r="38" spans="1:17">
      <c r="A38" s="119" t="s">
        <v>249</v>
      </c>
      <c r="B38" s="87" t="s">
        <v>159</v>
      </c>
      <c r="C38" s="87" t="str">
        <f>C6</f>
        <v>Аналог 1</v>
      </c>
      <c r="D38" s="87" t="str">
        <f>D6</f>
        <v>Аналог 2</v>
      </c>
      <c r="E38" s="87" t="str">
        <f>E6</f>
        <v>Аналог 3</v>
      </c>
      <c r="H38" s="87" t="str">
        <f>H6</f>
        <v>Аналог 3</v>
      </c>
      <c r="I38" s="87" t="str">
        <f>I6</f>
        <v>Аналог 1</v>
      </c>
      <c r="L38" s="87" t="str">
        <f>L6</f>
        <v>Аналог 2</v>
      </c>
      <c r="N38" s="87" t="str">
        <f>N6</f>
        <v>Аналог 3</v>
      </c>
      <c r="O38" s="87" t="str">
        <f>O6</f>
        <v>Аналог 1</v>
      </c>
      <c r="P38" s="87" t="str">
        <f>P6</f>
        <v>Аналог 3</v>
      </c>
      <c r="Q38" s="87" t="str">
        <f>Q6</f>
        <v>Аналог 3</v>
      </c>
    </row>
    <row r="39" spans="1:17" s="207" customFormat="1" hidden="1" outlineLevel="1">
      <c r="A39" s="120" t="s">
        <v>250</v>
      </c>
      <c r="B39" s="121"/>
      <c r="C39" s="122">
        <v>1</v>
      </c>
      <c r="D39" s="122">
        <v>1</v>
      </c>
      <c r="E39" s="122">
        <v>1</v>
      </c>
      <c r="H39" s="122">
        <v>1</v>
      </c>
      <c r="I39" s="122">
        <v>1</v>
      </c>
      <c r="L39" s="122">
        <v>1</v>
      </c>
      <c r="N39" s="122">
        <v>1</v>
      </c>
      <c r="O39" s="122">
        <v>1</v>
      </c>
      <c r="P39" s="122">
        <v>1</v>
      </c>
      <c r="Q39" s="122">
        <v>1</v>
      </c>
    </row>
    <row r="40" spans="1:17" s="207" customFormat="1" ht="15" hidden="1" outlineLevel="1">
      <c r="A40" s="123" t="s">
        <v>352</v>
      </c>
      <c r="B40" s="124"/>
      <c r="C40" s="124">
        <f>C39*C37</f>
        <v>84176.470588235301</v>
      </c>
      <c r="D40" s="124">
        <f>D39*D37</f>
        <v>90000</v>
      </c>
      <c r="E40" s="124">
        <f>E39*E37</f>
        <v>64203.200383566575</v>
      </c>
      <c r="H40" s="124">
        <f>H39*H37</f>
        <v>72017.647058823524</v>
      </c>
      <c r="I40" s="124">
        <f>I39*I37</f>
        <v>59645.855194123818</v>
      </c>
      <c r="L40" s="124">
        <f>L39*L37</f>
        <v>95361.470113085612</v>
      </c>
      <c r="N40" s="124">
        <f>N39*N37</f>
        <v>88984.210526315801</v>
      </c>
      <c r="O40" s="124">
        <f>O39*O37</f>
        <v>93230.277185501065</v>
      </c>
      <c r="P40" s="124">
        <f>P39*P37</f>
        <v>72875</v>
      </c>
      <c r="Q40" s="124">
        <f>Q39*Q37</f>
        <v>51707.03398738613</v>
      </c>
    </row>
    <row r="41" spans="1:17" collapsed="1">
      <c r="A41" s="130" t="s">
        <v>252</v>
      </c>
      <c r="B41" s="115"/>
      <c r="C41" s="131">
        <v>0.95</v>
      </c>
      <c r="D41" s="131">
        <v>0.9</v>
      </c>
      <c r="E41" s="131">
        <v>0.9</v>
      </c>
      <c r="H41" s="131">
        <v>0.9</v>
      </c>
      <c r="I41" s="131">
        <v>0.9</v>
      </c>
      <c r="L41" s="131">
        <v>0.9</v>
      </c>
      <c r="N41" s="131">
        <v>0.85</v>
      </c>
      <c r="O41" s="131">
        <v>0.9</v>
      </c>
      <c r="P41" s="131">
        <v>0.95</v>
      </c>
      <c r="Q41" s="131">
        <v>0.95</v>
      </c>
    </row>
    <row r="42" spans="1:17" ht="15">
      <c r="A42" s="132" t="s">
        <v>352</v>
      </c>
      <c r="B42" s="133"/>
      <c r="C42" s="133">
        <f>C41*C40</f>
        <v>79967.647058823539</v>
      </c>
      <c r="D42" s="133">
        <f>D41*D40</f>
        <v>81000</v>
      </c>
      <c r="E42" s="133">
        <f>E41*E40</f>
        <v>57782.880345209916</v>
      </c>
      <c r="H42" s="133">
        <f>H41*H40</f>
        <v>64815.882352941175</v>
      </c>
      <c r="I42" s="133">
        <f>I41*I40</f>
        <v>53681.269674711439</v>
      </c>
      <c r="L42" s="133">
        <f>L41*L40</f>
        <v>85825.323101777059</v>
      </c>
      <c r="N42" s="133">
        <f>N41*N40</f>
        <v>75636.578947368427</v>
      </c>
      <c r="O42" s="133">
        <f>O41*O40</f>
        <v>83907.249466950962</v>
      </c>
      <c r="P42" s="133">
        <f>P41*P40</f>
        <v>69231.25</v>
      </c>
      <c r="Q42" s="133">
        <f>Q41*Q40</f>
        <v>49121.682288016818</v>
      </c>
    </row>
    <row r="43" spans="1:17">
      <c r="A43" s="130" t="s">
        <v>253</v>
      </c>
      <c r="B43" s="115"/>
      <c r="C43" s="131">
        <v>1</v>
      </c>
      <c r="D43" s="131">
        <v>1</v>
      </c>
      <c r="E43" s="131">
        <v>1</v>
      </c>
      <c r="H43" s="131">
        <v>1</v>
      </c>
      <c r="I43" s="131">
        <v>1</v>
      </c>
      <c r="L43" s="131">
        <v>1</v>
      </c>
      <c r="N43" s="131">
        <v>1</v>
      </c>
      <c r="O43" s="131">
        <v>1</v>
      </c>
      <c r="P43" s="131">
        <v>1</v>
      </c>
      <c r="Q43" s="131">
        <v>1</v>
      </c>
    </row>
    <row r="44" spans="1:17" ht="15">
      <c r="A44" s="132" t="s">
        <v>352</v>
      </c>
      <c r="B44" s="133"/>
      <c r="C44" s="133">
        <f>C43*C42</f>
        <v>79967.647058823539</v>
      </c>
      <c r="D44" s="133">
        <f>D43*D42</f>
        <v>81000</v>
      </c>
      <c r="E44" s="133">
        <f>E43*E42</f>
        <v>57782.880345209916</v>
      </c>
      <c r="H44" s="133">
        <f>H43*H42</f>
        <v>64815.882352941175</v>
      </c>
      <c r="I44" s="133">
        <f>I43*I42</f>
        <v>53681.269674711439</v>
      </c>
      <c r="L44" s="133">
        <f>L43*L42</f>
        <v>85825.323101777059</v>
      </c>
      <c r="N44" s="133">
        <f>N43*N42</f>
        <v>75636.578947368427</v>
      </c>
      <c r="O44" s="133">
        <f>O43*O42</f>
        <v>83907.249466950962</v>
      </c>
      <c r="P44" s="133">
        <f>P43*P42</f>
        <v>69231.25</v>
      </c>
      <c r="Q44" s="133">
        <f>Q43*Q42</f>
        <v>49121.682288016818</v>
      </c>
    </row>
    <row r="45" spans="1:17">
      <c r="A45" s="130" t="s">
        <v>254</v>
      </c>
      <c r="B45" s="115"/>
      <c r="C45" s="131">
        <v>0.92</v>
      </c>
      <c r="D45" s="131">
        <v>0.8</v>
      </c>
      <c r="E45" s="131">
        <v>1.1000000000000001</v>
      </c>
      <c r="H45" s="131">
        <v>1.1000000000000001</v>
      </c>
      <c r="I45" s="131">
        <v>0.92</v>
      </c>
      <c r="L45" s="131">
        <v>0.8</v>
      </c>
      <c r="N45" s="131">
        <v>1.1000000000000001</v>
      </c>
      <c r="O45" s="131">
        <v>1</v>
      </c>
      <c r="P45" s="131">
        <v>1.1000000000000001</v>
      </c>
      <c r="Q45" s="131">
        <v>1.1000000000000001</v>
      </c>
    </row>
    <row r="46" spans="1:17" ht="15">
      <c r="A46" s="132" t="s">
        <v>352</v>
      </c>
      <c r="B46" s="133"/>
      <c r="C46" s="133">
        <f>C45*C44</f>
        <v>73570.235294117665</v>
      </c>
      <c r="D46" s="133">
        <f>D45*D44</f>
        <v>64800</v>
      </c>
      <c r="E46" s="133">
        <f>E45*E44</f>
        <v>63561.168379730916</v>
      </c>
      <c r="H46" s="133">
        <f>H45*H44</f>
        <v>71297.470588235301</v>
      </c>
      <c r="I46" s="133">
        <f>I45*I44</f>
        <v>49386.768100734524</v>
      </c>
      <c r="L46" s="133">
        <f>L45*L44</f>
        <v>68660.258481421653</v>
      </c>
      <c r="N46" s="133">
        <f>N45*N44</f>
        <v>83200.236842105282</v>
      </c>
      <c r="O46" s="133">
        <f>O45*O44</f>
        <v>83907.249466950962</v>
      </c>
      <c r="P46" s="133">
        <f>P45*P44</f>
        <v>76154.375</v>
      </c>
      <c r="Q46" s="133">
        <f>Q45*Q44</f>
        <v>54033.850516818507</v>
      </c>
    </row>
    <row r="47" spans="1:17">
      <c r="A47" s="216" t="s">
        <v>255</v>
      </c>
      <c r="B47" s="217"/>
      <c r="C47" s="218">
        <v>1</v>
      </c>
      <c r="D47" s="218">
        <v>1</v>
      </c>
      <c r="E47" s="218">
        <v>0.9</v>
      </c>
      <c r="H47" s="131">
        <v>0.9</v>
      </c>
      <c r="I47" s="131">
        <v>1</v>
      </c>
      <c r="L47" s="131">
        <v>1.05</v>
      </c>
      <c r="N47" s="131">
        <v>0.8</v>
      </c>
      <c r="O47" s="131">
        <v>0.95</v>
      </c>
      <c r="P47" s="131">
        <v>1.5</v>
      </c>
      <c r="Q47" s="131">
        <v>1.5</v>
      </c>
    </row>
    <row r="48" spans="1:17" ht="15">
      <c r="A48" s="219" t="s">
        <v>352</v>
      </c>
      <c r="B48" s="220"/>
      <c r="C48" s="220">
        <f>C47*C46</f>
        <v>73570.235294117665</v>
      </c>
      <c r="D48" s="220">
        <f>D47*D46</f>
        <v>64800</v>
      </c>
      <c r="E48" s="220">
        <f>E47*E46</f>
        <v>57205.051541757828</v>
      </c>
      <c r="H48" s="133">
        <f>H47*H46</f>
        <v>64167.723529411771</v>
      </c>
      <c r="I48" s="133">
        <f>I47*I46</f>
        <v>49386.768100734524</v>
      </c>
      <c r="L48" s="133">
        <f>L47*L46</f>
        <v>72093.271405492735</v>
      </c>
      <c r="N48" s="133">
        <f>N47*N46</f>
        <v>66560.189473684222</v>
      </c>
      <c r="O48" s="133">
        <f>O47*O46</f>
        <v>79711.886993603403</v>
      </c>
      <c r="P48" s="133">
        <f>P47*P46</f>
        <v>114231.5625</v>
      </c>
      <c r="Q48" s="133">
        <f>Q47*Q46</f>
        <v>81050.775775227754</v>
      </c>
    </row>
    <row r="49" spans="1:17">
      <c r="A49" s="130" t="s">
        <v>256</v>
      </c>
      <c r="B49" s="133"/>
      <c r="C49" s="131">
        <v>1</v>
      </c>
      <c r="D49" s="131">
        <v>1</v>
      </c>
      <c r="E49" s="131">
        <v>1</v>
      </c>
      <c r="H49" s="131">
        <v>1</v>
      </c>
      <c r="I49" s="131">
        <v>1</v>
      </c>
      <c r="L49" s="131">
        <v>1</v>
      </c>
      <c r="N49" s="131">
        <v>1</v>
      </c>
      <c r="O49" s="131">
        <v>1</v>
      </c>
      <c r="P49" s="131">
        <v>1</v>
      </c>
      <c r="Q49" s="131">
        <v>1</v>
      </c>
    </row>
    <row r="50" spans="1:17" ht="15">
      <c r="A50" s="132" t="s">
        <v>352</v>
      </c>
      <c r="B50" s="133"/>
      <c r="C50" s="133">
        <f>C48*C49</f>
        <v>73570.235294117665</v>
      </c>
      <c r="D50" s="133">
        <f>D48*D49</f>
        <v>64800</v>
      </c>
      <c r="E50" s="133">
        <f>E48*E49</f>
        <v>57205.051541757828</v>
      </c>
      <c r="H50" s="133">
        <f>H48*H49</f>
        <v>64167.723529411771</v>
      </c>
      <c r="I50" s="133">
        <f>I48*I49</f>
        <v>49386.768100734524</v>
      </c>
      <c r="L50" s="133">
        <f>L48*L49</f>
        <v>72093.271405492735</v>
      </c>
      <c r="N50" s="133">
        <f>N48*N49</f>
        <v>66560.189473684222</v>
      </c>
      <c r="O50" s="133">
        <f>O48*O49</f>
        <v>79711.886993603403</v>
      </c>
      <c r="P50" s="133">
        <f>P48*P49</f>
        <v>114231.5625</v>
      </c>
      <c r="Q50" s="133">
        <f>Q48*Q49</f>
        <v>81050.775775227754</v>
      </c>
    </row>
    <row r="51" spans="1:17">
      <c r="A51" s="216" t="s">
        <v>257</v>
      </c>
      <c r="B51" s="217"/>
      <c r="C51" s="218">
        <v>0.98</v>
      </c>
      <c r="D51" s="218">
        <v>1.02</v>
      </c>
      <c r="E51" s="218">
        <v>1.02</v>
      </c>
      <c r="H51" s="131">
        <v>0.98</v>
      </c>
      <c r="I51" s="131">
        <v>0.98</v>
      </c>
      <c r="L51" s="131">
        <v>1</v>
      </c>
      <c r="N51" s="131">
        <v>0.98</v>
      </c>
      <c r="O51" s="131">
        <v>0.9</v>
      </c>
      <c r="P51" s="131">
        <v>0.98</v>
      </c>
      <c r="Q51" s="131">
        <v>0.98</v>
      </c>
    </row>
    <row r="52" spans="1:17" ht="15">
      <c r="A52" s="219" t="s">
        <v>352</v>
      </c>
      <c r="B52" s="220"/>
      <c r="C52" s="220">
        <f>C51*C50</f>
        <v>72098.830588235316</v>
      </c>
      <c r="D52" s="220">
        <f>D51*D50</f>
        <v>66096</v>
      </c>
      <c r="E52" s="220">
        <f>E51*E50</f>
        <v>58349.152572592982</v>
      </c>
      <c r="H52" s="133">
        <f>H51*H50</f>
        <v>62884.369058823533</v>
      </c>
      <c r="I52" s="133">
        <f>I51*I50</f>
        <v>48399.032738719834</v>
      </c>
      <c r="L52" s="133">
        <f>L51*L50</f>
        <v>72093.271405492735</v>
      </c>
      <c r="N52" s="133">
        <f>N51*N50</f>
        <v>65228.985684210536</v>
      </c>
      <c r="O52" s="133">
        <f>O51*O50</f>
        <v>71740.698294243062</v>
      </c>
      <c r="P52" s="133">
        <f>P51*P50</f>
        <v>111946.93124999999</v>
      </c>
      <c r="Q52" s="133">
        <f>Q51*Q50</f>
        <v>79429.760259723203</v>
      </c>
    </row>
    <row r="53" spans="1:17" ht="13.5" customHeight="1">
      <c r="A53" s="130" t="s">
        <v>258</v>
      </c>
      <c r="B53" s="133"/>
      <c r="C53" s="131">
        <f>MROUND(C125,0.02)</f>
        <v>1.3</v>
      </c>
      <c r="D53" s="131">
        <f>MROUND(D125,0.02)</f>
        <v>1.04</v>
      </c>
      <c r="E53" s="131">
        <f t="shared" ref="E53" si="2">MROUND(E125,0.02)</f>
        <v>0.92</v>
      </c>
      <c r="H53" s="131">
        <f>MROUND(H125,0.02)</f>
        <v>1.3800000000000001</v>
      </c>
      <c r="I53" s="131">
        <f>MROUND(I125,0.02)</f>
        <v>1.3</v>
      </c>
      <c r="L53" s="131">
        <f>MROUND(L125,0.02)</f>
        <v>1.6</v>
      </c>
      <c r="N53" s="131">
        <f>MROUND(N125,0.02)</f>
        <v>1.04</v>
      </c>
      <c r="O53" s="131">
        <f>MROUND(O125,0.02)</f>
        <v>1.06</v>
      </c>
      <c r="P53" s="131">
        <f>MROUND(P125,0.02)</f>
        <v>0.9</v>
      </c>
      <c r="Q53" s="131">
        <f>MROUND(Q125,0.02)</f>
        <v>1.1000000000000001</v>
      </c>
    </row>
    <row r="54" spans="1:17" ht="15">
      <c r="A54" s="132" t="s">
        <v>352</v>
      </c>
      <c r="B54" s="133"/>
      <c r="C54" s="133">
        <f>C53*C52</f>
        <v>93728.479764705917</v>
      </c>
      <c r="D54" s="133">
        <f>D53*D52</f>
        <v>68739.839999999997</v>
      </c>
      <c r="E54" s="133">
        <f>E53*E52</f>
        <v>53681.220366785543</v>
      </c>
      <c r="H54" s="133">
        <f>H53*H52</f>
        <v>86780.429301176482</v>
      </c>
      <c r="I54" s="133">
        <f>I53*I52</f>
        <v>62918.742560335784</v>
      </c>
      <c r="L54" s="133">
        <f>L53*L52</f>
        <v>115349.23424878839</v>
      </c>
      <c r="N54" s="133">
        <f>N53*N52</f>
        <v>67838.145111578953</v>
      </c>
      <c r="O54" s="133">
        <f>O53*O52</f>
        <v>76045.140191897648</v>
      </c>
      <c r="P54" s="133">
        <f>P53*P52</f>
        <v>100752.238125</v>
      </c>
      <c r="Q54" s="133">
        <f>Q53*Q52</f>
        <v>87372.73628569553</v>
      </c>
    </row>
    <row r="55" spans="1:17">
      <c r="A55" s="130" t="s">
        <v>263</v>
      </c>
      <c r="B55" s="115"/>
      <c r="C55" s="131">
        <v>1</v>
      </c>
      <c r="D55" s="131">
        <v>1</v>
      </c>
      <c r="E55" s="131">
        <v>1</v>
      </c>
      <c r="H55" s="131">
        <v>1</v>
      </c>
      <c r="I55" s="131">
        <v>1</v>
      </c>
      <c r="L55" s="131">
        <v>1</v>
      </c>
      <c r="N55" s="131">
        <v>1</v>
      </c>
      <c r="O55" s="131">
        <v>0.9</v>
      </c>
      <c r="P55" s="131">
        <v>1</v>
      </c>
      <c r="Q55" s="131">
        <v>1</v>
      </c>
    </row>
    <row r="56" spans="1:17" ht="15">
      <c r="A56" s="132" t="s">
        <v>352</v>
      </c>
      <c r="B56" s="133"/>
      <c r="C56" s="133">
        <f>C55*C54</f>
        <v>93728.479764705917</v>
      </c>
      <c r="D56" s="133">
        <f>D55*D54</f>
        <v>68739.839999999997</v>
      </c>
      <c r="E56" s="133">
        <f>E55*E54</f>
        <v>53681.220366785543</v>
      </c>
      <c r="H56" s="133">
        <f>H55*H54</f>
        <v>86780.429301176482</v>
      </c>
      <c r="I56" s="133">
        <f>I55*I54</f>
        <v>62918.742560335784</v>
      </c>
      <c r="L56" s="133">
        <f>L55*L54</f>
        <v>115349.23424878839</v>
      </c>
      <c r="N56" s="133">
        <f>N55*N54</f>
        <v>67838.145111578953</v>
      </c>
      <c r="O56" s="133">
        <f>O55*O54</f>
        <v>68440.626172707882</v>
      </c>
      <c r="P56" s="133">
        <f>P55*P54</f>
        <v>100752.238125</v>
      </c>
      <c r="Q56" s="133">
        <f>Q55*Q54</f>
        <v>87372.73628569553</v>
      </c>
    </row>
    <row r="57" spans="1:17">
      <c r="A57" s="216" t="s">
        <v>260</v>
      </c>
      <c r="B57" s="220"/>
      <c r="C57" s="218">
        <v>1.02</v>
      </c>
      <c r="D57" s="218">
        <v>0.92</v>
      </c>
      <c r="E57" s="218">
        <v>0.9</v>
      </c>
      <c r="H57" s="131">
        <v>0.88</v>
      </c>
      <c r="I57" s="131">
        <v>0.88</v>
      </c>
      <c r="L57" s="131">
        <v>1</v>
      </c>
      <c r="N57" s="131">
        <v>0.9</v>
      </c>
      <c r="O57" s="131">
        <v>0.9</v>
      </c>
      <c r="P57" s="131">
        <v>1.05</v>
      </c>
      <c r="Q57" s="131">
        <v>1.05</v>
      </c>
    </row>
    <row r="58" spans="1:17" ht="15">
      <c r="A58" s="219" t="s">
        <v>352</v>
      </c>
      <c r="B58" s="220"/>
      <c r="C58" s="220">
        <f>C57*C56</f>
        <v>95603.049360000034</v>
      </c>
      <c r="D58" s="220">
        <f>D57*D56</f>
        <v>63240.652799999996</v>
      </c>
      <c r="E58" s="220">
        <f>E57*E56</f>
        <v>48313.098330106986</v>
      </c>
      <c r="H58" s="133">
        <f>H57*H56</f>
        <v>76366.777785035301</v>
      </c>
      <c r="I58" s="133">
        <f>I57*I56</f>
        <v>55368.493453095492</v>
      </c>
      <c r="L58" s="133">
        <f>L57*L56</f>
        <v>115349.23424878839</v>
      </c>
      <c r="N58" s="133">
        <f>N57*N56</f>
        <v>61054.330600421061</v>
      </c>
      <c r="O58" s="133">
        <f>O57*O56</f>
        <v>61596.563555437097</v>
      </c>
      <c r="P58" s="133">
        <f>P57*P56</f>
        <v>105789.85003125001</v>
      </c>
      <c r="Q58" s="133">
        <f>Q57*Q56</f>
        <v>91741.373099980308</v>
      </c>
    </row>
    <row r="59" spans="1:17">
      <c r="A59" s="216" t="s">
        <v>261</v>
      </c>
      <c r="B59" s="220"/>
      <c r="C59" s="218">
        <v>1.05</v>
      </c>
      <c r="D59" s="218">
        <v>1.1000000000000001</v>
      </c>
      <c r="E59" s="218">
        <v>1.1499999999999999</v>
      </c>
      <c r="H59" s="131">
        <v>1.1499999999999999</v>
      </c>
      <c r="I59" s="131">
        <v>0.95</v>
      </c>
      <c r="L59" s="131">
        <v>0.9</v>
      </c>
      <c r="N59" s="131">
        <v>1.05</v>
      </c>
      <c r="O59" s="131">
        <v>1.1000000000000001</v>
      </c>
      <c r="P59" s="131">
        <v>1</v>
      </c>
      <c r="Q59" s="131">
        <v>1</v>
      </c>
    </row>
    <row r="60" spans="1:17" ht="15">
      <c r="A60" s="219" t="s">
        <v>352</v>
      </c>
      <c r="B60" s="220"/>
      <c r="C60" s="220">
        <f>C59*C58</f>
        <v>100383.20182800003</v>
      </c>
      <c r="D60" s="220">
        <f>D59*D58</f>
        <v>69564.718080000006</v>
      </c>
      <c r="E60" s="220">
        <f>E59*E58</f>
        <v>55560.063079623033</v>
      </c>
      <c r="H60" s="133">
        <f>H59*H58</f>
        <v>87821.794452790593</v>
      </c>
      <c r="I60" s="133">
        <f>I59*I58</f>
        <v>52600.068780440713</v>
      </c>
      <c r="L60" s="133">
        <f>L59*L58</f>
        <v>103814.31082390955</v>
      </c>
      <c r="N60" s="133">
        <f>N59*N58</f>
        <v>64107.047130442115</v>
      </c>
      <c r="O60" s="133">
        <f>O59*O58</f>
        <v>67756.219910980813</v>
      </c>
      <c r="P60" s="133">
        <f>P59*P58</f>
        <v>105789.85003125001</v>
      </c>
      <c r="Q60" s="133">
        <f>Q59*Q58</f>
        <v>91741.373099980308</v>
      </c>
    </row>
    <row r="61" spans="1:17">
      <c r="A61" s="130" t="s">
        <v>262</v>
      </c>
      <c r="B61" s="115"/>
      <c r="C61" s="131">
        <v>1</v>
      </c>
      <c r="D61" s="131">
        <v>1</v>
      </c>
      <c r="E61" s="131">
        <v>1</v>
      </c>
      <c r="H61" s="131">
        <v>1.02</v>
      </c>
      <c r="I61" s="131">
        <v>1</v>
      </c>
      <c r="L61" s="131">
        <v>0.95</v>
      </c>
      <c r="N61" s="131">
        <v>1</v>
      </c>
      <c r="O61" s="131">
        <v>1</v>
      </c>
      <c r="P61" s="131">
        <v>1</v>
      </c>
      <c r="Q61" s="131">
        <v>1</v>
      </c>
    </row>
    <row r="62" spans="1:17" ht="15">
      <c r="A62" s="132" t="s">
        <v>352</v>
      </c>
      <c r="B62" s="133"/>
      <c r="C62" s="133">
        <f>C61*C60</f>
        <v>100383.20182800003</v>
      </c>
      <c r="D62" s="133">
        <f>D61*D60</f>
        <v>69564.718080000006</v>
      </c>
      <c r="E62" s="133">
        <f>E61*E60</f>
        <v>55560.063079623033</v>
      </c>
      <c r="H62" s="133">
        <f>H61*H60</f>
        <v>89578.2303418464</v>
      </c>
      <c r="I62" s="133">
        <f>I61*I60</f>
        <v>52600.068780440713</v>
      </c>
      <c r="L62" s="133">
        <f>L61*L60</f>
        <v>98623.595282714057</v>
      </c>
      <c r="N62" s="133">
        <f>N61*N60</f>
        <v>64107.047130442115</v>
      </c>
      <c r="O62" s="133">
        <f>O61*O60</f>
        <v>67756.219910980813</v>
      </c>
      <c r="P62" s="133">
        <f>P61*P60</f>
        <v>105789.85003125001</v>
      </c>
      <c r="Q62" s="133">
        <f>Q61*Q60</f>
        <v>91741.373099980308</v>
      </c>
    </row>
    <row r="63" spans="1:17">
      <c r="A63" s="130" t="s">
        <v>265</v>
      </c>
      <c r="B63" s="115"/>
      <c r="C63" s="131">
        <v>1</v>
      </c>
      <c r="D63" s="131">
        <v>0.98</v>
      </c>
      <c r="E63" s="131">
        <v>1.02</v>
      </c>
      <c r="H63" s="131">
        <v>1</v>
      </c>
      <c r="I63" s="131">
        <v>1.02</v>
      </c>
      <c r="L63" s="131">
        <v>1.02</v>
      </c>
      <c r="N63" s="131">
        <v>1</v>
      </c>
      <c r="O63" s="131">
        <v>1</v>
      </c>
      <c r="P63" s="131">
        <v>1</v>
      </c>
      <c r="Q63" s="131">
        <v>1</v>
      </c>
    </row>
    <row r="64" spans="1:17" ht="15">
      <c r="A64" s="132" t="s">
        <v>352</v>
      </c>
      <c r="B64" s="133"/>
      <c r="C64" s="133">
        <f>C63*C62</f>
        <v>100383.20182800003</v>
      </c>
      <c r="D64" s="133">
        <f>D63*D62</f>
        <v>68173.423718400009</v>
      </c>
      <c r="E64" s="133">
        <f>E63*E62</f>
        <v>56671.264341215494</v>
      </c>
      <c r="H64" s="133">
        <f>H63*H62</f>
        <v>89578.2303418464</v>
      </c>
      <c r="I64" s="133">
        <f>I63*I62</f>
        <v>53652.070156049529</v>
      </c>
      <c r="L64" s="133">
        <f>L63*L62</f>
        <v>100596.06718836834</v>
      </c>
      <c r="N64" s="133">
        <f>N63*N62</f>
        <v>64107.047130442115</v>
      </c>
      <c r="O64" s="133">
        <f>O63*O62</f>
        <v>67756.219910980813</v>
      </c>
      <c r="P64" s="133">
        <f>P63*P62</f>
        <v>105789.85003125001</v>
      </c>
      <c r="Q64" s="133">
        <f>Q63*Q62</f>
        <v>91741.373099980308</v>
      </c>
    </row>
    <row r="65" spans="1:17">
      <c r="A65" s="130" t="s">
        <v>266</v>
      </c>
      <c r="B65" s="115"/>
      <c r="C65" s="131">
        <f>C136</f>
        <v>0.94000000000000006</v>
      </c>
      <c r="D65" s="131">
        <f>D136</f>
        <v>1.06</v>
      </c>
      <c r="E65" s="131">
        <f>E136</f>
        <v>1</v>
      </c>
      <c r="H65" s="131">
        <f>H136</f>
        <v>1.04</v>
      </c>
      <c r="I65" s="131">
        <f>I136</f>
        <v>1.26</v>
      </c>
      <c r="L65" s="131">
        <f>L136</f>
        <v>0.98</v>
      </c>
      <c r="N65" s="131">
        <f>N136</f>
        <v>1.02</v>
      </c>
      <c r="O65" s="131">
        <f>O136</f>
        <v>1.02</v>
      </c>
      <c r="P65" s="131">
        <f>P136</f>
        <v>1.04</v>
      </c>
      <c r="Q65" s="131">
        <f>Q136</f>
        <v>1.1200000000000001</v>
      </c>
    </row>
    <row r="66" spans="1:17" ht="15">
      <c r="A66" s="132" t="s">
        <v>352</v>
      </c>
      <c r="B66" s="133"/>
      <c r="C66" s="133">
        <f>C65*C64</f>
        <v>94360.209718320039</v>
      </c>
      <c r="D66" s="133">
        <f>D65*D64</f>
        <v>72263.829141504015</v>
      </c>
      <c r="E66" s="133">
        <f>E65*E64</f>
        <v>56671.264341215494</v>
      </c>
      <c r="H66" s="133">
        <f>H65*H64</f>
        <v>93161.359555520263</v>
      </c>
      <c r="I66" s="133">
        <f>I65*I64</f>
        <v>67601.608396622411</v>
      </c>
      <c r="L66" s="133">
        <f>L65*L64</f>
        <v>98584.145844600964</v>
      </c>
      <c r="N66" s="133">
        <f>N65*N64</f>
        <v>65389.188073050958</v>
      </c>
      <c r="O66" s="133">
        <f>O65*O64</f>
        <v>69111.344309200431</v>
      </c>
      <c r="P66" s="133">
        <f>P65*P64</f>
        <v>110021.44403250002</v>
      </c>
      <c r="Q66" s="133">
        <f>Q65*Q64</f>
        <v>102750.33787197796</v>
      </c>
    </row>
    <row r="67" spans="1:17">
      <c r="A67" s="130" t="s">
        <v>267</v>
      </c>
      <c r="B67" s="115"/>
      <c r="C67" s="131">
        <v>0.88</v>
      </c>
      <c r="D67" s="131">
        <v>0.92</v>
      </c>
      <c r="E67" s="131">
        <v>0.9</v>
      </c>
      <c r="H67" s="131">
        <v>0.9</v>
      </c>
      <c r="I67" s="131">
        <v>0.88</v>
      </c>
      <c r="L67" s="131">
        <v>0.85</v>
      </c>
      <c r="N67" s="131">
        <v>0.8</v>
      </c>
      <c r="O67" s="131">
        <v>0.9</v>
      </c>
      <c r="P67" s="131">
        <v>1</v>
      </c>
      <c r="Q67" s="131">
        <v>1</v>
      </c>
    </row>
    <row r="68" spans="1:17" ht="15">
      <c r="A68" s="132" t="s">
        <v>352</v>
      </c>
      <c r="B68" s="134"/>
      <c r="C68" s="133">
        <f>C67*C66</f>
        <v>83036.984552121634</v>
      </c>
      <c r="D68" s="133">
        <f>D67*D66</f>
        <v>66482.722810183695</v>
      </c>
      <c r="E68" s="133">
        <f>E67*E66</f>
        <v>51004.137907093944</v>
      </c>
      <c r="H68" s="133">
        <f>H67*H66</f>
        <v>83845.223599968245</v>
      </c>
      <c r="I68" s="133">
        <f>I67*I66</f>
        <v>59489.415389027723</v>
      </c>
      <c r="L68" s="133">
        <f>L67*L66</f>
        <v>83796.52396791082</v>
      </c>
      <c r="N68" s="133">
        <f>N67*N66</f>
        <v>52311.350458440771</v>
      </c>
      <c r="O68" s="133">
        <f>O67*O66</f>
        <v>62200.209878280388</v>
      </c>
      <c r="P68" s="133">
        <f>P67*P66</f>
        <v>110021.44403250002</v>
      </c>
      <c r="Q68" s="133">
        <f>Q67*Q66</f>
        <v>102750.33787197796</v>
      </c>
    </row>
    <row r="69" spans="1:17">
      <c r="A69" s="130" t="s">
        <v>268</v>
      </c>
      <c r="B69" s="134"/>
      <c r="C69" s="131">
        <v>1.1499999999999999</v>
      </c>
      <c r="D69" s="131">
        <v>1.1000000000000001</v>
      </c>
      <c r="E69" s="131">
        <v>1.2</v>
      </c>
      <c r="H69" s="131">
        <v>1.1000000000000001</v>
      </c>
      <c r="I69" s="131">
        <v>1.1000000000000001</v>
      </c>
      <c r="L69" s="131">
        <v>1</v>
      </c>
      <c r="N69" s="131">
        <v>1.1000000000000001</v>
      </c>
      <c r="O69" s="131">
        <v>1.05</v>
      </c>
      <c r="P69" s="131">
        <v>1</v>
      </c>
      <c r="Q69" s="131">
        <v>1</v>
      </c>
    </row>
    <row r="70" spans="1:17" ht="15">
      <c r="A70" s="132" t="s">
        <v>352</v>
      </c>
      <c r="B70" s="134"/>
      <c r="C70" s="133">
        <f>C68*C69</f>
        <v>95492.532234939878</v>
      </c>
      <c r="D70" s="133">
        <f>D68*D69</f>
        <v>73130.995091202072</v>
      </c>
      <c r="E70" s="133">
        <f>E68*E69</f>
        <v>61204.965488512731</v>
      </c>
      <c r="H70" s="133">
        <f>H68*H69</f>
        <v>92229.745959965076</v>
      </c>
      <c r="I70" s="133">
        <f>I68*I69</f>
        <v>65438.356927930501</v>
      </c>
      <c r="L70" s="133">
        <f>L68*L69</f>
        <v>83796.52396791082</v>
      </c>
      <c r="N70" s="133">
        <f>N68*N69</f>
        <v>57542.48550428485</v>
      </c>
      <c r="O70" s="133">
        <f>O68*O69</f>
        <v>65310.22037219441</v>
      </c>
      <c r="P70" s="133">
        <f>P68*P69</f>
        <v>110021.44403250002</v>
      </c>
      <c r="Q70" s="133">
        <f>Q68*Q69</f>
        <v>102750.33787197796</v>
      </c>
    </row>
    <row r="71" spans="1:17">
      <c r="A71" s="216" t="s">
        <v>269</v>
      </c>
      <c r="B71" s="221"/>
      <c r="C71" s="218">
        <v>1</v>
      </c>
      <c r="D71" s="218">
        <v>1</v>
      </c>
      <c r="E71" s="218">
        <v>1</v>
      </c>
      <c r="H71" s="131">
        <v>1.02</v>
      </c>
      <c r="I71" s="131">
        <v>1</v>
      </c>
      <c r="L71" s="131">
        <v>1</v>
      </c>
      <c r="N71" s="131">
        <v>0.9</v>
      </c>
      <c r="O71" s="131">
        <v>0.95</v>
      </c>
      <c r="P71" s="131">
        <v>1</v>
      </c>
      <c r="Q71" s="131">
        <v>1</v>
      </c>
    </row>
    <row r="72" spans="1:17" ht="15">
      <c r="A72" s="219" t="s">
        <v>352</v>
      </c>
      <c r="B72" s="221"/>
      <c r="C72" s="220">
        <f>C70*C71</f>
        <v>95492.532234939878</v>
      </c>
      <c r="D72" s="220">
        <f>D70*D71</f>
        <v>73130.995091202072</v>
      </c>
      <c r="E72" s="220">
        <f>E70*E71</f>
        <v>61204.965488512731</v>
      </c>
      <c r="H72" s="133">
        <f>H70*H71</f>
        <v>94074.340879164374</v>
      </c>
      <c r="I72" s="133">
        <f>I70*I71</f>
        <v>65438.356927930501</v>
      </c>
      <c r="L72" s="133">
        <f>L70*L71</f>
        <v>83796.52396791082</v>
      </c>
      <c r="N72" s="133">
        <f>N70*N71</f>
        <v>51788.236953856365</v>
      </c>
      <c r="O72" s="133">
        <f>O70*O71</f>
        <v>62044.709353584687</v>
      </c>
      <c r="P72" s="133">
        <f>P70*P71</f>
        <v>110021.44403250002</v>
      </c>
      <c r="Q72" s="133">
        <f>Q70*Q71</f>
        <v>102750.33787197796</v>
      </c>
    </row>
    <row r="73" spans="1:17" ht="15">
      <c r="A73" s="132" t="s">
        <v>270</v>
      </c>
      <c r="B73" s="133"/>
      <c r="C73" s="133">
        <f>C72/долл</f>
        <v>1091.9672068032005</v>
      </c>
      <c r="D73" s="133">
        <f>D72/долл</f>
        <v>836.26066427904027</v>
      </c>
      <c r="E73" s="133">
        <f>E72/долл</f>
        <v>699.88525429974538</v>
      </c>
      <c r="H73" s="133">
        <f>H72/долл</f>
        <v>1075.750038641102</v>
      </c>
      <c r="I73" s="133">
        <f>I72/долл</f>
        <v>748.29453319531729</v>
      </c>
      <c r="L73" s="133">
        <f>L72/долл</f>
        <v>958.2221151276251</v>
      </c>
      <c r="N73" s="133">
        <f>N72/долл</f>
        <v>592.20396745404651</v>
      </c>
      <c r="O73" s="133">
        <f>O72/долл</f>
        <v>709.48781422052241</v>
      </c>
      <c r="P73" s="133">
        <f>P72/долл</f>
        <v>1258.1068500000001</v>
      </c>
      <c r="Q73" s="133">
        <f>Q72/долл</f>
        <v>1174.9609819551511</v>
      </c>
    </row>
    <row r="74" spans="1:17">
      <c r="A74" s="119" t="s">
        <v>271</v>
      </c>
      <c r="B74" s="87" t="s">
        <v>159</v>
      </c>
      <c r="C74" s="135"/>
      <c r="D74" s="135"/>
      <c r="E74" s="135"/>
      <c r="H74" s="135"/>
      <c r="I74" s="135"/>
      <c r="L74" s="135"/>
      <c r="N74" s="135"/>
      <c r="O74" s="135"/>
      <c r="P74" s="135"/>
      <c r="Q74" s="135"/>
    </row>
    <row r="75" spans="1:17" ht="15">
      <c r="A75" s="136" t="s">
        <v>272</v>
      </c>
      <c r="B75" s="115">
        <f>ROUND(AVERAGE(C72:E72),-2)</f>
        <v>76600</v>
      </c>
      <c r="C75" s="104"/>
      <c r="D75" s="104"/>
      <c r="E75" s="104"/>
      <c r="H75" s="104"/>
      <c r="I75" s="104"/>
      <c r="L75" s="104"/>
      <c r="N75" s="104"/>
      <c r="O75" s="104"/>
      <c r="P75" s="104"/>
      <c r="Q75" s="104"/>
    </row>
    <row r="76" spans="1:17" ht="14.25" customHeight="1">
      <c r="A76" s="136" t="s">
        <v>273</v>
      </c>
      <c r="B76" s="115">
        <f>ROUND(B75/долл,2)</f>
        <v>875.93</v>
      </c>
      <c r="C76" s="104"/>
      <c r="D76" s="104"/>
      <c r="E76" s="104"/>
      <c r="H76" s="104"/>
      <c r="I76" s="104"/>
      <c r="L76" s="104"/>
      <c r="N76" s="104"/>
      <c r="O76" s="104"/>
      <c r="P76" s="104"/>
      <c r="Q76" s="104"/>
    </row>
    <row r="77" spans="1:17">
      <c r="A77" s="132" t="s">
        <v>274</v>
      </c>
      <c r="B77" s="133">
        <f>ROUND(B75*B14,-3)</f>
        <v>1531234000</v>
      </c>
      <c r="C77" s="104"/>
      <c r="D77" s="104"/>
      <c r="E77" s="104"/>
      <c r="H77" s="104"/>
      <c r="I77" s="104"/>
      <c r="L77" s="104"/>
      <c r="N77" s="104"/>
      <c r="O77" s="104"/>
      <c r="P77" s="104"/>
      <c r="Q77" s="104"/>
    </row>
    <row r="78" spans="1:17">
      <c r="A78" s="132" t="s">
        <v>275</v>
      </c>
      <c r="B78" s="133">
        <f>ROUND(B77/долл,-2)</f>
        <v>17509800</v>
      </c>
      <c r="C78" s="133"/>
      <c r="D78" s="133"/>
      <c r="E78" s="133"/>
      <c r="H78" s="133"/>
      <c r="I78" s="133"/>
      <c r="L78" s="133"/>
      <c r="N78" s="133"/>
      <c r="O78" s="133"/>
      <c r="P78" s="133"/>
      <c r="Q78" s="133"/>
    </row>
    <row r="79" spans="1:17">
      <c r="A79" s="137"/>
      <c r="B79" s="138"/>
      <c r="C79" s="138"/>
      <c r="D79" s="138"/>
      <c r="E79" s="138"/>
      <c r="H79" s="138"/>
      <c r="I79" s="138"/>
      <c r="L79" s="138"/>
      <c r="N79" s="138"/>
      <c r="O79" s="138"/>
      <c r="P79" s="138"/>
      <c r="Q79" s="138"/>
    </row>
    <row r="80" spans="1:17">
      <c r="C80" s="138"/>
      <c r="D80" s="138"/>
      <c r="E80" s="138"/>
      <c r="H80" s="138"/>
      <c r="I80" s="138"/>
      <c r="L80" s="138"/>
      <c r="N80" s="138"/>
      <c r="O80" s="138"/>
      <c r="P80" s="138"/>
      <c r="Q80" s="138"/>
    </row>
    <row r="81" spans="1:17">
      <c r="A81" s="137"/>
      <c r="B81" s="138"/>
      <c r="C81" s="138"/>
      <c r="D81" s="138"/>
      <c r="E81" s="138"/>
      <c r="H81" s="138"/>
      <c r="I81" s="138"/>
      <c r="L81" s="138"/>
      <c r="N81" s="138"/>
      <c r="O81" s="138"/>
      <c r="P81" s="138"/>
      <c r="Q81" s="138"/>
    </row>
    <row r="82" spans="1:17">
      <c r="A82" s="137"/>
      <c r="B82" s="138"/>
      <c r="C82" s="138"/>
      <c r="D82" s="138"/>
      <c r="E82" s="138"/>
      <c r="H82" s="138"/>
      <c r="I82" s="138"/>
      <c r="L82" s="138"/>
      <c r="N82" s="138"/>
      <c r="O82" s="138"/>
      <c r="P82" s="138"/>
      <c r="Q82" s="138"/>
    </row>
    <row r="84" spans="1:17">
      <c r="A84" s="197" t="s">
        <v>276</v>
      </c>
      <c r="B84" s="197">
        <f t="shared" ref="B84:E85" si="3">B14</f>
        <v>19990</v>
      </c>
      <c r="C84" s="197">
        <f t="shared" si="3"/>
        <v>1870</v>
      </c>
      <c r="D84" s="197">
        <f t="shared" si="3"/>
        <v>6996</v>
      </c>
      <c r="E84" s="197">
        <f t="shared" si="3"/>
        <v>3337.1</v>
      </c>
      <c r="H84" s="229">
        <f t="shared" ref="H84:I87" si="4">H14</f>
        <v>3400</v>
      </c>
      <c r="I84" s="229">
        <f t="shared" si="4"/>
        <v>1906</v>
      </c>
      <c r="L84" s="229">
        <f>L14</f>
        <v>2476</v>
      </c>
      <c r="N84" s="229">
        <f t="shared" ref="N84:Q87" si="5">N14</f>
        <v>5699.9999999999991</v>
      </c>
      <c r="O84" s="229">
        <f t="shared" si="5"/>
        <v>1407</v>
      </c>
      <c r="P84" s="229">
        <f t="shared" si="5"/>
        <v>1800</v>
      </c>
      <c r="Q84" s="229">
        <f t="shared" si="5"/>
        <v>2283.1999999999998</v>
      </c>
    </row>
    <row r="85" spans="1:17">
      <c r="A85" s="230" t="str">
        <f>A15</f>
        <v>произв класс 4</v>
      </c>
      <c r="B85" s="231">
        <f t="shared" si="3"/>
        <v>0</v>
      </c>
      <c r="C85" s="231">
        <f t="shared" si="3"/>
        <v>1760</v>
      </c>
      <c r="D85" s="231">
        <f t="shared" si="3"/>
        <v>1112.2</v>
      </c>
      <c r="E85" s="231">
        <f t="shared" si="3"/>
        <v>0</v>
      </c>
      <c r="H85" s="231">
        <f t="shared" si="4"/>
        <v>3400</v>
      </c>
      <c r="I85" s="231">
        <f t="shared" si="4"/>
        <v>1260</v>
      </c>
      <c r="L85" s="231">
        <f>L15</f>
        <v>74.800000000000011</v>
      </c>
      <c r="N85" s="231">
        <f t="shared" si="5"/>
        <v>877.69999999999993</v>
      </c>
      <c r="O85" s="231">
        <f t="shared" si="5"/>
        <v>500</v>
      </c>
      <c r="P85" s="231">
        <f t="shared" si="5"/>
        <v>23.1</v>
      </c>
      <c r="Q85" s="231">
        <f t="shared" si="5"/>
        <v>1095.5</v>
      </c>
    </row>
    <row r="86" spans="1:17">
      <c r="A86" s="230" t="str">
        <f t="shared" ref="A86:E93" si="6">A16</f>
        <v>произв класс 3</v>
      </c>
      <c r="B86" s="231">
        <f t="shared" si="6"/>
        <v>19040.5</v>
      </c>
      <c r="C86" s="231">
        <f t="shared" si="6"/>
        <v>0</v>
      </c>
      <c r="D86" s="231">
        <f t="shared" si="6"/>
        <v>5523.8</v>
      </c>
      <c r="E86" s="231">
        <f t="shared" si="6"/>
        <v>0</v>
      </c>
      <c r="H86" s="231">
        <f t="shared" si="4"/>
        <v>0</v>
      </c>
      <c r="I86" s="231">
        <f t="shared" si="4"/>
        <v>646</v>
      </c>
      <c r="L86" s="231">
        <f>L16</f>
        <v>1561.2</v>
      </c>
      <c r="N86" s="231">
        <f t="shared" si="5"/>
        <v>4822.2999999999993</v>
      </c>
      <c r="O86" s="231">
        <f t="shared" si="5"/>
        <v>0</v>
      </c>
      <c r="P86" s="231">
        <f t="shared" si="5"/>
        <v>800</v>
      </c>
      <c r="Q86" s="231">
        <f t="shared" si="5"/>
        <v>887.7</v>
      </c>
    </row>
    <row r="87" spans="1:17">
      <c r="A87" s="230" t="str">
        <f t="shared" si="6"/>
        <v>произв класс 2</v>
      </c>
      <c r="B87" s="231">
        <f t="shared" si="6"/>
        <v>0</v>
      </c>
      <c r="C87" s="231">
        <f t="shared" si="6"/>
        <v>0</v>
      </c>
      <c r="D87" s="231">
        <f t="shared" si="6"/>
        <v>0</v>
      </c>
      <c r="E87" s="231">
        <f t="shared" si="6"/>
        <v>1947.1</v>
      </c>
      <c r="H87" s="231">
        <f t="shared" si="4"/>
        <v>0</v>
      </c>
      <c r="I87" s="231">
        <f t="shared" si="4"/>
        <v>0</v>
      </c>
      <c r="L87" s="231">
        <f>L17</f>
        <v>840</v>
      </c>
      <c r="N87" s="231">
        <f t="shared" si="5"/>
        <v>0</v>
      </c>
      <c r="O87" s="231">
        <f t="shared" si="5"/>
        <v>700</v>
      </c>
      <c r="P87" s="231">
        <f t="shared" si="5"/>
        <v>976.90000000000009</v>
      </c>
      <c r="Q87" s="231">
        <f t="shared" si="5"/>
        <v>300</v>
      </c>
    </row>
    <row r="88" spans="1:17">
      <c r="A88" s="230" t="str">
        <f t="shared" si="6"/>
        <v>произв класс 1</v>
      </c>
      <c r="B88" s="231">
        <f t="shared" si="6"/>
        <v>0</v>
      </c>
      <c r="C88" s="231">
        <f t="shared" si="6"/>
        <v>0</v>
      </c>
      <c r="D88" s="231">
        <f t="shared" si="6"/>
        <v>0</v>
      </c>
      <c r="E88" s="231">
        <f t="shared" si="6"/>
        <v>0</v>
      </c>
      <c r="H88" s="231">
        <f>H22</f>
        <v>0</v>
      </c>
      <c r="I88" s="231">
        <f>I22</f>
        <v>0</v>
      </c>
      <c r="L88" s="231">
        <f>L22</f>
        <v>0</v>
      </c>
      <c r="N88" s="231">
        <f>N22</f>
        <v>0</v>
      </c>
      <c r="O88" s="231">
        <f>O22</f>
        <v>122</v>
      </c>
      <c r="P88" s="231">
        <f>P22</f>
        <v>0</v>
      </c>
      <c r="Q88" s="231">
        <f>Q22</f>
        <v>0</v>
      </c>
    </row>
    <row r="89" spans="1:17">
      <c r="A89" s="230" t="str">
        <f t="shared" si="6"/>
        <v>гражд класс 4</v>
      </c>
      <c r="B89" s="231">
        <f t="shared" si="6"/>
        <v>0</v>
      </c>
      <c r="C89" s="231">
        <f t="shared" si="6"/>
        <v>110</v>
      </c>
      <c r="D89" s="231">
        <f t="shared" si="6"/>
        <v>0</v>
      </c>
      <c r="E89" s="231">
        <f t="shared" si="6"/>
        <v>0</v>
      </c>
      <c r="H89" s="231"/>
      <c r="I89" s="231"/>
      <c r="L89" s="231"/>
      <c r="N89" s="231"/>
      <c r="O89" s="231"/>
      <c r="P89" s="231"/>
      <c r="Q89" s="231"/>
    </row>
    <row r="90" spans="1:17">
      <c r="A90" s="230" t="str">
        <f t="shared" si="6"/>
        <v>гражд класс 3</v>
      </c>
      <c r="B90" s="231">
        <f t="shared" si="6"/>
        <v>949.5</v>
      </c>
      <c r="C90" s="231">
        <f t="shared" si="6"/>
        <v>0</v>
      </c>
      <c r="D90" s="231">
        <f t="shared" si="6"/>
        <v>360</v>
      </c>
      <c r="E90" s="231">
        <f t="shared" si="6"/>
        <v>1390</v>
      </c>
      <c r="H90" s="231"/>
      <c r="I90" s="231"/>
      <c r="L90" s="231"/>
      <c r="N90" s="231"/>
      <c r="O90" s="231"/>
      <c r="P90" s="231"/>
      <c r="Q90" s="231"/>
    </row>
    <row r="91" spans="1:17">
      <c r="A91" s="230" t="str">
        <f t="shared" si="6"/>
        <v>гражд класс 2</v>
      </c>
      <c r="B91" s="231">
        <f t="shared" si="6"/>
        <v>0</v>
      </c>
      <c r="C91" s="231">
        <f t="shared" si="6"/>
        <v>0</v>
      </c>
      <c r="D91" s="231">
        <f t="shared" si="6"/>
        <v>0</v>
      </c>
      <c r="E91" s="231">
        <f t="shared" si="6"/>
        <v>0</v>
      </c>
      <c r="H91" s="231"/>
      <c r="I91" s="231"/>
      <c r="L91" s="231"/>
      <c r="N91" s="231"/>
      <c r="O91" s="231"/>
      <c r="P91" s="231"/>
      <c r="Q91" s="231"/>
    </row>
    <row r="92" spans="1:17">
      <c r="A92" s="230" t="str">
        <f t="shared" si="6"/>
        <v>гражд класс 1</v>
      </c>
      <c r="B92" s="231">
        <f t="shared" si="6"/>
        <v>0</v>
      </c>
      <c r="C92" s="231">
        <f t="shared" si="6"/>
        <v>0</v>
      </c>
      <c r="D92" s="231">
        <f t="shared" si="6"/>
        <v>0</v>
      </c>
      <c r="E92" s="231">
        <f t="shared" si="6"/>
        <v>0</v>
      </c>
      <c r="H92" s="231"/>
      <c r="I92" s="231"/>
      <c r="L92" s="231"/>
      <c r="N92" s="231"/>
      <c r="O92" s="231"/>
      <c r="P92" s="231"/>
      <c r="Q92" s="231"/>
    </row>
    <row r="93" spans="1:17">
      <c r="A93" s="230" t="str">
        <f t="shared" si="6"/>
        <v>прочие</v>
      </c>
      <c r="B93" s="231">
        <f t="shared" si="6"/>
        <v>0</v>
      </c>
      <c r="C93" s="231">
        <f t="shared" si="6"/>
        <v>0</v>
      </c>
      <c r="D93" s="231">
        <f t="shared" si="6"/>
        <v>0</v>
      </c>
      <c r="E93" s="231">
        <f t="shared" si="6"/>
        <v>0</v>
      </c>
      <c r="H93" s="231">
        <f>H23</f>
        <v>0</v>
      </c>
      <c r="I93" s="231">
        <f>I23</f>
        <v>0</v>
      </c>
      <c r="L93" s="231">
        <f>L23</f>
        <v>0</v>
      </c>
      <c r="N93" s="231">
        <f>N23</f>
        <v>0</v>
      </c>
      <c r="O93" s="231">
        <f>O23</f>
        <v>85</v>
      </c>
      <c r="P93" s="231">
        <f>P23</f>
        <v>0</v>
      </c>
      <c r="Q93" s="231">
        <f>Q23</f>
        <v>0</v>
      </c>
    </row>
    <row r="94" spans="1:17">
      <c r="A94" s="232"/>
      <c r="B94" s="232"/>
      <c r="C94" s="232"/>
      <c r="D94" s="232"/>
      <c r="E94" s="232"/>
      <c r="H94" s="232"/>
      <c r="I94" s="232"/>
      <c r="L94" s="232"/>
      <c r="N94" s="232"/>
      <c r="O94" s="232"/>
      <c r="P94" s="232"/>
      <c r="Q94" s="232"/>
    </row>
    <row r="95" spans="1:17">
      <c r="A95" s="232"/>
      <c r="B95" s="232"/>
      <c r="C95" s="232"/>
      <c r="D95" s="232"/>
      <c r="E95" s="232"/>
      <c r="H95" s="232"/>
      <c r="I95" s="232"/>
      <c r="L95" s="232"/>
      <c r="N95" s="232"/>
      <c r="O95" s="232"/>
      <c r="P95" s="232"/>
      <c r="Q95" s="232"/>
    </row>
    <row r="96" spans="1:17">
      <c r="A96" s="232"/>
      <c r="B96" s="232"/>
      <c r="C96" s="232"/>
      <c r="D96" s="232"/>
      <c r="E96" s="232"/>
      <c r="H96" s="232"/>
      <c r="I96" s="232"/>
      <c r="L96" s="232"/>
      <c r="N96" s="232"/>
      <c r="O96" s="232"/>
      <c r="P96" s="232"/>
      <c r="Q96" s="232"/>
    </row>
    <row r="97" spans="1:17">
      <c r="B97" s="232"/>
      <c r="C97" s="232"/>
      <c r="D97" s="232"/>
      <c r="E97" s="232"/>
      <c r="H97" s="232"/>
      <c r="I97" s="232"/>
      <c r="L97" s="232"/>
      <c r="N97" s="232"/>
      <c r="O97" s="232"/>
      <c r="P97" s="232"/>
      <c r="Q97" s="232"/>
    </row>
    <row r="98" spans="1:17" ht="14.25">
      <c r="A98" s="194" t="s">
        <v>277</v>
      </c>
      <c r="B98" s="194"/>
      <c r="C98" s="194"/>
      <c r="D98" s="194"/>
      <c r="E98" s="194"/>
      <c r="H98" s="230"/>
      <c r="I98" s="230"/>
      <c r="L98" s="230"/>
      <c r="N98" s="230"/>
      <c r="O98" s="230"/>
      <c r="P98" s="230"/>
      <c r="Q98" s="230"/>
    </row>
    <row r="99" spans="1:17">
      <c r="A99" s="262">
        <f>'1.1 Алыкулова'!A107</f>
        <v>0.33</v>
      </c>
      <c r="B99" s="235">
        <f>B85/B$84</f>
        <v>0</v>
      </c>
      <c r="C99" s="235">
        <f>C85/C$84</f>
        <v>0.94117647058823528</v>
      </c>
      <c r="D99" s="235">
        <f>D85/D$84</f>
        <v>0.15897655803316182</v>
      </c>
      <c r="E99" s="235">
        <f>E85/E$84</f>
        <v>0</v>
      </c>
      <c r="H99" s="235">
        <f t="shared" ref="H99:I101" si="7">H85/H$84</f>
        <v>1</v>
      </c>
      <c r="I99" s="235">
        <f t="shared" si="7"/>
        <v>0.66107030430220359</v>
      </c>
      <c r="L99" s="235">
        <f>L85/L$84</f>
        <v>3.0210016155088858E-2</v>
      </c>
      <c r="N99" s="235">
        <f t="shared" ref="N99:Q101" si="8">N85/N$84</f>
        <v>0.15398245614035089</v>
      </c>
      <c r="O99" s="235">
        <f t="shared" si="8"/>
        <v>0.35536602700781805</v>
      </c>
      <c r="P99" s="235">
        <f t="shared" si="8"/>
        <v>1.2833333333333334E-2</v>
      </c>
      <c r="Q99" s="235">
        <f t="shared" si="8"/>
        <v>0.47980903994393836</v>
      </c>
    </row>
    <row r="100" spans="1:17">
      <c r="A100" s="262">
        <f>'1.1 Алыкулова'!A108</f>
        <v>0.55000000000000004</v>
      </c>
      <c r="B100" s="235">
        <f t="shared" ref="B100:E107" si="9">B86/B$84</f>
        <v>0.95250125062531266</v>
      </c>
      <c r="C100" s="235">
        <f t="shared" si="9"/>
        <v>0</v>
      </c>
      <c r="D100" s="235">
        <f t="shared" si="9"/>
        <v>0.78956546598056032</v>
      </c>
      <c r="E100" s="235">
        <f t="shared" si="9"/>
        <v>0</v>
      </c>
      <c r="H100" s="235">
        <f t="shared" si="7"/>
        <v>0</v>
      </c>
      <c r="I100" s="235">
        <f t="shared" si="7"/>
        <v>0.33892969569779641</v>
      </c>
      <c r="L100" s="235"/>
      <c r="N100" s="235">
        <f t="shared" si="8"/>
        <v>0.84601754385964911</v>
      </c>
      <c r="O100" s="235">
        <f t="shared" si="8"/>
        <v>0</v>
      </c>
      <c r="P100" s="235">
        <f t="shared" si="8"/>
        <v>0.44444444444444442</v>
      </c>
      <c r="Q100" s="235">
        <f t="shared" si="8"/>
        <v>0.38879642606867559</v>
      </c>
    </row>
    <row r="101" spans="1:17">
      <c r="A101" s="262">
        <f>'1.1 Алыкулова'!A109</f>
        <v>0.77</v>
      </c>
      <c r="B101" s="235">
        <f t="shared" si="9"/>
        <v>0</v>
      </c>
      <c r="C101" s="235">
        <f t="shared" si="9"/>
        <v>0</v>
      </c>
      <c r="D101" s="235">
        <f t="shared" si="9"/>
        <v>0</v>
      </c>
      <c r="E101" s="235">
        <f t="shared" si="9"/>
        <v>0.5834706781337089</v>
      </c>
      <c r="H101" s="235">
        <f t="shared" si="7"/>
        <v>0</v>
      </c>
      <c r="I101" s="235">
        <f t="shared" si="7"/>
        <v>0</v>
      </c>
      <c r="L101" s="235">
        <f>L87/L$84</f>
        <v>0.3392568659127625</v>
      </c>
      <c r="N101" s="235">
        <f t="shared" si="8"/>
        <v>0</v>
      </c>
      <c r="O101" s="235">
        <f t="shared" si="8"/>
        <v>0.49751243781094528</v>
      </c>
      <c r="P101" s="235">
        <f t="shared" si="8"/>
        <v>0.54272222222222233</v>
      </c>
      <c r="Q101" s="235">
        <f t="shared" si="8"/>
        <v>0.13139453398738613</v>
      </c>
    </row>
    <row r="102" spans="1:17">
      <c r="A102" s="262">
        <f>'1.1 Алыкулова'!A110</f>
        <v>1</v>
      </c>
      <c r="B102" s="235">
        <f t="shared" si="9"/>
        <v>0</v>
      </c>
      <c r="C102" s="235">
        <f t="shared" si="9"/>
        <v>0</v>
      </c>
      <c r="D102" s="235">
        <f t="shared" si="9"/>
        <v>0</v>
      </c>
      <c r="E102" s="235">
        <f t="shared" si="9"/>
        <v>0</v>
      </c>
      <c r="H102" s="235"/>
      <c r="I102" s="235"/>
      <c r="L102" s="235"/>
      <c r="N102" s="235"/>
      <c r="O102" s="235"/>
      <c r="P102" s="235"/>
      <c r="Q102" s="235"/>
    </row>
    <row r="103" spans="1:17">
      <c r="A103" s="262">
        <f>'1.1 Алыкулова'!A111</f>
        <v>0.33</v>
      </c>
      <c r="B103" s="235">
        <f t="shared" si="9"/>
        <v>0</v>
      </c>
      <c r="C103" s="235">
        <f t="shared" si="9"/>
        <v>5.8823529411764705E-2</v>
      </c>
      <c r="D103" s="235">
        <f t="shared" si="9"/>
        <v>0</v>
      </c>
      <c r="E103" s="235">
        <f t="shared" si="9"/>
        <v>0</v>
      </c>
      <c r="H103" s="235"/>
      <c r="I103" s="235"/>
      <c r="L103" s="235"/>
      <c r="N103" s="235"/>
      <c r="O103" s="235"/>
      <c r="P103" s="235"/>
      <c r="Q103" s="235"/>
    </row>
    <row r="104" spans="1:17">
      <c r="A104" s="262">
        <f>'1.1 Алыкулова'!A112</f>
        <v>0.55000000000000004</v>
      </c>
      <c r="B104" s="235">
        <f t="shared" si="9"/>
        <v>4.7498749374687343E-2</v>
      </c>
      <c r="C104" s="235">
        <f t="shared" si="9"/>
        <v>0</v>
      </c>
      <c r="D104" s="235">
        <f t="shared" si="9"/>
        <v>5.1457975986277875E-2</v>
      </c>
      <c r="E104" s="235">
        <f t="shared" si="9"/>
        <v>0.4165293218662911</v>
      </c>
      <c r="H104" s="235"/>
      <c r="I104" s="235"/>
      <c r="L104" s="235"/>
      <c r="N104" s="235"/>
      <c r="O104" s="235"/>
      <c r="P104" s="235"/>
      <c r="Q104" s="235"/>
    </row>
    <row r="105" spans="1:17">
      <c r="A105" s="262">
        <f>'1.1 Алыкулова'!A113</f>
        <v>0.77</v>
      </c>
      <c r="B105" s="235">
        <f t="shared" si="9"/>
        <v>0</v>
      </c>
      <c r="C105" s="235">
        <f t="shared" si="9"/>
        <v>0</v>
      </c>
      <c r="D105" s="235">
        <f t="shared" si="9"/>
        <v>0</v>
      </c>
      <c r="E105" s="235">
        <f t="shared" si="9"/>
        <v>0</v>
      </c>
      <c r="H105" s="235"/>
      <c r="I105" s="235"/>
      <c r="L105" s="235"/>
      <c r="N105" s="235"/>
      <c r="O105" s="235"/>
      <c r="P105" s="235"/>
      <c r="Q105" s="235"/>
    </row>
    <row r="106" spans="1:17">
      <c r="A106" s="262">
        <f>'1.1 Алыкулова'!A114</f>
        <v>1</v>
      </c>
      <c r="B106" s="235">
        <f t="shared" si="9"/>
        <v>0</v>
      </c>
      <c r="C106" s="235">
        <f t="shared" si="9"/>
        <v>0</v>
      </c>
      <c r="D106" s="235">
        <f t="shared" si="9"/>
        <v>0</v>
      </c>
      <c r="E106" s="235">
        <f t="shared" si="9"/>
        <v>0</v>
      </c>
      <c r="H106" s="235"/>
      <c r="I106" s="235"/>
      <c r="L106" s="235"/>
      <c r="N106" s="235"/>
      <c r="O106" s="235"/>
      <c r="P106" s="235"/>
      <c r="Q106" s="235"/>
    </row>
    <row r="107" spans="1:17">
      <c r="A107" s="262">
        <f>'1.1 Алыкулова'!A115</f>
        <v>0.05</v>
      </c>
      <c r="B107" s="235">
        <f t="shared" si="9"/>
        <v>0</v>
      </c>
      <c r="C107" s="235">
        <f t="shared" si="9"/>
        <v>0</v>
      </c>
      <c r="D107" s="235">
        <f t="shared" si="9"/>
        <v>0</v>
      </c>
      <c r="E107" s="235">
        <f t="shared" si="9"/>
        <v>0</v>
      </c>
      <c r="H107" s="235">
        <f>H88/H$84</f>
        <v>0</v>
      </c>
      <c r="I107" s="235">
        <f>I88/I$84</f>
        <v>0</v>
      </c>
      <c r="L107" s="235">
        <f>L88/L$84</f>
        <v>0</v>
      </c>
      <c r="N107" s="235">
        <f>N88/N$84</f>
        <v>0</v>
      </c>
      <c r="O107" s="235">
        <f>O88/O$84</f>
        <v>8.6709310589907607E-2</v>
      </c>
      <c r="P107" s="235">
        <f>P88/P$84</f>
        <v>0</v>
      </c>
      <c r="Q107" s="235">
        <f>Q88/Q$84</f>
        <v>0</v>
      </c>
    </row>
    <row r="108" spans="1:17">
      <c r="B108" s="236"/>
      <c r="C108" s="236"/>
      <c r="D108" s="236"/>
      <c r="E108" s="236"/>
      <c r="H108" s="236"/>
      <c r="I108" s="236"/>
      <c r="L108" s="236"/>
      <c r="N108" s="236"/>
      <c r="O108" s="236"/>
      <c r="P108" s="236"/>
      <c r="Q108" s="236"/>
    </row>
    <row r="109" spans="1:17">
      <c r="B109" s="236"/>
      <c r="C109" s="236"/>
      <c r="D109" s="236"/>
      <c r="E109" s="236"/>
      <c r="H109" s="236"/>
      <c r="I109" s="236"/>
      <c r="L109" s="236"/>
      <c r="N109" s="236"/>
      <c r="O109" s="236"/>
      <c r="P109" s="236"/>
      <c r="Q109" s="236"/>
    </row>
    <row r="110" spans="1:17">
      <c r="A110" s="263" t="s">
        <v>278</v>
      </c>
      <c r="B110" s="264"/>
      <c r="C110" s="265"/>
      <c r="D110" s="265"/>
      <c r="E110" s="265"/>
      <c r="H110" s="232"/>
      <c r="I110" s="232"/>
      <c r="L110" s="232"/>
      <c r="N110" s="232"/>
      <c r="O110" s="232"/>
      <c r="P110" s="232"/>
      <c r="Q110" s="232"/>
    </row>
    <row r="111" spans="1:17">
      <c r="A111" s="237"/>
      <c r="B111" s="238">
        <f>$A99*B99</f>
        <v>0</v>
      </c>
      <c r="C111" s="238">
        <f>$A99*C99</f>
        <v>0.31058823529411766</v>
      </c>
      <c r="D111" s="238">
        <f>$A99*D99</f>
        <v>5.2462264150943405E-2</v>
      </c>
      <c r="E111" s="238">
        <f>$A99*E99</f>
        <v>0</v>
      </c>
      <c r="H111" s="238">
        <f t="shared" ref="H111:I113" si="10">$A99*H99</f>
        <v>0.33</v>
      </c>
      <c r="I111" s="238">
        <f t="shared" si="10"/>
        <v>0.21815320041972719</v>
      </c>
      <c r="L111" s="238">
        <f>$A99*L99</f>
        <v>9.969305331179323E-3</v>
      </c>
      <c r="N111" s="238">
        <f t="shared" ref="N111:Q113" si="11">$A99*N99</f>
        <v>5.0814210526315795E-2</v>
      </c>
      <c r="O111" s="238">
        <f t="shared" si="11"/>
        <v>0.11727078891257996</v>
      </c>
      <c r="P111" s="238">
        <f t="shared" si="11"/>
        <v>4.235E-3</v>
      </c>
      <c r="Q111" s="238">
        <f t="shared" si="11"/>
        <v>0.15833698318149966</v>
      </c>
    </row>
    <row r="112" spans="1:17">
      <c r="A112" s="237"/>
      <c r="B112" s="238">
        <f t="shared" ref="B112:E120" si="12">$A100*B100</f>
        <v>0.52387568784392202</v>
      </c>
      <c r="C112" s="238">
        <f t="shared" si="12"/>
        <v>0</v>
      </c>
      <c r="D112" s="238">
        <f t="shared" si="12"/>
        <v>0.43426100628930819</v>
      </c>
      <c r="E112" s="238">
        <f t="shared" si="12"/>
        <v>0</v>
      </c>
      <c r="H112" s="238">
        <f t="shared" si="10"/>
        <v>0</v>
      </c>
      <c r="I112" s="238">
        <f t="shared" si="10"/>
        <v>0.18641133263378803</v>
      </c>
      <c r="L112" s="238"/>
      <c r="N112" s="238">
        <f t="shared" si="11"/>
        <v>0.46530964912280703</v>
      </c>
      <c r="O112" s="238">
        <f t="shared" si="11"/>
        <v>0</v>
      </c>
      <c r="P112" s="238">
        <f t="shared" si="11"/>
        <v>0.24444444444444446</v>
      </c>
      <c r="Q112" s="238">
        <f t="shared" si="11"/>
        <v>0.2138380343377716</v>
      </c>
    </row>
    <row r="113" spans="1:17">
      <c r="A113" s="239"/>
      <c r="B113" s="238">
        <f t="shared" si="12"/>
        <v>0</v>
      </c>
      <c r="C113" s="238">
        <f t="shared" si="12"/>
        <v>0</v>
      </c>
      <c r="D113" s="238">
        <f t="shared" si="12"/>
        <v>0</v>
      </c>
      <c r="E113" s="238">
        <f t="shared" si="12"/>
        <v>0.44927242216295588</v>
      </c>
      <c r="H113" s="238">
        <f t="shared" si="10"/>
        <v>0</v>
      </c>
      <c r="I113" s="238">
        <f t="shared" si="10"/>
        <v>0</v>
      </c>
      <c r="L113" s="238">
        <f>$A101*L101</f>
        <v>0.26122778675282715</v>
      </c>
      <c r="N113" s="238">
        <f t="shared" si="11"/>
        <v>0</v>
      </c>
      <c r="O113" s="238">
        <f t="shared" si="11"/>
        <v>0.38308457711442789</v>
      </c>
      <c r="P113" s="238">
        <f t="shared" si="11"/>
        <v>0.41789611111111119</v>
      </c>
      <c r="Q113" s="238">
        <f t="shared" si="11"/>
        <v>0.10117379117028732</v>
      </c>
    </row>
    <row r="114" spans="1:17">
      <c r="A114" s="239"/>
      <c r="B114" s="238">
        <f t="shared" si="12"/>
        <v>0</v>
      </c>
      <c r="C114" s="238">
        <f t="shared" si="12"/>
        <v>0</v>
      </c>
      <c r="D114" s="238">
        <f t="shared" si="12"/>
        <v>0</v>
      </c>
      <c r="E114" s="238">
        <f t="shared" si="12"/>
        <v>0</v>
      </c>
      <c r="H114" s="240"/>
      <c r="I114" s="240"/>
      <c r="L114" s="240"/>
      <c r="N114" s="240"/>
      <c r="O114" s="240"/>
      <c r="P114" s="240"/>
      <c r="Q114" s="240"/>
    </row>
    <row r="115" spans="1:17">
      <c r="A115" s="239"/>
      <c r="B115" s="238">
        <f t="shared" si="12"/>
        <v>0</v>
      </c>
      <c r="C115" s="238">
        <f t="shared" si="12"/>
        <v>1.9411764705882354E-2</v>
      </c>
      <c r="D115" s="238">
        <f t="shared" si="12"/>
        <v>0</v>
      </c>
      <c r="E115" s="238">
        <f t="shared" si="12"/>
        <v>0</v>
      </c>
      <c r="H115" s="240"/>
      <c r="I115" s="240"/>
      <c r="L115" s="240"/>
      <c r="N115" s="240"/>
      <c r="O115" s="240"/>
      <c r="P115" s="240"/>
      <c r="Q115" s="240"/>
    </row>
    <row r="116" spans="1:17">
      <c r="A116" s="239"/>
      <c r="B116" s="238">
        <f t="shared" si="12"/>
        <v>2.612431215607804E-2</v>
      </c>
      <c r="C116" s="238">
        <f t="shared" si="12"/>
        <v>0</v>
      </c>
      <c r="D116" s="238">
        <f t="shared" si="12"/>
        <v>2.8301886792452834E-2</v>
      </c>
      <c r="E116" s="238">
        <f t="shared" si="12"/>
        <v>0.22909112702646012</v>
      </c>
      <c r="H116" s="240"/>
      <c r="I116" s="240"/>
      <c r="L116" s="240"/>
      <c r="N116" s="240"/>
      <c r="O116" s="240"/>
      <c r="P116" s="240"/>
      <c r="Q116" s="240"/>
    </row>
    <row r="117" spans="1:17">
      <c r="A117" s="239"/>
      <c r="B117" s="238">
        <f t="shared" si="12"/>
        <v>0</v>
      </c>
      <c r="C117" s="238">
        <f t="shared" si="12"/>
        <v>0</v>
      </c>
      <c r="D117" s="238">
        <f t="shared" si="12"/>
        <v>0</v>
      </c>
      <c r="E117" s="238">
        <f t="shared" si="12"/>
        <v>0</v>
      </c>
      <c r="H117" s="240"/>
      <c r="I117" s="240"/>
      <c r="L117" s="240"/>
      <c r="N117" s="240"/>
      <c r="O117" s="240"/>
      <c r="P117" s="240"/>
      <c r="Q117" s="240"/>
    </row>
    <row r="118" spans="1:17">
      <c r="A118" s="239"/>
      <c r="B118" s="238">
        <f t="shared" si="12"/>
        <v>0</v>
      </c>
      <c r="C118" s="238">
        <f t="shared" si="12"/>
        <v>0</v>
      </c>
      <c r="D118" s="238">
        <f t="shared" si="12"/>
        <v>0</v>
      </c>
      <c r="E118" s="238">
        <f t="shared" si="12"/>
        <v>0</v>
      </c>
      <c r="H118" s="240"/>
      <c r="I118" s="240"/>
      <c r="L118" s="240"/>
      <c r="N118" s="240"/>
      <c r="O118" s="240"/>
      <c r="P118" s="240"/>
      <c r="Q118" s="240"/>
    </row>
    <row r="119" spans="1:17">
      <c r="A119" s="239"/>
      <c r="B119" s="238">
        <f t="shared" si="12"/>
        <v>0</v>
      </c>
      <c r="C119" s="238">
        <f t="shared" si="12"/>
        <v>0</v>
      </c>
      <c r="D119" s="238">
        <f t="shared" si="12"/>
        <v>0</v>
      </c>
      <c r="E119" s="238">
        <f t="shared" si="12"/>
        <v>0</v>
      </c>
      <c r="H119" s="240"/>
      <c r="I119" s="240"/>
      <c r="L119" s="240"/>
      <c r="N119" s="240"/>
      <c r="O119" s="240"/>
      <c r="P119" s="240"/>
      <c r="Q119" s="240"/>
    </row>
    <row r="120" spans="1:17">
      <c r="A120" s="239"/>
      <c r="B120" s="238">
        <f t="shared" si="12"/>
        <v>0</v>
      </c>
      <c r="C120" s="238">
        <f t="shared" si="12"/>
        <v>0</v>
      </c>
      <c r="D120" s="238">
        <f t="shared" si="12"/>
        <v>0</v>
      </c>
      <c r="E120" s="238">
        <f t="shared" si="12"/>
        <v>0</v>
      </c>
      <c r="H120" s="240">
        <f t="shared" ref="H120:I120" si="13">$A107*H107</f>
        <v>0</v>
      </c>
      <c r="I120" s="240">
        <f t="shared" si="13"/>
        <v>0</v>
      </c>
      <c r="L120" s="240">
        <f>$A107*L107</f>
        <v>0</v>
      </c>
      <c r="N120" s="240">
        <f t="shared" ref="N120:Q120" si="14">$A107*N107</f>
        <v>0</v>
      </c>
      <c r="O120" s="240">
        <f t="shared" si="14"/>
        <v>4.3354655294953809E-3</v>
      </c>
      <c r="P120" s="240">
        <f t="shared" si="14"/>
        <v>0</v>
      </c>
      <c r="Q120" s="240">
        <f t="shared" si="14"/>
        <v>0</v>
      </c>
    </row>
    <row r="121" spans="1:17">
      <c r="A121" s="241" t="s">
        <v>279</v>
      </c>
      <c r="B121" s="242">
        <f>SUM(B111:B120)</f>
        <v>0.55000000000000004</v>
      </c>
      <c r="C121" s="243">
        <f>SUM(C111:C120)</f>
        <v>0.33</v>
      </c>
      <c r="D121" s="243">
        <f>SUM(D111:D120)</f>
        <v>0.51502515723270448</v>
      </c>
      <c r="E121" s="243">
        <f>SUM(E111:E120)</f>
        <v>0.67836354918941599</v>
      </c>
      <c r="H121" s="243">
        <f>SUM(H111:H120)</f>
        <v>0.33</v>
      </c>
      <c r="I121" s="243">
        <f>SUM(I111:I120)</f>
        <v>0.40456453305351525</v>
      </c>
      <c r="L121" s="243">
        <f>SUM(L111:L120)</f>
        <v>0.2711970920840065</v>
      </c>
      <c r="N121" s="243">
        <f t="shared" ref="N121" si="15">SUM(N111:N120)</f>
        <v>0.51612385964912288</v>
      </c>
      <c r="O121" s="243">
        <f>SUM(O111:O120)</f>
        <v>0.50469083155650318</v>
      </c>
      <c r="P121" s="243">
        <f>SUM(P111:P120)</f>
        <v>0.6665755555555557</v>
      </c>
      <c r="Q121" s="243">
        <f>SUM(Q111:Q120)</f>
        <v>0.47334880868955864</v>
      </c>
    </row>
    <row r="122" spans="1:17">
      <c r="A122" s="237" t="s">
        <v>280</v>
      </c>
      <c r="B122" s="244"/>
      <c r="C122" s="245">
        <f>$B$121/C121</f>
        <v>1.6666666666666667</v>
      </c>
      <c r="D122" s="245">
        <f>$B$121/D121</f>
        <v>1.067908998766623</v>
      </c>
      <c r="E122" s="245">
        <f>$B$121/E121</f>
        <v>0.81077469545231473</v>
      </c>
      <c r="H122" s="245">
        <f>$B$121/H121</f>
        <v>1.6666666666666667</v>
      </c>
      <c r="I122" s="245">
        <f>$B$121/I121</f>
        <v>1.3594864479315263</v>
      </c>
      <c r="L122" s="245">
        <f>$B$121/L121</f>
        <v>2.0280453443417863</v>
      </c>
      <c r="N122" s="245">
        <f>$B$121/N121</f>
        <v>1.0656356797260007</v>
      </c>
      <c r="O122" s="245">
        <f>$B$121/O121</f>
        <v>1.0897760878749474</v>
      </c>
      <c r="P122" s="245">
        <f>$B$121/P121</f>
        <v>0.82511276541127276</v>
      </c>
      <c r="Q122" s="245">
        <f>$B$121/Q121</f>
        <v>1.1619338422391856</v>
      </c>
    </row>
    <row r="123" spans="1:17">
      <c r="A123" s="241" t="s">
        <v>281</v>
      </c>
      <c r="B123" s="230">
        <f>$B$130*B28</f>
        <v>8339113.7793024592</v>
      </c>
      <c r="C123" s="230">
        <f>$B$130*C28</f>
        <v>1003256.7181246427</v>
      </c>
      <c r="D123" s="230">
        <f>$B$130*D28</f>
        <v>2310419.6683819327</v>
      </c>
      <c r="E123" s="230">
        <f>$B$130*E28</f>
        <v>1427993.1389365352</v>
      </c>
      <c r="H123" s="230">
        <f>$B$130*H28</f>
        <v>1189994.2824471127</v>
      </c>
      <c r="I123" s="230">
        <f>$B$130*I28</f>
        <v>237998.85648942253</v>
      </c>
      <c r="L123" s="230">
        <f>$B$130*L28</f>
        <v>1098456.2607204118</v>
      </c>
      <c r="N123" s="230">
        <f>$B$130*N28</f>
        <v>2239935.3916523727</v>
      </c>
      <c r="O123" s="230">
        <f>$B$130*O28</f>
        <v>549228.13036020589</v>
      </c>
      <c r="P123" s="230">
        <f>$B$130*P28</f>
        <v>585843.33905088622</v>
      </c>
      <c r="Q123" s="230">
        <f>$B$130*Q28</f>
        <v>452014.75128644943</v>
      </c>
    </row>
    <row r="124" spans="1:17">
      <c r="A124" s="237" t="s">
        <v>282</v>
      </c>
      <c r="B124" s="234"/>
      <c r="C124" s="246">
        <f>1-C123/C34</f>
        <v>0.4426351565974207</v>
      </c>
      <c r="D124" s="246">
        <f>1-D123/D34</f>
        <v>0.67910837939139823</v>
      </c>
      <c r="E124" s="246">
        <f>1-E123/E34</f>
        <v>0.41714565757692434</v>
      </c>
      <c r="H124" s="246">
        <f>1-H123/H34</f>
        <v>0.57500204198317406</v>
      </c>
      <c r="I124" s="246">
        <f>1-I123/I34</f>
        <v>0.816923956546598</v>
      </c>
      <c r="L124" s="246">
        <f>1-L123/L34</f>
        <v>0.59316434788132899</v>
      </c>
      <c r="N124" s="246">
        <f>1-N123/N34</f>
        <v>0.61380424281855639</v>
      </c>
      <c r="O124" s="246">
        <f>1-O123/O34</f>
        <v>0.63384791309319599</v>
      </c>
      <c r="P124" s="246">
        <f>1-P123/P34</f>
        <v>0.6094377739660759</v>
      </c>
      <c r="Q124" s="246">
        <f>1-Q123/Q34</f>
        <v>0.66517425830633381</v>
      </c>
    </row>
    <row r="125" spans="1:17">
      <c r="A125" s="247" t="s">
        <v>283</v>
      </c>
      <c r="B125" s="248"/>
      <c r="C125" s="249">
        <f>1-(1-C122)*C124</f>
        <v>1.2950901043982805</v>
      </c>
      <c r="D125" s="249">
        <f>1-(1-D122)*D124</f>
        <v>1.0461175700984939</v>
      </c>
      <c r="E125" s="249">
        <f>1-(1-E122)*E124</f>
        <v>0.92106548590426207</v>
      </c>
      <c r="H125" s="249">
        <f>1-(1-H122)*H124</f>
        <v>1.3833346946554494</v>
      </c>
      <c r="I125" s="249">
        <f>1-(1-I122)*I124</f>
        <v>1.293673091369105</v>
      </c>
      <c r="L125" s="249">
        <f>1-(1-L122)*L124</f>
        <v>1.609799846268932</v>
      </c>
      <c r="N125" s="249">
        <f>1-(1-N122)*N124</f>
        <v>1.0402874586960991</v>
      </c>
      <c r="O125" s="249">
        <f>1-(1-O122)*O124</f>
        <v>1.0569043859452067</v>
      </c>
      <c r="P125" s="249">
        <f>1-(1-P122)*P124</f>
        <v>0.8934171130571632</v>
      </c>
      <c r="Q125" s="249">
        <f>1-(1-Q122)*Q124</f>
        <v>1.1077142234061452</v>
      </c>
    </row>
    <row r="127" spans="1:17">
      <c r="E127" s="250"/>
      <c r="I127" s="250"/>
      <c r="O127" s="250"/>
    </row>
    <row r="129" spans="1:17">
      <c r="A129" s="239"/>
      <c r="B129" s="235">
        <f>B28/B14</f>
        <v>2.2786393196598298</v>
      </c>
      <c r="C129" s="235">
        <f>C28/C14</f>
        <v>2.9304812834224601</v>
      </c>
      <c r="D129" s="235">
        <f>D28/D14</f>
        <v>1.8038879359634077</v>
      </c>
      <c r="E129" s="235">
        <f>E28/E14</f>
        <v>2.337358784573432</v>
      </c>
      <c r="H129" s="235">
        <f>H28/H14</f>
        <v>1.911764705882353</v>
      </c>
      <c r="I129" s="235">
        <f>I28/I14</f>
        <v>0.6820566631689402</v>
      </c>
      <c r="L129" s="235">
        <f>L28/L14</f>
        <v>2.4232633279483036</v>
      </c>
      <c r="N129" s="235">
        <f>N28/N14</f>
        <v>2.1464912280701758</v>
      </c>
      <c r="O129" s="235">
        <f>O28/O14</f>
        <v>2.1321961620469083</v>
      </c>
      <c r="P129" s="235">
        <f>P28/P14</f>
        <v>1.7777777777777777</v>
      </c>
      <c r="Q129" s="235">
        <f>Q28/Q14</f>
        <v>1.0813770147161879</v>
      </c>
    </row>
    <row r="130" spans="1:17" ht="18">
      <c r="A130" s="251" t="s">
        <v>285</v>
      </c>
      <c r="B130" s="252">
        <v>183.07604345340195</v>
      </c>
      <c r="C130" s="235">
        <f>$B$129-C129</f>
        <v>-0.65184196376263026</v>
      </c>
      <c r="D130" s="235">
        <f>$B$129-D129</f>
        <v>0.47475138369642211</v>
      </c>
      <c r="E130" s="235">
        <f>$B$129-E129</f>
        <v>-5.8719464913602248E-2</v>
      </c>
      <c r="H130" s="235">
        <f>$B$129-H129</f>
        <v>0.36687461377747677</v>
      </c>
      <c r="I130" s="235">
        <f>$B$129-I129</f>
        <v>1.5965826564908896</v>
      </c>
      <c r="L130" s="235">
        <f>$B$129-L129</f>
        <v>-0.14462400828847377</v>
      </c>
      <c r="N130" s="235">
        <f>$B$129-N129</f>
        <v>0.13214809158965402</v>
      </c>
      <c r="O130" s="235">
        <f>$B$129-O129</f>
        <v>0.14644315761292148</v>
      </c>
      <c r="P130" s="235">
        <f>$B$129-P129</f>
        <v>0.50086154188205212</v>
      </c>
      <c r="Q130" s="235">
        <f>$B$129-Q129</f>
        <v>1.1972623049436419</v>
      </c>
    </row>
    <row r="131" spans="1:17">
      <c r="A131" s="239"/>
      <c r="B131" s="239"/>
      <c r="C131" s="235">
        <f>$B$130*C130</f>
        <v>-119.33664768255815</v>
      </c>
      <c r="D131" s="235">
        <f>$B$130*D130</f>
        <v>86.915604951168874</v>
      </c>
      <c r="E131" s="235">
        <f>$B$130*E130</f>
        <v>-10.750127310083156</v>
      </c>
      <c r="H131" s="235">
        <f>$B$130*H130</f>
        <v>67.1659527338754</v>
      </c>
      <c r="I131" s="235">
        <f>$B$130*I130</f>
        <v>292.296035796674</v>
      </c>
      <c r="L131" s="235">
        <f>$B$130*L130</f>
        <v>-26.477191225825788</v>
      </c>
      <c r="N131" s="235">
        <f>$B$130*N130</f>
        <v>24.193149758151641</v>
      </c>
      <c r="O131" s="235">
        <f>$B$130*O130</f>
        <v>26.810233886596603</v>
      </c>
      <c r="P131" s="235">
        <f>$B$130*P130</f>
        <v>91.695749405736478</v>
      </c>
      <c r="Q131" s="235">
        <f>$B$130*Q130</f>
        <v>219.19004576498236</v>
      </c>
    </row>
    <row r="132" spans="1:17">
      <c r="A132" s="239"/>
      <c r="B132" s="239"/>
      <c r="C132" s="230">
        <f>C131*долл</f>
        <v>-10435.989839839711</v>
      </c>
      <c r="D132" s="230">
        <f>D131*долл</f>
        <v>7600.7696529797186</v>
      </c>
      <c r="E132" s="230">
        <f>E131*долл</f>
        <v>-940.09863326677203</v>
      </c>
      <c r="H132" s="230">
        <f t="shared" ref="H132:Q132" si="16">H131*долл</f>
        <v>5873.6625665774036</v>
      </c>
      <c r="I132" s="230">
        <f t="shared" si="16"/>
        <v>25561.288330419142</v>
      </c>
      <c r="J132" s="230">
        <f t="shared" si="16"/>
        <v>0</v>
      </c>
      <c r="K132" s="230">
        <f t="shared" si="16"/>
        <v>0</v>
      </c>
      <c r="L132" s="230">
        <f t="shared" si="16"/>
        <v>-2315.4303726984654</v>
      </c>
      <c r="M132" s="230">
        <f t="shared" si="16"/>
        <v>0</v>
      </c>
      <c r="N132" s="230">
        <f t="shared" si="16"/>
        <v>2115.6909463503612</v>
      </c>
      <c r="O132" s="230">
        <f t="shared" si="16"/>
        <v>2344.554953382873</v>
      </c>
      <c r="P132" s="230">
        <f t="shared" si="16"/>
        <v>8018.7932855316549</v>
      </c>
      <c r="Q132" s="230">
        <f t="shared" si="16"/>
        <v>19168.169502147706</v>
      </c>
    </row>
    <row r="133" spans="1:17">
      <c r="A133" s="239"/>
      <c r="B133" s="239"/>
      <c r="C133" s="234">
        <f>1+C132/C64</f>
        <v>0.89603848403121189</v>
      </c>
      <c r="D133" s="234">
        <f>1+D132/D64</f>
        <v>1.111491681632065</v>
      </c>
      <c r="E133" s="234">
        <f>1+E132/E64</f>
        <v>0.98341137004449952</v>
      </c>
      <c r="H133" s="234">
        <f>1+H132/H64</f>
        <v>1.0655702009758674</v>
      </c>
      <c r="I133" s="234">
        <f>1+I132/I64</f>
        <v>1.4764268788897232</v>
      </c>
      <c r="L133" s="234">
        <f>1+L132/L64</f>
        <v>0.97698289369143254</v>
      </c>
      <c r="N133" s="234">
        <f>1+N132/N64</f>
        <v>1.0330024707275232</v>
      </c>
      <c r="O133" s="234">
        <f>1+O132/O64</f>
        <v>1.0346028003991838</v>
      </c>
      <c r="P133" s="234">
        <f>1+P132/P64</f>
        <v>1.0757992688633449</v>
      </c>
      <c r="Q133" s="234">
        <f>1+Q132/Q64</f>
        <v>1.2089370243157154</v>
      </c>
    </row>
    <row r="134" spans="1:17">
      <c r="A134" s="247"/>
      <c r="B134" s="248"/>
      <c r="C134" s="249"/>
      <c r="D134" s="249"/>
      <c r="E134" s="249"/>
      <c r="H134" s="249"/>
      <c r="I134" s="249"/>
      <c r="L134" s="249"/>
      <c r="N134" s="249"/>
      <c r="O134" s="249"/>
      <c r="P134" s="249"/>
      <c r="Q134" s="249"/>
    </row>
    <row r="135" spans="1:17" ht="14.25">
      <c r="A135" s="241" t="s">
        <v>358</v>
      </c>
      <c r="B135" s="239">
        <v>0.02</v>
      </c>
      <c r="C135" s="253">
        <f>C132/C64</f>
        <v>-0.10396151596878817</v>
      </c>
      <c r="D135" s="253">
        <f>D132/D64</f>
        <v>0.11149168163206494</v>
      </c>
      <c r="E135" s="253">
        <f>E132/E64</f>
        <v>-1.6588629955500454E-2</v>
      </c>
      <c r="H135" s="253">
        <f>H132/H64</f>
        <v>6.5570200975867313E-2</v>
      </c>
      <c r="I135" s="253">
        <f>I132/I64</f>
        <v>0.47642687888972318</v>
      </c>
      <c r="L135" s="253">
        <f>L132/L64</f>
        <v>-2.3017106308567424E-2</v>
      </c>
      <c r="N135" s="253">
        <f>N132/N64</f>
        <v>3.3002470727523124E-2</v>
      </c>
      <c r="O135" s="253">
        <f>O132/O64</f>
        <v>3.4602800399183814E-2</v>
      </c>
      <c r="P135" s="253">
        <f>P132/P64</f>
        <v>7.5799268863344899E-2</v>
      </c>
      <c r="Q135" s="253">
        <f>Q132/Q64</f>
        <v>0.20893702431571542</v>
      </c>
    </row>
    <row r="136" spans="1:17" ht="20.25">
      <c r="A136" s="239"/>
      <c r="B136" s="254">
        <v>0.5755549113798244</v>
      </c>
      <c r="C136" s="255">
        <f>MROUND((1+C135)^$B$136,$B$135)</f>
        <v>0.94000000000000006</v>
      </c>
      <c r="D136" s="255">
        <f>MROUND((1+D135)^$B$136,$B$135)</f>
        <v>1.06</v>
      </c>
      <c r="E136" s="255">
        <f>MROUND((1+E135)^$B$136,$B$135)</f>
        <v>1</v>
      </c>
      <c r="H136" s="255">
        <f>MROUND((1+H135)^$B$136,$B$135)</f>
        <v>1.04</v>
      </c>
      <c r="I136" s="255">
        <f>MROUND((1+I135)^$B$136,$B$135)</f>
        <v>1.26</v>
      </c>
      <c r="L136" s="255">
        <f>MROUND((1+L135)^$B$136,$B$135)</f>
        <v>0.98</v>
      </c>
      <c r="N136" s="255">
        <f>MROUND((1+N135)^$B$136,$B$135)</f>
        <v>1.02</v>
      </c>
      <c r="O136" s="255">
        <f>MROUND((1+O135)^$B$136,$B$135)</f>
        <v>1.02</v>
      </c>
      <c r="P136" s="255">
        <f>MROUND((1+P135)^$B$136,$B$135)</f>
        <v>1.04</v>
      </c>
      <c r="Q136" s="255">
        <f>MROUND((1+Q135)^$B$136,$B$135)</f>
        <v>1.1200000000000001</v>
      </c>
    </row>
    <row r="137" spans="1:17" ht="15.75">
      <c r="A137" s="256" t="s">
        <v>287</v>
      </c>
      <c r="B137" s="257">
        <v>0</v>
      </c>
    </row>
    <row r="138" spans="1:17" ht="15.75">
      <c r="A138" s="258" t="s">
        <v>289</v>
      </c>
      <c r="B138" s="259">
        <v>0.3</v>
      </c>
    </row>
    <row r="139" spans="1:17" ht="15.75">
      <c r="A139" s="258" t="s">
        <v>291</v>
      </c>
      <c r="B139" s="259">
        <v>0.5</v>
      </c>
    </row>
    <row r="140" spans="1:17" ht="15.75">
      <c r="A140" s="258" t="s">
        <v>293</v>
      </c>
      <c r="B140" s="259">
        <v>0.7</v>
      </c>
    </row>
    <row r="141" spans="1:17" ht="15.75">
      <c r="A141" s="256" t="s">
        <v>295</v>
      </c>
      <c r="B141" s="257">
        <v>1</v>
      </c>
    </row>
    <row r="142" spans="1:17">
      <c r="A142" s="260" t="s">
        <v>359</v>
      </c>
    </row>
    <row r="143" spans="1:17">
      <c r="A143" s="261" t="s">
        <v>360</v>
      </c>
    </row>
    <row r="144" spans="1:17">
      <c r="A144" s="261" t="s">
        <v>361</v>
      </c>
      <c r="C144" s="76">
        <v>1.2000000000000002</v>
      </c>
      <c r="D144" s="76">
        <v>1.2000000000000002</v>
      </c>
      <c r="E144" s="250"/>
      <c r="H144" s="76">
        <v>1.2000000000000002</v>
      </c>
      <c r="I144" s="250"/>
      <c r="L144" s="76">
        <v>1</v>
      </c>
      <c r="N144" s="76">
        <v>1.2000000000000002</v>
      </c>
      <c r="P144" s="76">
        <v>1.2000000000000002</v>
      </c>
      <c r="Q144" s="76">
        <v>1.2000000000000002</v>
      </c>
    </row>
    <row r="145" spans="1:1">
      <c r="A145" s="261" t="s">
        <v>362</v>
      </c>
    </row>
    <row r="146" spans="1:1">
      <c r="A146" s="260" t="s">
        <v>363</v>
      </c>
    </row>
  </sheetData>
  <hyperlinks>
    <hyperlink ref="I5" r:id="rId1" xr:uid="{8907F458-3C35-42FD-9742-FCE13038B82E}"/>
    <hyperlink ref="C5" r:id="rId2" xr:uid="{E2C08722-DE9A-465E-9F45-56C64F728C0B}"/>
    <hyperlink ref="H5" r:id="rId3" xr:uid="{C96A3D1C-9D73-4AC7-9FA0-C269EEA5BDD1}"/>
    <hyperlink ref="N5" r:id="rId4" xr:uid="{C3A75758-ECFD-4437-B236-B7EC215A2045}"/>
    <hyperlink ref="D5" r:id="rId5" xr:uid="{A3C62AE8-A247-4E9F-A742-B61566A420AC}"/>
    <hyperlink ref="O5" r:id="rId6" xr:uid="{18F44CEF-E766-4A31-81D0-63C61FC8806F}"/>
    <hyperlink ref="Q5" r:id="rId7" xr:uid="{E7B276FD-6966-4958-9A5C-E3CA58D7A694}"/>
    <hyperlink ref="L5" r:id="rId8" xr:uid="{E9A9E3D1-BEAE-41F4-99C1-10AC7B0E551E}"/>
    <hyperlink ref="E5" r:id="rId9" xr:uid="{94378891-5985-465F-8071-110FF8C7E3D5}"/>
  </hyperlinks>
  <pageMargins left="0.7" right="0.7" top="0.75" bottom="0.75" header="0.3" footer="0.3"/>
  <pageSetup paperSize="9" orientation="portrait" verticalDpi="0" r:id="rId10"/>
  <legacyDrawing r:id="rId1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3DF19-6BCB-449A-8C12-2D4757668EC3}">
  <sheetPr>
    <tabColor theme="3" tint="0.39997558519241921"/>
  </sheetPr>
  <dimension ref="A1:Q133"/>
  <sheetViews>
    <sheetView topLeftCell="A41" workbookViewId="0">
      <selection activeCell="B14" sqref="B14"/>
    </sheetView>
  </sheetViews>
  <sheetFormatPr defaultRowHeight="12.75" outlineLevelRow="1"/>
  <cols>
    <col min="1" max="1" width="51.125" style="76" customWidth="1"/>
    <col min="2" max="5" width="34.875" style="76" customWidth="1"/>
    <col min="6" max="7" width="9" style="76"/>
    <col min="8" max="9" width="34.875" style="76" customWidth="1"/>
    <col min="10" max="11" width="9" style="76"/>
    <col min="12" max="12" width="26" style="76" customWidth="1"/>
    <col min="13" max="13" width="9" style="76"/>
    <col min="14" max="17" width="34.875" style="76" customWidth="1"/>
    <col min="18" max="251" width="9" style="76"/>
    <col min="252" max="252" width="44" style="76" customWidth="1"/>
    <col min="253" max="253" width="24" style="76" customWidth="1"/>
    <col min="254" max="254" width="26.25" style="76" customWidth="1"/>
    <col min="255" max="255" width="25.375" style="76" customWidth="1"/>
    <col min="256" max="258" width="26" style="76" customWidth="1"/>
    <col min="259" max="259" width="9" style="76"/>
    <col min="260" max="261" width="26" style="76" customWidth="1"/>
    <col min="262" max="507" width="9" style="76"/>
    <col min="508" max="508" width="44" style="76" customWidth="1"/>
    <col min="509" max="509" width="24" style="76" customWidth="1"/>
    <col min="510" max="510" width="26.25" style="76" customWidth="1"/>
    <col min="511" max="511" width="25.375" style="76" customWidth="1"/>
    <col min="512" max="514" width="26" style="76" customWidth="1"/>
    <col min="515" max="515" width="9" style="76"/>
    <col min="516" max="517" width="26" style="76" customWidth="1"/>
    <col min="518" max="763" width="9" style="76"/>
    <col min="764" max="764" width="44" style="76" customWidth="1"/>
    <col min="765" max="765" width="24" style="76" customWidth="1"/>
    <col min="766" max="766" width="26.25" style="76" customWidth="1"/>
    <col min="767" max="767" width="25.375" style="76" customWidth="1"/>
    <col min="768" max="770" width="26" style="76" customWidth="1"/>
    <col min="771" max="771" width="9" style="76"/>
    <col min="772" max="773" width="26" style="76" customWidth="1"/>
    <col min="774" max="1019" width="9" style="76"/>
    <col min="1020" max="1020" width="44" style="76" customWidth="1"/>
    <col min="1021" max="1021" width="24" style="76" customWidth="1"/>
    <col min="1022" max="1022" width="26.25" style="76" customWidth="1"/>
    <col min="1023" max="1023" width="25.375" style="76" customWidth="1"/>
    <col min="1024" max="1026" width="26" style="76" customWidth="1"/>
    <col min="1027" max="1027" width="9" style="76"/>
    <col min="1028" max="1029" width="26" style="76" customWidth="1"/>
    <col min="1030" max="1275" width="9" style="76"/>
    <col min="1276" max="1276" width="44" style="76" customWidth="1"/>
    <col min="1277" max="1277" width="24" style="76" customWidth="1"/>
    <col min="1278" max="1278" width="26.25" style="76" customWidth="1"/>
    <col min="1279" max="1279" width="25.375" style="76" customWidth="1"/>
    <col min="1280" max="1282" width="26" style="76" customWidth="1"/>
    <col min="1283" max="1283" width="9" style="76"/>
    <col min="1284" max="1285" width="26" style="76" customWidth="1"/>
    <col min="1286" max="1531" width="9" style="76"/>
    <col min="1532" max="1532" width="44" style="76" customWidth="1"/>
    <col min="1533" max="1533" width="24" style="76" customWidth="1"/>
    <col min="1534" max="1534" width="26.25" style="76" customWidth="1"/>
    <col min="1535" max="1535" width="25.375" style="76" customWidth="1"/>
    <col min="1536" max="1538" width="26" style="76" customWidth="1"/>
    <col min="1539" max="1539" width="9" style="76"/>
    <col min="1540" max="1541" width="26" style="76" customWidth="1"/>
    <col min="1542" max="1787" width="9" style="76"/>
    <col min="1788" max="1788" width="44" style="76" customWidth="1"/>
    <col min="1789" max="1789" width="24" style="76" customWidth="1"/>
    <col min="1790" max="1790" width="26.25" style="76" customWidth="1"/>
    <col min="1791" max="1791" width="25.375" style="76" customWidth="1"/>
    <col min="1792" max="1794" width="26" style="76" customWidth="1"/>
    <col min="1795" max="1795" width="9" style="76"/>
    <col min="1796" max="1797" width="26" style="76" customWidth="1"/>
    <col min="1798" max="2043" width="9" style="76"/>
    <col min="2044" max="2044" width="44" style="76" customWidth="1"/>
    <col min="2045" max="2045" width="24" style="76" customWidth="1"/>
    <col min="2046" max="2046" width="26.25" style="76" customWidth="1"/>
    <col min="2047" max="2047" width="25.375" style="76" customWidth="1"/>
    <col min="2048" max="2050" width="26" style="76" customWidth="1"/>
    <col min="2051" max="2051" width="9" style="76"/>
    <col min="2052" max="2053" width="26" style="76" customWidth="1"/>
    <col min="2054" max="2299" width="9" style="76"/>
    <col min="2300" max="2300" width="44" style="76" customWidth="1"/>
    <col min="2301" max="2301" width="24" style="76" customWidth="1"/>
    <col min="2302" max="2302" width="26.25" style="76" customWidth="1"/>
    <col min="2303" max="2303" width="25.375" style="76" customWidth="1"/>
    <col min="2304" max="2306" width="26" style="76" customWidth="1"/>
    <col min="2307" max="2307" width="9" style="76"/>
    <col min="2308" max="2309" width="26" style="76" customWidth="1"/>
    <col min="2310" max="2555" width="9" style="76"/>
    <col min="2556" max="2556" width="44" style="76" customWidth="1"/>
    <col min="2557" max="2557" width="24" style="76" customWidth="1"/>
    <col min="2558" max="2558" width="26.25" style="76" customWidth="1"/>
    <col min="2559" max="2559" width="25.375" style="76" customWidth="1"/>
    <col min="2560" max="2562" width="26" style="76" customWidth="1"/>
    <col min="2563" max="2563" width="9" style="76"/>
    <col min="2564" max="2565" width="26" style="76" customWidth="1"/>
    <col min="2566" max="2811" width="9" style="76"/>
    <col min="2812" max="2812" width="44" style="76" customWidth="1"/>
    <col min="2813" max="2813" width="24" style="76" customWidth="1"/>
    <col min="2814" max="2814" width="26.25" style="76" customWidth="1"/>
    <col min="2815" max="2815" width="25.375" style="76" customWidth="1"/>
    <col min="2816" max="2818" width="26" style="76" customWidth="1"/>
    <col min="2819" max="2819" width="9" style="76"/>
    <col min="2820" max="2821" width="26" style="76" customWidth="1"/>
    <col min="2822" max="3067" width="9" style="76"/>
    <col min="3068" max="3068" width="44" style="76" customWidth="1"/>
    <col min="3069" max="3069" width="24" style="76" customWidth="1"/>
    <col min="3070" max="3070" width="26.25" style="76" customWidth="1"/>
    <col min="3071" max="3071" width="25.375" style="76" customWidth="1"/>
    <col min="3072" max="3074" width="26" style="76" customWidth="1"/>
    <col min="3075" max="3075" width="9" style="76"/>
    <col min="3076" max="3077" width="26" style="76" customWidth="1"/>
    <col min="3078" max="3323" width="9" style="76"/>
    <col min="3324" max="3324" width="44" style="76" customWidth="1"/>
    <col min="3325" max="3325" width="24" style="76" customWidth="1"/>
    <col min="3326" max="3326" width="26.25" style="76" customWidth="1"/>
    <col min="3327" max="3327" width="25.375" style="76" customWidth="1"/>
    <col min="3328" max="3330" width="26" style="76" customWidth="1"/>
    <col min="3331" max="3331" width="9" style="76"/>
    <col min="3332" max="3333" width="26" style="76" customWidth="1"/>
    <col min="3334" max="3579" width="9" style="76"/>
    <col min="3580" max="3580" width="44" style="76" customWidth="1"/>
    <col min="3581" max="3581" width="24" style="76" customWidth="1"/>
    <col min="3582" max="3582" width="26.25" style="76" customWidth="1"/>
    <col min="3583" max="3583" width="25.375" style="76" customWidth="1"/>
    <col min="3584" max="3586" width="26" style="76" customWidth="1"/>
    <col min="3587" max="3587" width="9" style="76"/>
    <col min="3588" max="3589" width="26" style="76" customWidth="1"/>
    <col min="3590" max="3835" width="9" style="76"/>
    <col min="3836" max="3836" width="44" style="76" customWidth="1"/>
    <col min="3837" max="3837" width="24" style="76" customWidth="1"/>
    <col min="3838" max="3838" width="26.25" style="76" customWidth="1"/>
    <col min="3839" max="3839" width="25.375" style="76" customWidth="1"/>
    <col min="3840" max="3842" width="26" style="76" customWidth="1"/>
    <col min="3843" max="3843" width="9" style="76"/>
    <col min="3844" max="3845" width="26" style="76" customWidth="1"/>
    <col min="3846" max="4091" width="9" style="76"/>
    <col min="4092" max="4092" width="44" style="76" customWidth="1"/>
    <col min="4093" max="4093" width="24" style="76" customWidth="1"/>
    <col min="4094" max="4094" width="26.25" style="76" customWidth="1"/>
    <col min="4095" max="4095" width="25.375" style="76" customWidth="1"/>
    <col min="4096" max="4098" width="26" style="76" customWidth="1"/>
    <col min="4099" max="4099" width="9" style="76"/>
    <col min="4100" max="4101" width="26" style="76" customWidth="1"/>
    <col min="4102" max="4347" width="9" style="76"/>
    <col min="4348" max="4348" width="44" style="76" customWidth="1"/>
    <col min="4349" max="4349" width="24" style="76" customWidth="1"/>
    <col min="4350" max="4350" width="26.25" style="76" customWidth="1"/>
    <col min="4351" max="4351" width="25.375" style="76" customWidth="1"/>
    <col min="4352" max="4354" width="26" style="76" customWidth="1"/>
    <col min="4355" max="4355" width="9" style="76"/>
    <col min="4356" max="4357" width="26" style="76" customWidth="1"/>
    <col min="4358" max="4603" width="9" style="76"/>
    <col min="4604" max="4604" width="44" style="76" customWidth="1"/>
    <col min="4605" max="4605" width="24" style="76" customWidth="1"/>
    <col min="4606" max="4606" width="26.25" style="76" customWidth="1"/>
    <col min="4607" max="4607" width="25.375" style="76" customWidth="1"/>
    <col min="4608" max="4610" width="26" style="76" customWidth="1"/>
    <col min="4611" max="4611" width="9" style="76"/>
    <col min="4612" max="4613" width="26" style="76" customWidth="1"/>
    <col min="4614" max="4859" width="9" style="76"/>
    <col min="4860" max="4860" width="44" style="76" customWidth="1"/>
    <col min="4861" max="4861" width="24" style="76" customWidth="1"/>
    <col min="4862" max="4862" width="26.25" style="76" customWidth="1"/>
    <col min="4863" max="4863" width="25.375" style="76" customWidth="1"/>
    <col min="4864" max="4866" width="26" style="76" customWidth="1"/>
    <col min="4867" max="4867" width="9" style="76"/>
    <col min="4868" max="4869" width="26" style="76" customWidth="1"/>
    <col min="4870" max="5115" width="9" style="76"/>
    <col min="5116" max="5116" width="44" style="76" customWidth="1"/>
    <col min="5117" max="5117" width="24" style="76" customWidth="1"/>
    <col min="5118" max="5118" width="26.25" style="76" customWidth="1"/>
    <col min="5119" max="5119" width="25.375" style="76" customWidth="1"/>
    <col min="5120" max="5122" width="26" style="76" customWidth="1"/>
    <col min="5123" max="5123" width="9" style="76"/>
    <col min="5124" max="5125" width="26" style="76" customWidth="1"/>
    <col min="5126" max="5371" width="9" style="76"/>
    <col min="5372" max="5372" width="44" style="76" customWidth="1"/>
    <col min="5373" max="5373" width="24" style="76" customWidth="1"/>
    <col min="5374" max="5374" width="26.25" style="76" customWidth="1"/>
    <col min="5375" max="5375" width="25.375" style="76" customWidth="1"/>
    <col min="5376" max="5378" width="26" style="76" customWidth="1"/>
    <col min="5379" max="5379" width="9" style="76"/>
    <col min="5380" max="5381" width="26" style="76" customWidth="1"/>
    <col min="5382" max="5627" width="9" style="76"/>
    <col min="5628" max="5628" width="44" style="76" customWidth="1"/>
    <col min="5629" max="5629" width="24" style="76" customWidth="1"/>
    <col min="5630" max="5630" width="26.25" style="76" customWidth="1"/>
    <col min="5631" max="5631" width="25.375" style="76" customWidth="1"/>
    <col min="5632" max="5634" width="26" style="76" customWidth="1"/>
    <col min="5635" max="5635" width="9" style="76"/>
    <col min="5636" max="5637" width="26" style="76" customWidth="1"/>
    <col min="5638" max="5883" width="9" style="76"/>
    <col min="5884" max="5884" width="44" style="76" customWidth="1"/>
    <col min="5885" max="5885" width="24" style="76" customWidth="1"/>
    <col min="5886" max="5886" width="26.25" style="76" customWidth="1"/>
    <col min="5887" max="5887" width="25.375" style="76" customWidth="1"/>
    <col min="5888" max="5890" width="26" style="76" customWidth="1"/>
    <col min="5891" max="5891" width="9" style="76"/>
    <col min="5892" max="5893" width="26" style="76" customWidth="1"/>
    <col min="5894" max="6139" width="9" style="76"/>
    <col min="6140" max="6140" width="44" style="76" customWidth="1"/>
    <col min="6141" max="6141" width="24" style="76" customWidth="1"/>
    <col min="6142" max="6142" width="26.25" style="76" customWidth="1"/>
    <col min="6143" max="6143" width="25.375" style="76" customWidth="1"/>
    <col min="6144" max="6146" width="26" style="76" customWidth="1"/>
    <col min="6147" max="6147" width="9" style="76"/>
    <col min="6148" max="6149" width="26" style="76" customWidth="1"/>
    <col min="6150" max="6395" width="9" style="76"/>
    <col min="6396" max="6396" width="44" style="76" customWidth="1"/>
    <col min="6397" max="6397" width="24" style="76" customWidth="1"/>
    <col min="6398" max="6398" width="26.25" style="76" customWidth="1"/>
    <col min="6399" max="6399" width="25.375" style="76" customWidth="1"/>
    <col min="6400" max="6402" width="26" style="76" customWidth="1"/>
    <col min="6403" max="6403" width="9" style="76"/>
    <col min="6404" max="6405" width="26" style="76" customWidth="1"/>
    <col min="6406" max="6651" width="9" style="76"/>
    <col min="6652" max="6652" width="44" style="76" customWidth="1"/>
    <col min="6653" max="6653" width="24" style="76" customWidth="1"/>
    <col min="6654" max="6654" width="26.25" style="76" customWidth="1"/>
    <col min="6655" max="6655" width="25.375" style="76" customWidth="1"/>
    <col min="6656" max="6658" width="26" style="76" customWidth="1"/>
    <col min="6659" max="6659" width="9" style="76"/>
    <col min="6660" max="6661" width="26" style="76" customWidth="1"/>
    <col min="6662" max="6907" width="9" style="76"/>
    <col min="6908" max="6908" width="44" style="76" customWidth="1"/>
    <col min="6909" max="6909" width="24" style="76" customWidth="1"/>
    <col min="6910" max="6910" width="26.25" style="76" customWidth="1"/>
    <col min="6911" max="6911" width="25.375" style="76" customWidth="1"/>
    <col min="6912" max="6914" width="26" style="76" customWidth="1"/>
    <col min="6915" max="6915" width="9" style="76"/>
    <col min="6916" max="6917" width="26" style="76" customWidth="1"/>
    <col min="6918" max="7163" width="9" style="76"/>
    <col min="7164" max="7164" width="44" style="76" customWidth="1"/>
    <col min="7165" max="7165" width="24" style="76" customWidth="1"/>
    <col min="7166" max="7166" width="26.25" style="76" customWidth="1"/>
    <col min="7167" max="7167" width="25.375" style="76" customWidth="1"/>
    <col min="7168" max="7170" width="26" style="76" customWidth="1"/>
    <col min="7171" max="7171" width="9" style="76"/>
    <col min="7172" max="7173" width="26" style="76" customWidth="1"/>
    <col min="7174" max="7419" width="9" style="76"/>
    <col min="7420" max="7420" width="44" style="76" customWidth="1"/>
    <col min="7421" max="7421" width="24" style="76" customWidth="1"/>
    <col min="7422" max="7422" width="26.25" style="76" customWidth="1"/>
    <col min="7423" max="7423" width="25.375" style="76" customWidth="1"/>
    <col min="7424" max="7426" width="26" style="76" customWidth="1"/>
    <col min="7427" max="7427" width="9" style="76"/>
    <col min="7428" max="7429" width="26" style="76" customWidth="1"/>
    <col min="7430" max="7675" width="9" style="76"/>
    <col min="7676" max="7676" width="44" style="76" customWidth="1"/>
    <col min="7677" max="7677" width="24" style="76" customWidth="1"/>
    <col min="7678" max="7678" width="26.25" style="76" customWidth="1"/>
    <col min="7679" max="7679" width="25.375" style="76" customWidth="1"/>
    <col min="7680" max="7682" width="26" style="76" customWidth="1"/>
    <col min="7683" max="7683" width="9" style="76"/>
    <col min="7684" max="7685" width="26" style="76" customWidth="1"/>
    <col min="7686" max="7931" width="9" style="76"/>
    <col min="7932" max="7932" width="44" style="76" customWidth="1"/>
    <col min="7933" max="7933" width="24" style="76" customWidth="1"/>
    <col min="7934" max="7934" width="26.25" style="76" customWidth="1"/>
    <col min="7935" max="7935" width="25.375" style="76" customWidth="1"/>
    <col min="7936" max="7938" width="26" style="76" customWidth="1"/>
    <col min="7939" max="7939" width="9" style="76"/>
    <col min="7940" max="7941" width="26" style="76" customWidth="1"/>
    <col min="7942" max="8187" width="9" style="76"/>
    <col min="8188" max="8188" width="44" style="76" customWidth="1"/>
    <col min="8189" max="8189" width="24" style="76" customWidth="1"/>
    <col min="8190" max="8190" width="26.25" style="76" customWidth="1"/>
    <col min="8191" max="8191" width="25.375" style="76" customWidth="1"/>
    <col min="8192" max="8194" width="26" style="76" customWidth="1"/>
    <col min="8195" max="8195" width="9" style="76"/>
    <col min="8196" max="8197" width="26" style="76" customWidth="1"/>
    <col min="8198" max="8443" width="9" style="76"/>
    <col min="8444" max="8444" width="44" style="76" customWidth="1"/>
    <col min="8445" max="8445" width="24" style="76" customWidth="1"/>
    <col min="8446" max="8446" width="26.25" style="76" customWidth="1"/>
    <col min="8447" max="8447" width="25.375" style="76" customWidth="1"/>
    <col min="8448" max="8450" width="26" style="76" customWidth="1"/>
    <col min="8451" max="8451" width="9" style="76"/>
    <col min="8452" max="8453" width="26" style="76" customWidth="1"/>
    <col min="8454" max="8699" width="9" style="76"/>
    <col min="8700" max="8700" width="44" style="76" customWidth="1"/>
    <col min="8701" max="8701" width="24" style="76" customWidth="1"/>
    <col min="8702" max="8702" width="26.25" style="76" customWidth="1"/>
    <col min="8703" max="8703" width="25.375" style="76" customWidth="1"/>
    <col min="8704" max="8706" width="26" style="76" customWidth="1"/>
    <col min="8707" max="8707" width="9" style="76"/>
    <col min="8708" max="8709" width="26" style="76" customWidth="1"/>
    <col min="8710" max="8955" width="9" style="76"/>
    <col min="8956" max="8956" width="44" style="76" customWidth="1"/>
    <col min="8957" max="8957" width="24" style="76" customWidth="1"/>
    <col min="8958" max="8958" width="26.25" style="76" customWidth="1"/>
    <col min="8959" max="8959" width="25.375" style="76" customWidth="1"/>
    <col min="8960" max="8962" width="26" style="76" customWidth="1"/>
    <col min="8963" max="8963" width="9" style="76"/>
    <col min="8964" max="8965" width="26" style="76" customWidth="1"/>
    <col min="8966" max="9211" width="9" style="76"/>
    <col min="9212" max="9212" width="44" style="76" customWidth="1"/>
    <col min="9213" max="9213" width="24" style="76" customWidth="1"/>
    <col min="9214" max="9214" width="26.25" style="76" customWidth="1"/>
    <col min="9215" max="9215" width="25.375" style="76" customWidth="1"/>
    <col min="9216" max="9218" width="26" style="76" customWidth="1"/>
    <col min="9219" max="9219" width="9" style="76"/>
    <col min="9220" max="9221" width="26" style="76" customWidth="1"/>
    <col min="9222" max="9467" width="9" style="76"/>
    <col min="9468" max="9468" width="44" style="76" customWidth="1"/>
    <col min="9469" max="9469" width="24" style="76" customWidth="1"/>
    <col min="9470" max="9470" width="26.25" style="76" customWidth="1"/>
    <col min="9471" max="9471" width="25.375" style="76" customWidth="1"/>
    <col min="9472" max="9474" width="26" style="76" customWidth="1"/>
    <col min="9475" max="9475" width="9" style="76"/>
    <col min="9476" max="9477" width="26" style="76" customWidth="1"/>
    <col min="9478" max="9723" width="9" style="76"/>
    <col min="9724" max="9724" width="44" style="76" customWidth="1"/>
    <col min="9725" max="9725" width="24" style="76" customWidth="1"/>
    <col min="9726" max="9726" width="26.25" style="76" customWidth="1"/>
    <col min="9727" max="9727" width="25.375" style="76" customWidth="1"/>
    <col min="9728" max="9730" width="26" style="76" customWidth="1"/>
    <col min="9731" max="9731" width="9" style="76"/>
    <col min="9732" max="9733" width="26" style="76" customWidth="1"/>
    <col min="9734" max="9979" width="9" style="76"/>
    <col min="9980" max="9980" width="44" style="76" customWidth="1"/>
    <col min="9981" max="9981" width="24" style="76" customWidth="1"/>
    <col min="9982" max="9982" width="26.25" style="76" customWidth="1"/>
    <col min="9983" max="9983" width="25.375" style="76" customWidth="1"/>
    <col min="9984" max="9986" width="26" style="76" customWidth="1"/>
    <col min="9987" max="9987" width="9" style="76"/>
    <col min="9988" max="9989" width="26" style="76" customWidth="1"/>
    <col min="9990" max="10235" width="9" style="76"/>
    <col min="10236" max="10236" width="44" style="76" customWidth="1"/>
    <col min="10237" max="10237" width="24" style="76" customWidth="1"/>
    <col min="10238" max="10238" width="26.25" style="76" customWidth="1"/>
    <col min="10239" max="10239" width="25.375" style="76" customWidth="1"/>
    <col min="10240" max="10242" width="26" style="76" customWidth="1"/>
    <col min="10243" max="10243" width="9" style="76"/>
    <col min="10244" max="10245" width="26" style="76" customWidth="1"/>
    <col min="10246" max="10491" width="9" style="76"/>
    <col min="10492" max="10492" width="44" style="76" customWidth="1"/>
    <col min="10493" max="10493" width="24" style="76" customWidth="1"/>
    <col min="10494" max="10494" width="26.25" style="76" customWidth="1"/>
    <col min="10495" max="10495" width="25.375" style="76" customWidth="1"/>
    <col min="10496" max="10498" width="26" style="76" customWidth="1"/>
    <col min="10499" max="10499" width="9" style="76"/>
    <col min="10500" max="10501" width="26" style="76" customWidth="1"/>
    <col min="10502" max="10747" width="9" style="76"/>
    <col min="10748" max="10748" width="44" style="76" customWidth="1"/>
    <col min="10749" max="10749" width="24" style="76" customWidth="1"/>
    <col min="10750" max="10750" width="26.25" style="76" customWidth="1"/>
    <col min="10751" max="10751" width="25.375" style="76" customWidth="1"/>
    <col min="10752" max="10754" width="26" style="76" customWidth="1"/>
    <col min="10755" max="10755" width="9" style="76"/>
    <col min="10756" max="10757" width="26" style="76" customWidth="1"/>
    <col min="10758" max="11003" width="9" style="76"/>
    <col min="11004" max="11004" width="44" style="76" customWidth="1"/>
    <col min="11005" max="11005" width="24" style="76" customWidth="1"/>
    <col min="11006" max="11006" width="26.25" style="76" customWidth="1"/>
    <col min="11007" max="11007" width="25.375" style="76" customWidth="1"/>
    <col min="11008" max="11010" width="26" style="76" customWidth="1"/>
    <col min="11011" max="11011" width="9" style="76"/>
    <col min="11012" max="11013" width="26" style="76" customWidth="1"/>
    <col min="11014" max="11259" width="9" style="76"/>
    <col min="11260" max="11260" width="44" style="76" customWidth="1"/>
    <col min="11261" max="11261" width="24" style="76" customWidth="1"/>
    <col min="11262" max="11262" width="26.25" style="76" customWidth="1"/>
    <col min="11263" max="11263" width="25.375" style="76" customWidth="1"/>
    <col min="11264" max="11266" width="26" style="76" customWidth="1"/>
    <col min="11267" max="11267" width="9" style="76"/>
    <col min="11268" max="11269" width="26" style="76" customWidth="1"/>
    <col min="11270" max="11515" width="9" style="76"/>
    <col min="11516" max="11516" width="44" style="76" customWidth="1"/>
    <col min="11517" max="11517" width="24" style="76" customWidth="1"/>
    <col min="11518" max="11518" width="26.25" style="76" customWidth="1"/>
    <col min="11519" max="11519" width="25.375" style="76" customWidth="1"/>
    <col min="11520" max="11522" width="26" style="76" customWidth="1"/>
    <col min="11523" max="11523" width="9" style="76"/>
    <col min="11524" max="11525" width="26" style="76" customWidth="1"/>
    <col min="11526" max="11771" width="9" style="76"/>
    <col min="11772" max="11772" width="44" style="76" customWidth="1"/>
    <col min="11773" max="11773" width="24" style="76" customWidth="1"/>
    <col min="11774" max="11774" width="26.25" style="76" customWidth="1"/>
    <col min="11775" max="11775" width="25.375" style="76" customWidth="1"/>
    <col min="11776" max="11778" width="26" style="76" customWidth="1"/>
    <col min="11779" max="11779" width="9" style="76"/>
    <col min="11780" max="11781" width="26" style="76" customWidth="1"/>
    <col min="11782" max="12027" width="9" style="76"/>
    <col min="12028" max="12028" width="44" style="76" customWidth="1"/>
    <col min="12029" max="12029" width="24" style="76" customWidth="1"/>
    <col min="12030" max="12030" width="26.25" style="76" customWidth="1"/>
    <col min="12031" max="12031" width="25.375" style="76" customWidth="1"/>
    <col min="12032" max="12034" width="26" style="76" customWidth="1"/>
    <col min="12035" max="12035" width="9" style="76"/>
    <col min="12036" max="12037" width="26" style="76" customWidth="1"/>
    <col min="12038" max="12283" width="9" style="76"/>
    <col min="12284" max="12284" width="44" style="76" customWidth="1"/>
    <col min="12285" max="12285" width="24" style="76" customWidth="1"/>
    <col min="12286" max="12286" width="26.25" style="76" customWidth="1"/>
    <col min="12287" max="12287" width="25.375" style="76" customWidth="1"/>
    <col min="12288" max="12290" width="26" style="76" customWidth="1"/>
    <col min="12291" max="12291" width="9" style="76"/>
    <col min="12292" max="12293" width="26" style="76" customWidth="1"/>
    <col min="12294" max="12539" width="9" style="76"/>
    <col min="12540" max="12540" width="44" style="76" customWidth="1"/>
    <col min="12541" max="12541" width="24" style="76" customWidth="1"/>
    <col min="12542" max="12542" width="26.25" style="76" customWidth="1"/>
    <col min="12543" max="12543" width="25.375" style="76" customWidth="1"/>
    <col min="12544" max="12546" width="26" style="76" customWidth="1"/>
    <col min="12547" max="12547" width="9" style="76"/>
    <col min="12548" max="12549" width="26" style="76" customWidth="1"/>
    <col min="12550" max="12795" width="9" style="76"/>
    <col min="12796" max="12796" width="44" style="76" customWidth="1"/>
    <col min="12797" max="12797" width="24" style="76" customWidth="1"/>
    <col min="12798" max="12798" width="26.25" style="76" customWidth="1"/>
    <col min="12799" max="12799" width="25.375" style="76" customWidth="1"/>
    <col min="12800" max="12802" width="26" style="76" customWidth="1"/>
    <col min="12803" max="12803" width="9" style="76"/>
    <col min="12804" max="12805" width="26" style="76" customWidth="1"/>
    <col min="12806" max="13051" width="9" style="76"/>
    <col min="13052" max="13052" width="44" style="76" customWidth="1"/>
    <col min="13053" max="13053" width="24" style="76" customWidth="1"/>
    <col min="13054" max="13054" width="26.25" style="76" customWidth="1"/>
    <col min="13055" max="13055" width="25.375" style="76" customWidth="1"/>
    <col min="13056" max="13058" width="26" style="76" customWidth="1"/>
    <col min="13059" max="13059" width="9" style="76"/>
    <col min="13060" max="13061" width="26" style="76" customWidth="1"/>
    <col min="13062" max="13307" width="9" style="76"/>
    <col min="13308" max="13308" width="44" style="76" customWidth="1"/>
    <col min="13309" max="13309" width="24" style="76" customWidth="1"/>
    <col min="13310" max="13310" width="26.25" style="76" customWidth="1"/>
    <col min="13311" max="13311" width="25.375" style="76" customWidth="1"/>
    <col min="13312" max="13314" width="26" style="76" customWidth="1"/>
    <col min="13315" max="13315" width="9" style="76"/>
    <col min="13316" max="13317" width="26" style="76" customWidth="1"/>
    <col min="13318" max="13563" width="9" style="76"/>
    <col min="13564" max="13564" width="44" style="76" customWidth="1"/>
    <col min="13565" max="13565" width="24" style="76" customWidth="1"/>
    <col min="13566" max="13566" width="26.25" style="76" customWidth="1"/>
    <col min="13567" max="13567" width="25.375" style="76" customWidth="1"/>
    <col min="13568" max="13570" width="26" style="76" customWidth="1"/>
    <col min="13571" max="13571" width="9" style="76"/>
    <col min="13572" max="13573" width="26" style="76" customWidth="1"/>
    <col min="13574" max="13819" width="9" style="76"/>
    <col min="13820" max="13820" width="44" style="76" customWidth="1"/>
    <col min="13821" max="13821" width="24" style="76" customWidth="1"/>
    <col min="13822" max="13822" width="26.25" style="76" customWidth="1"/>
    <col min="13823" max="13823" width="25.375" style="76" customWidth="1"/>
    <col min="13824" max="13826" width="26" style="76" customWidth="1"/>
    <col min="13827" max="13827" width="9" style="76"/>
    <col min="13828" max="13829" width="26" style="76" customWidth="1"/>
    <col min="13830" max="14075" width="9" style="76"/>
    <col min="14076" max="14076" width="44" style="76" customWidth="1"/>
    <col min="14077" max="14077" width="24" style="76" customWidth="1"/>
    <col min="14078" max="14078" width="26.25" style="76" customWidth="1"/>
    <col min="14079" max="14079" width="25.375" style="76" customWidth="1"/>
    <col min="14080" max="14082" width="26" style="76" customWidth="1"/>
    <col min="14083" max="14083" width="9" style="76"/>
    <col min="14084" max="14085" width="26" style="76" customWidth="1"/>
    <col min="14086" max="14331" width="9" style="76"/>
    <col min="14332" max="14332" width="44" style="76" customWidth="1"/>
    <col min="14333" max="14333" width="24" style="76" customWidth="1"/>
    <col min="14334" max="14334" width="26.25" style="76" customWidth="1"/>
    <col min="14335" max="14335" width="25.375" style="76" customWidth="1"/>
    <col min="14336" max="14338" width="26" style="76" customWidth="1"/>
    <col min="14339" max="14339" width="9" style="76"/>
    <col min="14340" max="14341" width="26" style="76" customWidth="1"/>
    <col min="14342" max="14587" width="9" style="76"/>
    <col min="14588" max="14588" width="44" style="76" customWidth="1"/>
    <col min="14589" max="14589" width="24" style="76" customWidth="1"/>
    <col min="14590" max="14590" width="26.25" style="76" customWidth="1"/>
    <col min="14591" max="14591" width="25.375" style="76" customWidth="1"/>
    <col min="14592" max="14594" width="26" style="76" customWidth="1"/>
    <col min="14595" max="14595" width="9" style="76"/>
    <col min="14596" max="14597" width="26" style="76" customWidth="1"/>
    <col min="14598" max="14843" width="9" style="76"/>
    <col min="14844" max="14844" width="44" style="76" customWidth="1"/>
    <col min="14845" max="14845" width="24" style="76" customWidth="1"/>
    <col min="14846" max="14846" width="26.25" style="76" customWidth="1"/>
    <col min="14847" max="14847" width="25.375" style="76" customWidth="1"/>
    <col min="14848" max="14850" width="26" style="76" customWidth="1"/>
    <col min="14851" max="14851" width="9" style="76"/>
    <col min="14852" max="14853" width="26" style="76" customWidth="1"/>
    <col min="14854" max="15099" width="9" style="76"/>
    <col min="15100" max="15100" width="44" style="76" customWidth="1"/>
    <col min="15101" max="15101" width="24" style="76" customWidth="1"/>
    <col min="15102" max="15102" width="26.25" style="76" customWidth="1"/>
    <col min="15103" max="15103" width="25.375" style="76" customWidth="1"/>
    <col min="15104" max="15106" width="26" style="76" customWidth="1"/>
    <col min="15107" max="15107" width="9" style="76"/>
    <col min="15108" max="15109" width="26" style="76" customWidth="1"/>
    <col min="15110" max="15355" width="9" style="76"/>
    <col min="15356" max="15356" width="44" style="76" customWidth="1"/>
    <col min="15357" max="15357" width="24" style="76" customWidth="1"/>
    <col min="15358" max="15358" width="26.25" style="76" customWidth="1"/>
    <col min="15359" max="15359" width="25.375" style="76" customWidth="1"/>
    <col min="15360" max="15362" width="26" style="76" customWidth="1"/>
    <col min="15363" max="15363" width="9" style="76"/>
    <col min="15364" max="15365" width="26" style="76" customWidth="1"/>
    <col min="15366" max="15611" width="9" style="76"/>
    <col min="15612" max="15612" width="44" style="76" customWidth="1"/>
    <col min="15613" max="15613" width="24" style="76" customWidth="1"/>
    <col min="15614" max="15614" width="26.25" style="76" customWidth="1"/>
    <col min="15615" max="15615" width="25.375" style="76" customWidth="1"/>
    <col min="15616" max="15618" width="26" style="76" customWidth="1"/>
    <col min="15619" max="15619" width="9" style="76"/>
    <col min="15620" max="15621" width="26" style="76" customWidth="1"/>
    <col min="15622" max="15867" width="9" style="76"/>
    <col min="15868" max="15868" width="44" style="76" customWidth="1"/>
    <col min="15869" max="15869" width="24" style="76" customWidth="1"/>
    <col min="15870" max="15870" width="26.25" style="76" customWidth="1"/>
    <col min="15871" max="15871" width="25.375" style="76" customWidth="1"/>
    <col min="15872" max="15874" width="26" style="76" customWidth="1"/>
    <col min="15875" max="15875" width="9" style="76"/>
    <col min="15876" max="15877" width="26" style="76" customWidth="1"/>
    <col min="15878" max="16123" width="9" style="76"/>
    <col min="16124" max="16124" width="44" style="76" customWidth="1"/>
    <col min="16125" max="16125" width="24" style="76" customWidth="1"/>
    <col min="16126" max="16126" width="26.25" style="76" customWidth="1"/>
    <col min="16127" max="16127" width="25.375" style="76" customWidth="1"/>
    <col min="16128" max="16130" width="26" style="76" customWidth="1"/>
    <col min="16131" max="16131" width="9" style="76"/>
    <col min="16132" max="16133" width="26" style="76" customWidth="1"/>
    <col min="16134" max="16384" width="9" style="76"/>
  </cols>
  <sheetData>
    <row r="1" spans="1:17">
      <c r="C1" s="74"/>
      <c r="D1" s="77"/>
      <c r="H1" s="74"/>
      <c r="I1" s="74"/>
      <c r="N1" s="74"/>
    </row>
    <row r="2" spans="1:17">
      <c r="C2" s="74"/>
      <c r="D2" s="78"/>
      <c r="H2" s="74"/>
      <c r="I2" s="74"/>
      <c r="N2" s="74"/>
    </row>
    <row r="3" spans="1:17">
      <c r="C3" s="80"/>
      <c r="D3" s="77" t="s">
        <v>312</v>
      </c>
      <c r="E3" s="198"/>
      <c r="H3" s="199" t="s">
        <v>313</v>
      </c>
      <c r="I3" s="80"/>
      <c r="N3" s="81"/>
    </row>
    <row r="4" spans="1:17">
      <c r="C4" s="199" t="s">
        <v>314</v>
      </c>
      <c r="D4" s="199" t="s">
        <v>315</v>
      </c>
      <c r="E4" s="199" t="s">
        <v>316</v>
      </c>
      <c r="H4" s="199" t="s">
        <v>317</v>
      </c>
      <c r="I4" s="199" t="s">
        <v>318</v>
      </c>
      <c r="L4" s="199" t="s">
        <v>319</v>
      </c>
      <c r="N4" s="199" t="s">
        <v>320</v>
      </c>
      <c r="O4" s="199" t="s">
        <v>321</v>
      </c>
      <c r="P4" s="199" t="s">
        <v>322</v>
      </c>
      <c r="Q4" s="199" t="s">
        <v>323</v>
      </c>
    </row>
    <row r="5" spans="1:17">
      <c r="A5" s="104"/>
      <c r="B5" s="83"/>
      <c r="C5" s="84" t="s">
        <v>151</v>
      </c>
      <c r="D5" s="200" t="s">
        <v>152</v>
      </c>
      <c r="E5" s="77" t="s">
        <v>153</v>
      </c>
      <c r="H5" s="77" t="s">
        <v>156</v>
      </c>
      <c r="I5" s="86" t="s">
        <v>155</v>
      </c>
      <c r="L5" s="86" t="s">
        <v>324</v>
      </c>
      <c r="N5" s="77" t="s">
        <v>154</v>
      </c>
      <c r="O5" s="86" t="s">
        <v>325</v>
      </c>
      <c r="P5" s="86" t="s">
        <v>326</v>
      </c>
      <c r="Q5" s="200" t="s">
        <v>327</v>
      </c>
    </row>
    <row r="6" spans="1:17">
      <c r="A6" s="87" t="s">
        <v>158</v>
      </c>
      <c r="B6" s="87" t="s">
        <v>159</v>
      </c>
      <c r="C6" s="87" t="s">
        <v>123</v>
      </c>
      <c r="D6" s="87" t="s">
        <v>124</v>
      </c>
      <c r="E6" s="87" t="s">
        <v>126</v>
      </c>
      <c r="H6" s="87" t="s">
        <v>126</v>
      </c>
      <c r="I6" s="87" t="s">
        <v>123</v>
      </c>
      <c r="L6" s="87" t="s">
        <v>124</v>
      </c>
      <c r="N6" s="87" t="s">
        <v>126</v>
      </c>
      <c r="O6" s="87" t="s">
        <v>123</v>
      </c>
      <c r="P6" s="87" t="s">
        <v>126</v>
      </c>
      <c r="Q6" s="87" t="s">
        <v>126</v>
      </c>
    </row>
    <row r="7" spans="1:17">
      <c r="A7" s="88" t="s">
        <v>160</v>
      </c>
      <c r="B7" s="89" t="e">
        <f>датоц</f>
        <v>#NAME?</v>
      </c>
      <c r="C7" s="89" t="e">
        <f>датоц</f>
        <v>#NAME?</v>
      </c>
      <c r="D7" s="89" t="e">
        <f>датоц</f>
        <v>#NAME?</v>
      </c>
      <c r="E7" s="89" t="e">
        <f>датоц</f>
        <v>#NAME?</v>
      </c>
      <c r="H7" s="89" t="e">
        <f>датоц</f>
        <v>#NAME?</v>
      </c>
      <c r="I7" s="89" t="e">
        <f>датоц</f>
        <v>#NAME?</v>
      </c>
      <c r="L7" s="89" t="e">
        <f>датоц</f>
        <v>#NAME?</v>
      </c>
      <c r="N7" s="89" t="e">
        <f>датоц</f>
        <v>#NAME?</v>
      </c>
      <c r="O7" s="89" t="e">
        <f>датоц</f>
        <v>#NAME?</v>
      </c>
      <c r="P7" s="89" t="e">
        <f>датоц</f>
        <v>#NAME?</v>
      </c>
      <c r="Q7" s="89" t="e">
        <f>датоц</f>
        <v>#NAME?</v>
      </c>
    </row>
    <row r="8" spans="1:17">
      <c r="A8" s="88" t="s">
        <v>161</v>
      </c>
      <c r="B8" s="90"/>
      <c r="C8" s="91" t="s">
        <v>162</v>
      </c>
      <c r="D8" s="91" t="s">
        <v>163</v>
      </c>
      <c r="E8" s="92" t="s">
        <v>164</v>
      </c>
      <c r="H8" s="92" t="s">
        <v>167</v>
      </c>
      <c r="I8" s="93" t="s">
        <v>166</v>
      </c>
      <c r="L8" s="97" t="s">
        <v>328</v>
      </c>
      <c r="N8" s="92" t="s">
        <v>165</v>
      </c>
      <c r="O8" s="98" t="s">
        <v>329</v>
      </c>
      <c r="P8" s="97" t="s">
        <v>328</v>
      </c>
      <c r="Q8" s="201" t="s">
        <v>330</v>
      </c>
    </row>
    <row r="9" spans="1:17" ht="25.5">
      <c r="A9" s="88" t="s">
        <v>169</v>
      </c>
      <c r="B9" s="94" t="s">
        <v>170</v>
      </c>
      <c r="C9" s="95" t="s">
        <v>170</v>
      </c>
      <c r="D9" s="94" t="s">
        <v>170</v>
      </c>
      <c r="E9" s="96" t="s">
        <v>331</v>
      </c>
      <c r="H9" s="94" t="s">
        <v>170</v>
      </c>
      <c r="I9" s="94" t="s">
        <v>170</v>
      </c>
      <c r="L9" s="96" t="s">
        <v>331</v>
      </c>
      <c r="N9" s="94" t="s">
        <v>171</v>
      </c>
      <c r="O9" s="94" t="s">
        <v>170</v>
      </c>
      <c r="P9" s="94" t="s">
        <v>170</v>
      </c>
      <c r="Q9" s="96" t="s">
        <v>331</v>
      </c>
    </row>
    <row r="10" spans="1:17" ht="25.5">
      <c r="A10" s="88" t="s">
        <v>172</v>
      </c>
      <c r="B10" s="96" t="s">
        <v>304</v>
      </c>
      <c r="C10" s="97" t="s">
        <v>173</v>
      </c>
      <c r="D10" s="98" t="s">
        <v>174</v>
      </c>
      <c r="E10" s="99" t="s">
        <v>175</v>
      </c>
      <c r="H10" s="99" t="s">
        <v>178</v>
      </c>
      <c r="I10" s="99" t="s">
        <v>332</v>
      </c>
      <c r="L10" s="202" t="s">
        <v>307</v>
      </c>
      <c r="N10" s="99" t="s">
        <v>176</v>
      </c>
      <c r="O10" s="97" t="s">
        <v>333</v>
      </c>
      <c r="P10" s="202" t="s">
        <v>334</v>
      </c>
      <c r="Q10" s="101" t="s">
        <v>335</v>
      </c>
    </row>
    <row r="11" spans="1:17" ht="25.5">
      <c r="A11" s="88" t="s">
        <v>180</v>
      </c>
      <c r="B11" s="96" t="s">
        <v>181</v>
      </c>
      <c r="C11" s="101" t="s">
        <v>181</v>
      </c>
      <c r="D11" s="93" t="s">
        <v>181</v>
      </c>
      <c r="E11" s="99" t="s">
        <v>182</v>
      </c>
      <c r="H11" s="99" t="s">
        <v>184</v>
      </c>
      <c r="I11" s="99" t="s">
        <v>181</v>
      </c>
      <c r="L11" s="203" t="s">
        <v>181</v>
      </c>
      <c r="N11" s="99" t="s">
        <v>183</v>
      </c>
      <c r="O11" s="93" t="s">
        <v>336</v>
      </c>
      <c r="P11" s="203" t="s">
        <v>181</v>
      </c>
      <c r="Q11" s="203" t="s">
        <v>337</v>
      </c>
    </row>
    <row r="12" spans="1:17" s="207" customFormat="1" hidden="1" outlineLevel="1">
      <c r="A12" s="111" t="s">
        <v>338</v>
      </c>
      <c r="B12" s="204"/>
      <c r="C12" s="205" t="s">
        <v>187</v>
      </c>
      <c r="D12" s="206" t="s">
        <v>187</v>
      </c>
      <c r="E12" s="205" t="s">
        <v>187</v>
      </c>
      <c r="H12" s="205" t="s">
        <v>187</v>
      </c>
      <c r="I12" s="208" t="s">
        <v>188</v>
      </c>
      <c r="L12" s="204"/>
      <c r="N12" s="205" t="s">
        <v>187</v>
      </c>
      <c r="O12" s="205" t="s">
        <v>339</v>
      </c>
      <c r="P12" s="206"/>
      <c r="Q12" s="206"/>
    </row>
    <row r="13" spans="1:17" ht="38.25" collapsed="1">
      <c r="A13" s="88" t="s">
        <v>186</v>
      </c>
      <c r="B13" s="91" t="s">
        <v>364</v>
      </c>
      <c r="C13" s="94" t="s">
        <v>187</v>
      </c>
      <c r="D13" s="93" t="s">
        <v>187</v>
      </c>
      <c r="E13" s="94" t="s">
        <v>187</v>
      </c>
      <c r="H13" s="94" t="s">
        <v>187</v>
      </c>
      <c r="I13" s="102" t="s">
        <v>188</v>
      </c>
      <c r="L13" s="94" t="s">
        <v>187</v>
      </c>
      <c r="N13" s="94" t="s">
        <v>187</v>
      </c>
      <c r="O13" s="94" t="s">
        <v>187</v>
      </c>
      <c r="P13" s="209" t="s">
        <v>187</v>
      </c>
      <c r="Q13" s="209" t="s">
        <v>340</v>
      </c>
    </row>
    <row r="14" spans="1:17" ht="15">
      <c r="A14" s="88" t="s">
        <v>341</v>
      </c>
      <c r="B14" s="103">
        <f>SUM(B15:B19)</f>
        <v>19990</v>
      </c>
      <c r="C14" s="103">
        <f>SUM(C15:C19)</f>
        <v>1870</v>
      </c>
      <c r="D14" s="103">
        <f>SUM(D15:D19)</f>
        <v>6996</v>
      </c>
      <c r="E14" s="103">
        <f>SUM(E15:E19)</f>
        <v>3337.7</v>
      </c>
      <c r="H14" s="103">
        <f t="shared" ref="H14" si="0">SUM(H15:H19)</f>
        <v>3400</v>
      </c>
      <c r="I14" s="103">
        <f>SUM(I15:I19)</f>
        <v>1906</v>
      </c>
      <c r="L14" s="103">
        <f>SUM(L15:L19)</f>
        <v>2476</v>
      </c>
      <c r="N14" s="103">
        <f>SUM(N15:N18)</f>
        <v>5699.9999999999991</v>
      </c>
      <c r="O14" s="103">
        <f>SUM(O15:O19)</f>
        <v>1407</v>
      </c>
      <c r="P14" s="103">
        <f>SUM(P15:P18)</f>
        <v>1800</v>
      </c>
      <c r="Q14" s="103">
        <f>SUM(Q15:Q18)</f>
        <v>2283.1999999999998</v>
      </c>
    </row>
    <row r="15" spans="1:17">
      <c r="A15" s="105" t="s">
        <v>191</v>
      </c>
      <c r="B15" s="106">
        <v>949.5</v>
      </c>
      <c r="C15" s="106">
        <v>110</v>
      </c>
      <c r="D15" s="106">
        <v>360</v>
      </c>
      <c r="E15" s="210">
        <v>1390</v>
      </c>
      <c r="H15" s="106">
        <f>2550+850</f>
        <v>3400</v>
      </c>
      <c r="I15" s="108">
        <v>1260</v>
      </c>
      <c r="L15" s="106">
        <f>13+15.6+32.7+13.5</f>
        <v>74.800000000000011</v>
      </c>
      <c r="N15" s="106">
        <v>877.69999999999993</v>
      </c>
      <c r="O15" s="108">
        <v>500</v>
      </c>
      <c r="P15" s="210">
        <v>23.1</v>
      </c>
      <c r="Q15" s="106">
        <f>786+309.5</f>
        <v>1095.5</v>
      </c>
    </row>
    <row r="16" spans="1:17">
      <c r="A16" s="105" t="s">
        <v>192</v>
      </c>
      <c r="B16" s="106">
        <v>14304</v>
      </c>
      <c r="C16" s="106">
        <v>1300</v>
      </c>
      <c r="D16" s="106">
        <v>5523.8</v>
      </c>
      <c r="E16" s="210">
        <v>0</v>
      </c>
      <c r="H16" s="106">
        <v>0</v>
      </c>
      <c r="I16" s="108">
        <v>646</v>
      </c>
      <c r="L16" s="106">
        <f>1636-L15</f>
        <v>1561.2</v>
      </c>
      <c r="N16" s="106">
        <v>4822.2999999999993</v>
      </c>
      <c r="O16" s="108">
        <v>0</v>
      </c>
      <c r="P16" s="210">
        <v>800</v>
      </c>
      <c r="Q16" s="106">
        <f>767.7+120</f>
        <v>887.7</v>
      </c>
    </row>
    <row r="17" spans="1:17">
      <c r="A17" s="105" t="s">
        <v>193</v>
      </c>
      <c r="B17" s="106">
        <v>4736.5</v>
      </c>
      <c r="C17" s="106">
        <v>460</v>
      </c>
      <c r="D17" s="106">
        <v>1112.2</v>
      </c>
      <c r="E17" s="210">
        <v>1947.7</v>
      </c>
      <c r="H17" s="106">
        <v>0</v>
      </c>
      <c r="I17" s="108">
        <v>0</v>
      </c>
      <c r="L17" s="106">
        <v>840</v>
      </c>
      <c r="N17" s="106">
        <v>0</v>
      </c>
      <c r="O17" s="108">
        <v>700</v>
      </c>
      <c r="P17" s="210">
        <v>976.90000000000009</v>
      </c>
      <c r="Q17" s="106">
        <v>300</v>
      </c>
    </row>
    <row r="18" spans="1:17" ht="15" customHeight="1">
      <c r="A18" s="105" t="s">
        <v>194</v>
      </c>
      <c r="B18" s="106">
        <v>0</v>
      </c>
      <c r="C18" s="106">
        <v>0</v>
      </c>
      <c r="D18" s="106">
        <v>0</v>
      </c>
      <c r="E18" s="210">
        <v>0</v>
      </c>
      <c r="H18" s="106">
        <v>0</v>
      </c>
      <c r="I18" s="106">
        <v>0</v>
      </c>
      <c r="L18" s="94">
        <v>0</v>
      </c>
      <c r="N18" s="106">
        <v>0</v>
      </c>
      <c r="O18" s="108">
        <v>122</v>
      </c>
      <c r="P18" s="210">
        <v>0</v>
      </c>
      <c r="Q18" s="94">
        <v>0</v>
      </c>
    </row>
    <row r="19" spans="1:17">
      <c r="A19" s="211" t="s">
        <v>201</v>
      </c>
      <c r="B19" s="106">
        <v>0</v>
      </c>
      <c r="C19" s="106">
        <v>0</v>
      </c>
      <c r="D19" s="106">
        <v>0</v>
      </c>
      <c r="E19" s="103">
        <v>0</v>
      </c>
      <c r="H19" s="106">
        <v>0</v>
      </c>
      <c r="I19" s="106">
        <v>0</v>
      </c>
      <c r="L19" s="103">
        <v>0</v>
      </c>
      <c r="N19" s="106">
        <v>0</v>
      </c>
      <c r="O19" s="104">
        <v>85</v>
      </c>
      <c r="P19" s="94">
        <v>0</v>
      </c>
      <c r="Q19" s="103">
        <v>0</v>
      </c>
    </row>
    <row r="20" spans="1:17" ht="25.5">
      <c r="A20" s="88" t="s">
        <v>202</v>
      </c>
      <c r="B20" s="94" t="s">
        <v>342</v>
      </c>
      <c r="C20" s="115" t="s">
        <v>204</v>
      </c>
      <c r="D20" s="94" t="s">
        <v>205</v>
      </c>
      <c r="E20" s="115" t="s">
        <v>206</v>
      </c>
      <c r="H20" s="94" t="s">
        <v>343</v>
      </c>
      <c r="I20" s="115" t="s">
        <v>344</v>
      </c>
      <c r="L20" s="94" t="s">
        <v>345</v>
      </c>
      <c r="N20" s="115" t="s">
        <v>346</v>
      </c>
      <c r="O20" s="94" t="s">
        <v>345</v>
      </c>
      <c r="P20" s="209" t="s">
        <v>345</v>
      </c>
      <c r="Q20" s="209" t="s">
        <v>347</v>
      </c>
    </row>
    <row r="21" spans="1:17" ht="25.5">
      <c r="A21" s="88" t="s">
        <v>211</v>
      </c>
      <c r="B21" s="94" t="s">
        <v>348</v>
      </c>
      <c r="C21" s="94" t="s">
        <v>213</v>
      </c>
      <c r="D21" s="94" t="s">
        <v>212</v>
      </c>
      <c r="E21" s="94" t="s">
        <v>214</v>
      </c>
      <c r="H21" s="94" t="s">
        <v>214</v>
      </c>
      <c r="I21" s="94" t="s">
        <v>212</v>
      </c>
      <c r="L21" s="209" t="s">
        <v>214</v>
      </c>
      <c r="N21" s="94" t="s">
        <v>214</v>
      </c>
      <c r="O21" s="94" t="s">
        <v>212</v>
      </c>
      <c r="P21" s="209" t="s">
        <v>212</v>
      </c>
      <c r="Q21" s="209" t="s">
        <v>212</v>
      </c>
    </row>
    <row r="22" spans="1:17" ht="25.5">
      <c r="A22" s="88" t="s">
        <v>215</v>
      </c>
      <c r="B22" s="94" t="s">
        <v>365</v>
      </c>
      <c r="C22" s="94" t="s">
        <v>216</v>
      </c>
      <c r="D22" s="94" t="s">
        <v>217</v>
      </c>
      <c r="E22" s="94" t="s">
        <v>217</v>
      </c>
      <c r="H22" s="94" t="s">
        <v>218</v>
      </c>
      <c r="I22" s="115" t="s">
        <v>216</v>
      </c>
      <c r="L22" s="94" t="s">
        <v>349</v>
      </c>
      <c r="N22" s="94" t="s">
        <v>216</v>
      </c>
      <c r="O22" s="94" t="s">
        <v>216</v>
      </c>
      <c r="P22" s="94" t="s">
        <v>216</v>
      </c>
      <c r="Q22" s="209" t="s">
        <v>217</v>
      </c>
    </row>
    <row r="23" spans="1:17">
      <c r="A23" s="88" t="s">
        <v>220</v>
      </c>
      <c r="B23" s="94" t="s">
        <v>221</v>
      </c>
      <c r="C23" s="115" t="s">
        <v>221</v>
      </c>
      <c r="D23" s="94" t="s">
        <v>221</v>
      </c>
      <c r="E23" s="209" t="s">
        <v>221</v>
      </c>
      <c r="H23" s="94" t="s">
        <v>221</v>
      </c>
      <c r="I23" s="115" t="s">
        <v>221</v>
      </c>
      <c r="L23" s="209" t="s">
        <v>221</v>
      </c>
      <c r="N23" s="94" t="s">
        <v>221</v>
      </c>
      <c r="O23" s="94" t="s">
        <v>221</v>
      </c>
      <c r="P23" s="209" t="s">
        <v>221</v>
      </c>
      <c r="Q23" s="209" t="s">
        <v>221</v>
      </c>
    </row>
    <row r="24" spans="1:17" ht="15">
      <c r="A24" s="88" t="s">
        <v>350</v>
      </c>
      <c r="B24" s="103">
        <v>45550</v>
      </c>
      <c r="C24" s="104">
        <v>5480</v>
      </c>
      <c r="D24" s="103">
        <v>12620</v>
      </c>
      <c r="E24" s="212">
        <v>7800</v>
      </c>
      <c r="H24" s="103">
        <v>6500</v>
      </c>
      <c r="I24" s="115">
        <v>1300</v>
      </c>
      <c r="L24" s="103">
        <v>6000</v>
      </c>
      <c r="N24" s="103">
        <f>6640+5000+595</f>
        <v>12235</v>
      </c>
      <c r="O24" s="103">
        <v>3000</v>
      </c>
      <c r="P24" s="212">
        <v>3200</v>
      </c>
      <c r="Q24" s="103">
        <v>2469</v>
      </c>
    </row>
    <row r="25" spans="1:17" ht="25.5">
      <c r="A25" s="88" t="s">
        <v>226</v>
      </c>
      <c r="B25" s="94" t="s">
        <v>227</v>
      </c>
      <c r="C25" s="94" t="s">
        <v>227</v>
      </c>
      <c r="D25" s="94" t="s">
        <v>228</v>
      </c>
      <c r="E25" s="94" t="s">
        <v>228</v>
      </c>
      <c r="H25" s="115" t="s">
        <v>229</v>
      </c>
      <c r="I25" s="94" t="s">
        <v>227</v>
      </c>
      <c r="L25" s="209" t="s">
        <v>227</v>
      </c>
      <c r="N25" s="115" t="s">
        <v>351</v>
      </c>
      <c r="O25" s="94" t="s">
        <v>227</v>
      </c>
      <c r="P25" s="209" t="s">
        <v>227</v>
      </c>
      <c r="Q25" s="209" t="s">
        <v>227</v>
      </c>
    </row>
    <row r="26" spans="1:17" ht="25.5">
      <c r="A26" s="88" t="s">
        <v>230</v>
      </c>
      <c r="B26" s="97" t="s">
        <v>231</v>
      </c>
      <c r="C26" s="116" t="s">
        <v>231</v>
      </c>
      <c r="D26" s="97" t="s">
        <v>232</v>
      </c>
      <c r="E26" s="116" t="s">
        <v>233</v>
      </c>
      <c r="H26" s="116" t="s">
        <v>231</v>
      </c>
      <c r="I26" s="116" t="s">
        <v>233</v>
      </c>
      <c r="L26" s="213" t="s">
        <v>231</v>
      </c>
      <c r="N26" s="116" t="s">
        <v>231</v>
      </c>
      <c r="O26" s="213" t="s">
        <v>231</v>
      </c>
      <c r="P26" s="214" t="s">
        <v>234</v>
      </c>
      <c r="Q26" s="97" t="s">
        <v>231</v>
      </c>
    </row>
    <row r="27" spans="1:17">
      <c r="A27" s="88" t="s">
        <v>235</v>
      </c>
      <c r="B27" s="97" t="s">
        <v>366</v>
      </c>
      <c r="C27" s="94" t="s">
        <v>236</v>
      </c>
      <c r="D27" s="94" t="s">
        <v>237</v>
      </c>
      <c r="E27" s="201" t="s">
        <v>238</v>
      </c>
      <c r="H27" s="97" t="s">
        <v>238</v>
      </c>
      <c r="I27" s="94" t="s">
        <v>239</v>
      </c>
      <c r="L27" s="201" t="s">
        <v>236</v>
      </c>
      <c r="N27" s="97" t="s">
        <v>238</v>
      </c>
      <c r="O27" s="91" t="s">
        <v>236</v>
      </c>
      <c r="P27" s="201" t="s">
        <v>238</v>
      </c>
      <c r="Q27" s="201" t="s">
        <v>238</v>
      </c>
    </row>
    <row r="28" spans="1:17">
      <c r="A28" s="88" t="s">
        <v>240</v>
      </c>
      <c r="B28" s="94" t="s">
        <v>241</v>
      </c>
      <c r="C28" s="94" t="s">
        <v>239</v>
      </c>
      <c r="D28" s="94" t="s">
        <v>239</v>
      </c>
      <c r="E28" s="209" t="s">
        <v>238</v>
      </c>
      <c r="H28" s="94" t="s">
        <v>239</v>
      </c>
      <c r="I28" s="94" t="s">
        <v>239</v>
      </c>
      <c r="L28" s="209" t="s">
        <v>238</v>
      </c>
      <c r="N28" s="94" t="s">
        <v>239</v>
      </c>
      <c r="O28" s="209" t="s">
        <v>238</v>
      </c>
      <c r="P28" s="209" t="s">
        <v>238</v>
      </c>
      <c r="Q28" s="209" t="s">
        <v>238</v>
      </c>
    </row>
    <row r="29" spans="1:17">
      <c r="A29" s="88" t="s">
        <v>243</v>
      </c>
      <c r="B29" s="117"/>
      <c r="C29" s="94" t="s">
        <v>244</v>
      </c>
      <c r="D29" s="94" t="s">
        <v>245</v>
      </c>
      <c r="E29" s="118" t="s">
        <v>245</v>
      </c>
      <c r="H29" s="118" t="s">
        <v>245</v>
      </c>
      <c r="I29" s="94" t="s">
        <v>245</v>
      </c>
      <c r="L29" s="215" t="s">
        <v>245</v>
      </c>
      <c r="N29" s="118" t="s">
        <v>244</v>
      </c>
      <c r="O29" s="118" t="s">
        <v>245</v>
      </c>
      <c r="P29" s="215" t="s">
        <v>245</v>
      </c>
      <c r="Q29" s="215" t="s">
        <v>244</v>
      </c>
    </row>
    <row r="30" spans="1:17">
      <c r="A30" s="88" t="s">
        <v>122</v>
      </c>
      <c r="B30" s="117"/>
      <c r="C30" s="94">
        <v>1800000</v>
      </c>
      <c r="D30" s="118">
        <v>7200000</v>
      </c>
      <c r="E30" s="209">
        <v>2450000</v>
      </c>
      <c r="H30" s="94">
        <v>2800000</v>
      </c>
      <c r="I30" s="94">
        <v>1300000</v>
      </c>
      <c r="L30" s="118">
        <v>2700000</v>
      </c>
      <c r="N30" s="94">
        <v>5800000</v>
      </c>
      <c r="O30" s="118">
        <v>1500000</v>
      </c>
      <c r="P30" s="215">
        <v>1500000</v>
      </c>
      <c r="Q30" s="209">
        <v>1350000</v>
      </c>
    </row>
    <row r="31" spans="1:17">
      <c r="A31" s="88" t="s">
        <v>246</v>
      </c>
      <c r="B31" s="117"/>
      <c r="C31" s="94">
        <f>C30*долл</f>
        <v>157410000</v>
      </c>
      <c r="D31" s="94">
        <f>D30*долл</f>
        <v>629640000</v>
      </c>
      <c r="E31" s="94">
        <f>E30*долл</f>
        <v>214252500</v>
      </c>
      <c r="H31" s="94">
        <f>H30*долл</f>
        <v>244860000</v>
      </c>
      <c r="I31" s="94">
        <f>I30*долл</f>
        <v>113685000</v>
      </c>
      <c r="L31" s="94">
        <f>L30*долл</f>
        <v>236115000</v>
      </c>
      <c r="N31" s="94">
        <f>N30*долл</f>
        <v>507210000</v>
      </c>
      <c r="O31" s="94">
        <f>O30*долл</f>
        <v>131175000</v>
      </c>
      <c r="P31" s="94">
        <f>P30*долл</f>
        <v>131175000</v>
      </c>
      <c r="Q31" s="94">
        <f>Q30*долл</f>
        <v>118057500</v>
      </c>
    </row>
    <row r="32" spans="1:17" ht="15">
      <c r="A32" s="88" t="s">
        <v>247</v>
      </c>
      <c r="B32" s="115"/>
      <c r="C32" s="115">
        <f>C30/C14</f>
        <v>962.56684491978615</v>
      </c>
      <c r="D32" s="115">
        <f>D30/D14</f>
        <v>1029.1595197255574</v>
      </c>
      <c r="E32" s="115">
        <f>E30/E14</f>
        <v>734.03840968331485</v>
      </c>
      <c r="H32" s="115">
        <f>H30/H14</f>
        <v>823.52941176470586</v>
      </c>
      <c r="I32" s="115">
        <f>I30/I14</f>
        <v>682.05666316894019</v>
      </c>
      <c r="L32" s="104">
        <f>L30/L14</f>
        <v>1090.4684975767366</v>
      </c>
      <c r="N32" s="115">
        <f>N30/N14</f>
        <v>1017.543859649123</v>
      </c>
      <c r="O32" s="115">
        <f>O30/O14</f>
        <v>1066.0980810234541</v>
      </c>
      <c r="P32" s="115">
        <f>P30/P14</f>
        <v>833.33333333333337</v>
      </c>
      <c r="Q32" s="115">
        <f>Q30/Q14</f>
        <v>591.27540294323762</v>
      </c>
    </row>
    <row r="33" spans="1:17" ht="15">
      <c r="A33" s="88" t="s">
        <v>248</v>
      </c>
      <c r="B33" s="115"/>
      <c r="C33" s="115">
        <f>C32*долл</f>
        <v>84176.470588235301</v>
      </c>
      <c r="D33" s="115">
        <f>D32*долл</f>
        <v>90000</v>
      </c>
      <c r="E33" s="115">
        <f>E32*долл</f>
        <v>64191.658926805889</v>
      </c>
      <c r="H33" s="115">
        <f>H32*долл</f>
        <v>72017.647058823524</v>
      </c>
      <c r="I33" s="115">
        <f>I32*долл</f>
        <v>59645.855194123818</v>
      </c>
      <c r="L33" s="115">
        <f>L32*долл</f>
        <v>95361.470113085612</v>
      </c>
      <c r="N33" s="115">
        <f>N32*долл</f>
        <v>88984.210526315801</v>
      </c>
      <c r="O33" s="115">
        <f>O32*долл</f>
        <v>93230.277185501065</v>
      </c>
      <c r="P33" s="115">
        <f>P32*долл</f>
        <v>72875</v>
      </c>
      <c r="Q33" s="115">
        <f>Q32*долл</f>
        <v>51707.03398738613</v>
      </c>
    </row>
    <row r="34" spans="1:17">
      <c r="A34" s="119" t="s">
        <v>249</v>
      </c>
      <c r="B34" s="87" t="s">
        <v>159</v>
      </c>
      <c r="C34" s="87" t="str">
        <f>C6</f>
        <v>Аналог 1</v>
      </c>
      <c r="D34" s="87" t="str">
        <f>D6</f>
        <v>Аналог 2</v>
      </c>
      <c r="E34" s="87" t="str">
        <f>E6</f>
        <v>Аналог 3</v>
      </c>
      <c r="H34" s="87" t="str">
        <f>H6</f>
        <v>Аналог 3</v>
      </c>
      <c r="I34" s="87" t="str">
        <f>I6</f>
        <v>Аналог 1</v>
      </c>
      <c r="L34" s="87" t="str">
        <f>L6</f>
        <v>Аналог 2</v>
      </c>
      <c r="N34" s="87" t="str">
        <f>N6</f>
        <v>Аналог 3</v>
      </c>
      <c r="O34" s="87" t="str">
        <f>O6</f>
        <v>Аналог 1</v>
      </c>
      <c r="P34" s="87" t="str">
        <f>P6</f>
        <v>Аналог 3</v>
      </c>
      <c r="Q34" s="87" t="str">
        <f>Q6</f>
        <v>Аналог 3</v>
      </c>
    </row>
    <row r="35" spans="1:17" s="207" customFormat="1" hidden="1" outlineLevel="1">
      <c r="A35" s="120" t="s">
        <v>250</v>
      </c>
      <c r="B35" s="121"/>
      <c r="C35" s="122">
        <v>1</v>
      </c>
      <c r="D35" s="122">
        <v>1</v>
      </c>
      <c r="E35" s="122">
        <v>1</v>
      </c>
      <c r="H35" s="122">
        <v>1</v>
      </c>
      <c r="I35" s="122">
        <v>1</v>
      </c>
      <c r="L35" s="122">
        <v>1</v>
      </c>
      <c r="N35" s="122">
        <v>1</v>
      </c>
      <c r="O35" s="122">
        <v>1</v>
      </c>
      <c r="P35" s="122">
        <v>1</v>
      </c>
      <c r="Q35" s="122">
        <v>1</v>
      </c>
    </row>
    <row r="36" spans="1:17" s="207" customFormat="1" ht="15" hidden="1" outlineLevel="1">
      <c r="A36" s="123" t="s">
        <v>352</v>
      </c>
      <c r="B36" s="124"/>
      <c r="C36" s="124">
        <f>C35*C33</f>
        <v>84176.470588235301</v>
      </c>
      <c r="D36" s="124">
        <f>D35*D33</f>
        <v>90000</v>
      </c>
      <c r="E36" s="124">
        <f>E35*E33</f>
        <v>64191.658926805889</v>
      </c>
      <c r="H36" s="124">
        <f>H35*H33</f>
        <v>72017.647058823524</v>
      </c>
      <c r="I36" s="124">
        <f>I35*I33</f>
        <v>59645.855194123818</v>
      </c>
      <c r="L36" s="124">
        <f>L35*L33</f>
        <v>95361.470113085612</v>
      </c>
      <c r="N36" s="124">
        <f>N35*N33</f>
        <v>88984.210526315801</v>
      </c>
      <c r="O36" s="124">
        <f>O35*O33</f>
        <v>93230.277185501065</v>
      </c>
      <c r="P36" s="124">
        <f>P35*P33</f>
        <v>72875</v>
      </c>
      <c r="Q36" s="124">
        <f>Q35*Q33</f>
        <v>51707.03398738613</v>
      </c>
    </row>
    <row r="37" spans="1:17" collapsed="1">
      <c r="A37" s="130" t="s">
        <v>252</v>
      </c>
      <c r="B37" s="115"/>
      <c r="C37" s="131">
        <v>0.95</v>
      </c>
      <c r="D37" s="131">
        <v>0.9</v>
      </c>
      <c r="E37" s="131">
        <v>0.9</v>
      </c>
      <c r="H37" s="131">
        <v>0.9</v>
      </c>
      <c r="I37" s="131">
        <v>0.9</v>
      </c>
      <c r="L37" s="131">
        <v>0.9</v>
      </c>
      <c r="N37" s="131">
        <v>0.85</v>
      </c>
      <c r="O37" s="131">
        <v>0.9</v>
      </c>
      <c r="P37" s="131">
        <v>0.95</v>
      </c>
      <c r="Q37" s="131">
        <v>0.95</v>
      </c>
    </row>
    <row r="38" spans="1:17" ht="15">
      <c r="A38" s="132" t="s">
        <v>352</v>
      </c>
      <c r="B38" s="133"/>
      <c r="C38" s="133">
        <f>C37*C36</f>
        <v>79967.647058823539</v>
      </c>
      <c r="D38" s="133">
        <f>D37*D36</f>
        <v>81000</v>
      </c>
      <c r="E38" s="133">
        <f>E37*E36</f>
        <v>57772.493034125298</v>
      </c>
      <c r="H38" s="133">
        <f>H37*H36</f>
        <v>64815.882352941175</v>
      </c>
      <c r="I38" s="133">
        <f>I37*I36</f>
        <v>53681.269674711439</v>
      </c>
      <c r="L38" s="133">
        <f>L37*L36</f>
        <v>85825.323101777059</v>
      </c>
      <c r="N38" s="133">
        <f>N37*N36</f>
        <v>75636.578947368427</v>
      </c>
      <c r="O38" s="133">
        <f>O37*O36</f>
        <v>83907.249466950962</v>
      </c>
      <c r="P38" s="133">
        <f>P37*P36</f>
        <v>69231.25</v>
      </c>
      <c r="Q38" s="133">
        <f>Q37*Q36</f>
        <v>49121.682288016818</v>
      </c>
    </row>
    <row r="39" spans="1:17">
      <c r="A39" s="130" t="s">
        <v>253</v>
      </c>
      <c r="B39" s="115"/>
      <c r="C39" s="131">
        <v>1</v>
      </c>
      <c r="D39" s="131">
        <v>1</v>
      </c>
      <c r="E39" s="131">
        <v>1</v>
      </c>
      <c r="H39" s="131">
        <v>1</v>
      </c>
      <c r="I39" s="131">
        <v>1</v>
      </c>
      <c r="L39" s="131">
        <v>1</v>
      </c>
      <c r="N39" s="131">
        <v>1</v>
      </c>
      <c r="O39" s="131">
        <v>1</v>
      </c>
      <c r="P39" s="131">
        <v>1</v>
      </c>
      <c r="Q39" s="131">
        <v>1</v>
      </c>
    </row>
    <row r="40" spans="1:17" ht="15">
      <c r="A40" s="132" t="s">
        <v>352</v>
      </c>
      <c r="B40" s="133"/>
      <c r="C40" s="133">
        <f>C39*C38</f>
        <v>79967.647058823539</v>
      </c>
      <c r="D40" s="133">
        <f>D39*D38</f>
        <v>81000</v>
      </c>
      <c r="E40" s="133">
        <f>E39*E38</f>
        <v>57772.493034125298</v>
      </c>
      <c r="H40" s="133">
        <f>H39*H38</f>
        <v>64815.882352941175</v>
      </c>
      <c r="I40" s="133">
        <f>I39*I38</f>
        <v>53681.269674711439</v>
      </c>
      <c r="L40" s="133">
        <f>L39*L38</f>
        <v>85825.323101777059</v>
      </c>
      <c r="N40" s="133">
        <f>N39*N38</f>
        <v>75636.578947368427</v>
      </c>
      <c r="O40" s="133">
        <f>O39*O38</f>
        <v>83907.249466950962</v>
      </c>
      <c r="P40" s="133">
        <f>P39*P38</f>
        <v>69231.25</v>
      </c>
      <c r="Q40" s="133">
        <f>Q39*Q38</f>
        <v>49121.682288016818</v>
      </c>
    </row>
    <row r="41" spans="1:17">
      <c r="A41" s="130" t="s">
        <v>254</v>
      </c>
      <c r="B41" s="115"/>
      <c r="C41" s="131">
        <v>0.92</v>
      </c>
      <c r="D41" s="131">
        <v>0.8</v>
      </c>
      <c r="E41" s="131">
        <v>1.1000000000000001</v>
      </c>
      <c r="H41" s="131">
        <v>1.1000000000000001</v>
      </c>
      <c r="I41" s="131">
        <v>0.92</v>
      </c>
      <c r="L41" s="131">
        <v>0.8</v>
      </c>
      <c r="N41" s="131">
        <v>1.1000000000000001</v>
      </c>
      <c r="O41" s="131">
        <v>1</v>
      </c>
      <c r="P41" s="131">
        <v>1.1000000000000001</v>
      </c>
      <c r="Q41" s="131">
        <v>1.1000000000000001</v>
      </c>
    </row>
    <row r="42" spans="1:17" ht="15">
      <c r="A42" s="132" t="s">
        <v>352</v>
      </c>
      <c r="B42" s="133"/>
      <c r="C42" s="133">
        <f>C41*C40</f>
        <v>73570.235294117665</v>
      </c>
      <c r="D42" s="133">
        <f>D41*D40</f>
        <v>64800</v>
      </c>
      <c r="E42" s="133">
        <f>E41*E40</f>
        <v>63549.742337537835</v>
      </c>
      <c r="H42" s="133">
        <f>H41*H40</f>
        <v>71297.470588235301</v>
      </c>
      <c r="I42" s="133">
        <f>I41*I40</f>
        <v>49386.768100734524</v>
      </c>
      <c r="L42" s="133">
        <f>L41*L40</f>
        <v>68660.258481421653</v>
      </c>
      <c r="N42" s="133">
        <f>N41*N40</f>
        <v>83200.236842105282</v>
      </c>
      <c r="O42" s="133">
        <f>O41*O40</f>
        <v>83907.249466950962</v>
      </c>
      <c r="P42" s="133">
        <f>P41*P40</f>
        <v>76154.375</v>
      </c>
      <c r="Q42" s="133">
        <f>Q41*Q40</f>
        <v>54033.850516818507</v>
      </c>
    </row>
    <row r="43" spans="1:17">
      <c r="A43" s="216" t="s">
        <v>255</v>
      </c>
      <c r="B43" s="217"/>
      <c r="C43" s="218">
        <v>1</v>
      </c>
      <c r="D43" s="218">
        <v>1</v>
      </c>
      <c r="E43" s="218">
        <v>0.9</v>
      </c>
      <c r="H43" s="131">
        <v>0.9</v>
      </c>
      <c r="I43" s="131">
        <v>1</v>
      </c>
      <c r="L43" s="131">
        <v>1.05</v>
      </c>
      <c r="N43" s="131">
        <v>0.8</v>
      </c>
      <c r="O43" s="131">
        <v>0.95</v>
      </c>
      <c r="P43" s="131">
        <v>1.5</v>
      </c>
      <c r="Q43" s="131">
        <v>1.5</v>
      </c>
    </row>
    <row r="44" spans="1:17" ht="15">
      <c r="A44" s="219" t="s">
        <v>352</v>
      </c>
      <c r="B44" s="220"/>
      <c r="C44" s="220">
        <f>C43*C42</f>
        <v>73570.235294117665</v>
      </c>
      <c r="D44" s="220">
        <f>D43*D42</f>
        <v>64800</v>
      </c>
      <c r="E44" s="220">
        <f>E43*E42</f>
        <v>57194.768103784052</v>
      </c>
      <c r="H44" s="133">
        <f>H43*H42</f>
        <v>64167.723529411771</v>
      </c>
      <c r="I44" s="133">
        <f>I43*I42</f>
        <v>49386.768100734524</v>
      </c>
      <c r="L44" s="133">
        <f>L43*L42</f>
        <v>72093.271405492735</v>
      </c>
      <c r="N44" s="133">
        <f>N43*N42</f>
        <v>66560.189473684222</v>
      </c>
      <c r="O44" s="133">
        <f>O43*O42</f>
        <v>79711.886993603403</v>
      </c>
      <c r="P44" s="133">
        <f>P43*P42</f>
        <v>114231.5625</v>
      </c>
      <c r="Q44" s="133">
        <f>Q43*Q42</f>
        <v>81050.775775227754</v>
      </c>
    </row>
    <row r="45" spans="1:17">
      <c r="A45" s="130" t="s">
        <v>256</v>
      </c>
      <c r="B45" s="133"/>
      <c r="C45" s="131">
        <v>1</v>
      </c>
      <c r="D45" s="131">
        <v>1</v>
      </c>
      <c r="E45" s="131">
        <v>1</v>
      </c>
      <c r="H45" s="131">
        <v>1</v>
      </c>
      <c r="I45" s="131">
        <v>1</v>
      </c>
      <c r="L45" s="131">
        <v>1</v>
      </c>
      <c r="N45" s="131">
        <v>1</v>
      </c>
      <c r="O45" s="131">
        <v>1</v>
      </c>
      <c r="P45" s="131">
        <v>1</v>
      </c>
      <c r="Q45" s="131">
        <v>1</v>
      </c>
    </row>
    <row r="46" spans="1:17" ht="15">
      <c r="A46" s="132" t="s">
        <v>352</v>
      </c>
      <c r="B46" s="133"/>
      <c r="C46" s="133">
        <f>C44*C45</f>
        <v>73570.235294117665</v>
      </c>
      <c r="D46" s="133">
        <f>D44*D45</f>
        <v>64800</v>
      </c>
      <c r="E46" s="133">
        <f>E44*E45</f>
        <v>57194.768103784052</v>
      </c>
      <c r="H46" s="133">
        <f>H44*H45</f>
        <v>64167.723529411771</v>
      </c>
      <c r="I46" s="133">
        <f>I44*I45</f>
        <v>49386.768100734524</v>
      </c>
      <c r="L46" s="133">
        <f>L44*L45</f>
        <v>72093.271405492735</v>
      </c>
      <c r="N46" s="133">
        <f>N44*N45</f>
        <v>66560.189473684222</v>
      </c>
      <c r="O46" s="133">
        <f>O44*O45</f>
        <v>79711.886993603403</v>
      </c>
      <c r="P46" s="133">
        <f>P44*P45</f>
        <v>114231.5625</v>
      </c>
      <c r="Q46" s="133">
        <f>Q44*Q45</f>
        <v>81050.775775227754</v>
      </c>
    </row>
    <row r="47" spans="1:17">
      <c r="A47" s="216" t="s">
        <v>257</v>
      </c>
      <c r="B47" s="217"/>
      <c r="C47" s="218">
        <v>0.98</v>
      </c>
      <c r="D47" s="218">
        <v>1.02</v>
      </c>
      <c r="E47" s="218">
        <v>1.02</v>
      </c>
      <c r="H47" s="131">
        <v>0.98</v>
      </c>
      <c r="I47" s="131">
        <v>0.98</v>
      </c>
      <c r="L47" s="131">
        <v>1</v>
      </c>
      <c r="N47" s="131">
        <v>0.98</v>
      </c>
      <c r="O47" s="131">
        <v>0.9</v>
      </c>
      <c r="P47" s="131">
        <v>0.98</v>
      </c>
      <c r="Q47" s="131">
        <v>0.98</v>
      </c>
    </row>
    <row r="48" spans="1:17" ht="15">
      <c r="A48" s="219" t="s">
        <v>352</v>
      </c>
      <c r="B48" s="220"/>
      <c r="C48" s="220">
        <f>C47*C46</f>
        <v>72098.830588235316</v>
      </c>
      <c r="D48" s="220">
        <f>D47*D46</f>
        <v>66096</v>
      </c>
      <c r="E48" s="220">
        <f>E47*E46</f>
        <v>58338.663465859732</v>
      </c>
      <c r="H48" s="133">
        <f>H47*H46</f>
        <v>62884.369058823533</v>
      </c>
      <c r="I48" s="133">
        <f>I47*I46</f>
        <v>48399.032738719834</v>
      </c>
      <c r="L48" s="133">
        <f>L47*L46</f>
        <v>72093.271405492735</v>
      </c>
      <c r="N48" s="133">
        <f>N47*N46</f>
        <v>65228.985684210536</v>
      </c>
      <c r="O48" s="133">
        <f>O47*O46</f>
        <v>71740.698294243062</v>
      </c>
      <c r="P48" s="133">
        <f>P47*P46</f>
        <v>111946.93124999999</v>
      </c>
      <c r="Q48" s="133">
        <f>Q47*Q46</f>
        <v>79429.760259723203</v>
      </c>
    </row>
    <row r="49" spans="1:17" ht="13.5" customHeight="1">
      <c r="A49" s="130" t="s">
        <v>258</v>
      </c>
      <c r="B49" s="133"/>
      <c r="C49" s="131">
        <f>MROUND(C112,0.02)</f>
        <v>1</v>
      </c>
      <c r="D49" s="131">
        <f>MROUND(D112,0.02)</f>
        <v>0.98</v>
      </c>
      <c r="E49" s="131">
        <f t="shared" ref="E49" si="1">MROUND(E112,0.02)</f>
        <v>1.02</v>
      </c>
      <c r="H49" s="131">
        <f>MROUND(H112,0.02)</f>
        <v>0.92</v>
      </c>
      <c r="I49" s="131">
        <f>MROUND(I112,0.02)</f>
        <v>0.9</v>
      </c>
      <c r="L49" s="131">
        <f>MROUND(L112,0.02)</f>
        <v>2.3000000000000003</v>
      </c>
      <c r="N49" s="131">
        <f>MROUND(N112,0.02)</f>
        <v>0.96</v>
      </c>
      <c r="O49" s="131">
        <f>MROUND(O112,0.02)</f>
        <v>1.1200000000000001</v>
      </c>
      <c r="P49" s="131">
        <f>MROUND(P112,0.02)</f>
        <v>1.04</v>
      </c>
      <c r="Q49" s="131">
        <f>MROUND(Q112,0.02)</f>
        <v>0.96</v>
      </c>
    </row>
    <row r="50" spans="1:17" ht="15">
      <c r="A50" s="132" t="s">
        <v>352</v>
      </c>
      <c r="B50" s="133"/>
      <c r="C50" s="133">
        <f>C49*C48</f>
        <v>72098.830588235316</v>
      </c>
      <c r="D50" s="133">
        <f>D49*D48</f>
        <v>64774.080000000002</v>
      </c>
      <c r="E50" s="133">
        <f>E49*E48</f>
        <v>59505.436735176925</v>
      </c>
      <c r="H50" s="133">
        <f>H49*H48</f>
        <v>57853.61953411765</v>
      </c>
      <c r="I50" s="133">
        <f>I49*I48</f>
        <v>43559.129464847851</v>
      </c>
      <c r="L50" s="133">
        <f>L49*L48</f>
        <v>165814.5242326333</v>
      </c>
      <c r="N50" s="133">
        <f>N49*N48</f>
        <v>62619.826256842112</v>
      </c>
      <c r="O50" s="133">
        <f>O49*O48</f>
        <v>80349.582089552234</v>
      </c>
      <c r="P50" s="133">
        <f>P49*P48</f>
        <v>116424.8085</v>
      </c>
      <c r="Q50" s="133">
        <f>Q49*Q48</f>
        <v>76252.569849334279</v>
      </c>
    </row>
    <row r="51" spans="1:17">
      <c r="A51" s="130" t="s">
        <v>263</v>
      </c>
      <c r="B51" s="115"/>
      <c r="C51" s="131">
        <v>1</v>
      </c>
      <c r="D51" s="131">
        <v>1</v>
      </c>
      <c r="E51" s="131">
        <v>1</v>
      </c>
      <c r="H51" s="131">
        <v>1</v>
      </c>
      <c r="I51" s="131">
        <v>1</v>
      </c>
      <c r="L51" s="131">
        <v>1</v>
      </c>
      <c r="N51" s="131">
        <v>1</v>
      </c>
      <c r="O51" s="131">
        <v>0.9</v>
      </c>
      <c r="P51" s="131">
        <v>1</v>
      </c>
      <c r="Q51" s="131">
        <v>1</v>
      </c>
    </row>
    <row r="52" spans="1:17" ht="15">
      <c r="A52" s="132" t="s">
        <v>352</v>
      </c>
      <c r="B52" s="133"/>
      <c r="C52" s="133">
        <f>C51*C50</f>
        <v>72098.830588235316</v>
      </c>
      <c r="D52" s="133">
        <f>D51*D50</f>
        <v>64774.080000000002</v>
      </c>
      <c r="E52" s="133">
        <f>E51*E50</f>
        <v>59505.436735176925</v>
      </c>
      <c r="H52" s="133">
        <f>H51*H50</f>
        <v>57853.61953411765</v>
      </c>
      <c r="I52" s="133">
        <f>I51*I50</f>
        <v>43559.129464847851</v>
      </c>
      <c r="L52" s="133">
        <f>L51*L50</f>
        <v>165814.5242326333</v>
      </c>
      <c r="N52" s="133">
        <f>N51*N50</f>
        <v>62619.826256842112</v>
      </c>
      <c r="O52" s="133">
        <f>O51*O50</f>
        <v>72314.623880597006</v>
      </c>
      <c r="P52" s="133">
        <f>P51*P50</f>
        <v>116424.8085</v>
      </c>
      <c r="Q52" s="133">
        <f>Q51*Q50</f>
        <v>76252.569849334279</v>
      </c>
    </row>
    <row r="53" spans="1:17">
      <c r="A53" s="216" t="s">
        <v>260</v>
      </c>
      <c r="B53" s="220"/>
      <c r="C53" s="218">
        <v>1.02</v>
      </c>
      <c r="D53" s="218">
        <v>0.92</v>
      </c>
      <c r="E53" s="218">
        <v>0.9</v>
      </c>
      <c r="H53" s="131">
        <v>0.88</v>
      </c>
      <c r="I53" s="131">
        <v>0.88</v>
      </c>
      <c r="L53" s="131">
        <v>1</v>
      </c>
      <c r="N53" s="131">
        <v>0.9</v>
      </c>
      <c r="O53" s="131">
        <v>0.9</v>
      </c>
      <c r="P53" s="131">
        <v>1.05</v>
      </c>
      <c r="Q53" s="131">
        <v>1.05</v>
      </c>
    </row>
    <row r="54" spans="1:17" ht="15">
      <c r="A54" s="219" t="s">
        <v>352</v>
      </c>
      <c r="B54" s="220"/>
      <c r="C54" s="220">
        <f>C53*C52</f>
        <v>73540.807200000025</v>
      </c>
      <c r="D54" s="220">
        <f>D53*D52</f>
        <v>59592.153600000005</v>
      </c>
      <c r="E54" s="220">
        <f>E53*E52</f>
        <v>53554.893061659233</v>
      </c>
      <c r="H54" s="133">
        <f>H53*H52</f>
        <v>50911.185190023534</v>
      </c>
      <c r="I54" s="133">
        <f>I53*I52</f>
        <v>38332.033929066107</v>
      </c>
      <c r="L54" s="133">
        <f>L53*L52</f>
        <v>165814.5242326333</v>
      </c>
      <c r="N54" s="133">
        <f>N53*N52</f>
        <v>56357.843631157899</v>
      </c>
      <c r="O54" s="133">
        <f>O53*O52</f>
        <v>65083.161492537307</v>
      </c>
      <c r="P54" s="133">
        <f>P53*P52</f>
        <v>122246.04892500001</v>
      </c>
      <c r="Q54" s="133">
        <f>Q53*Q52</f>
        <v>80065.198341800991</v>
      </c>
    </row>
    <row r="55" spans="1:17">
      <c r="A55" s="216" t="s">
        <v>261</v>
      </c>
      <c r="B55" s="220"/>
      <c r="C55" s="218">
        <v>0.95</v>
      </c>
      <c r="D55" s="218">
        <v>1</v>
      </c>
      <c r="E55" s="218">
        <v>1.05</v>
      </c>
      <c r="H55" s="131">
        <v>1.1499999999999999</v>
      </c>
      <c r="I55" s="131">
        <v>0.95</v>
      </c>
      <c r="L55" s="131">
        <v>0.9</v>
      </c>
      <c r="N55" s="131">
        <v>1.05</v>
      </c>
      <c r="O55" s="131">
        <v>1.1000000000000001</v>
      </c>
      <c r="P55" s="131">
        <v>1</v>
      </c>
      <c r="Q55" s="131">
        <v>1</v>
      </c>
    </row>
    <row r="56" spans="1:17" ht="15">
      <c r="A56" s="219" t="s">
        <v>352</v>
      </c>
      <c r="B56" s="220"/>
      <c r="C56" s="220">
        <f>C55*C54</f>
        <v>69863.766840000026</v>
      </c>
      <c r="D56" s="220">
        <f>D55*D54</f>
        <v>59592.153600000005</v>
      </c>
      <c r="E56" s="220">
        <f>E55*E54</f>
        <v>56232.637714742195</v>
      </c>
      <c r="H56" s="133">
        <f>H55*H54</f>
        <v>58547.862968527057</v>
      </c>
      <c r="I56" s="133">
        <f>I55*I54</f>
        <v>36415.432232612802</v>
      </c>
      <c r="L56" s="133">
        <f>L55*L54</f>
        <v>149233.07180936998</v>
      </c>
      <c r="N56" s="133">
        <f>N55*N54</f>
        <v>59175.735812715793</v>
      </c>
      <c r="O56" s="133">
        <f>O55*O54</f>
        <v>71591.477641791047</v>
      </c>
      <c r="P56" s="133">
        <f>P55*P54</f>
        <v>122246.04892500001</v>
      </c>
      <c r="Q56" s="133">
        <f>Q55*Q54</f>
        <v>80065.198341800991</v>
      </c>
    </row>
    <row r="57" spans="1:17">
      <c r="A57" s="130" t="s">
        <v>262</v>
      </c>
      <c r="B57" s="115"/>
      <c r="C57" s="131">
        <v>1</v>
      </c>
      <c r="D57" s="131">
        <v>1</v>
      </c>
      <c r="E57" s="131">
        <v>1</v>
      </c>
      <c r="H57" s="131">
        <v>1.02</v>
      </c>
      <c r="I57" s="131">
        <v>1</v>
      </c>
      <c r="L57" s="131">
        <v>0.95</v>
      </c>
      <c r="N57" s="131">
        <v>1</v>
      </c>
      <c r="O57" s="131">
        <v>1</v>
      </c>
      <c r="P57" s="131">
        <v>1</v>
      </c>
      <c r="Q57" s="131">
        <v>1</v>
      </c>
    </row>
    <row r="58" spans="1:17" ht="15">
      <c r="A58" s="132" t="s">
        <v>352</v>
      </c>
      <c r="B58" s="133"/>
      <c r="C58" s="133">
        <f>C57*C56</f>
        <v>69863.766840000026</v>
      </c>
      <c r="D58" s="133">
        <f>D57*D56</f>
        <v>59592.153600000005</v>
      </c>
      <c r="E58" s="133">
        <f>E57*E56</f>
        <v>56232.637714742195</v>
      </c>
      <c r="H58" s="133">
        <f>H57*H56</f>
        <v>59718.820227897602</v>
      </c>
      <c r="I58" s="133">
        <f>I57*I56</f>
        <v>36415.432232612802</v>
      </c>
      <c r="L58" s="133">
        <f>L57*L56</f>
        <v>141771.41821890147</v>
      </c>
      <c r="N58" s="133">
        <f>N57*N56</f>
        <v>59175.735812715793</v>
      </c>
      <c r="O58" s="133">
        <f>O57*O56</f>
        <v>71591.477641791047</v>
      </c>
      <c r="P58" s="133">
        <f>P57*P56</f>
        <v>122246.04892500001</v>
      </c>
      <c r="Q58" s="133">
        <f>Q57*Q56</f>
        <v>80065.198341800991</v>
      </c>
    </row>
    <row r="59" spans="1:17">
      <c r="A59" s="130" t="s">
        <v>265</v>
      </c>
      <c r="B59" s="115"/>
      <c r="C59" s="131">
        <v>1</v>
      </c>
      <c r="D59" s="131">
        <v>0.98</v>
      </c>
      <c r="E59" s="131">
        <v>1.02</v>
      </c>
      <c r="H59" s="131">
        <v>1</v>
      </c>
      <c r="I59" s="131">
        <v>1.02</v>
      </c>
      <c r="L59" s="131">
        <v>1.02</v>
      </c>
      <c r="N59" s="131">
        <v>1</v>
      </c>
      <c r="O59" s="131">
        <v>1</v>
      </c>
      <c r="P59" s="131">
        <v>1</v>
      </c>
      <c r="Q59" s="131">
        <v>1</v>
      </c>
    </row>
    <row r="60" spans="1:17" ht="15">
      <c r="A60" s="132" t="s">
        <v>352</v>
      </c>
      <c r="B60" s="133"/>
      <c r="C60" s="133">
        <f>C59*C58</f>
        <v>69863.766840000026</v>
      </c>
      <c r="D60" s="133">
        <f>D59*D58</f>
        <v>58400.310528000002</v>
      </c>
      <c r="E60" s="133">
        <f>E59*E58</f>
        <v>57357.290469037041</v>
      </c>
      <c r="H60" s="133">
        <f>H59*H58</f>
        <v>59718.820227897602</v>
      </c>
      <c r="I60" s="133">
        <f>I59*I58</f>
        <v>37143.74087726506</v>
      </c>
      <c r="L60" s="133">
        <f>L59*L58</f>
        <v>144606.84658327949</v>
      </c>
      <c r="N60" s="133">
        <f>N59*N58</f>
        <v>59175.735812715793</v>
      </c>
      <c r="O60" s="133">
        <f>O59*O58</f>
        <v>71591.477641791047</v>
      </c>
      <c r="P60" s="133">
        <f>P59*P58</f>
        <v>122246.04892500001</v>
      </c>
      <c r="Q60" s="133">
        <f>Q59*Q58</f>
        <v>80065.198341800991</v>
      </c>
    </row>
    <row r="61" spans="1:17">
      <c r="A61" s="130" t="s">
        <v>266</v>
      </c>
      <c r="B61" s="115"/>
      <c r="C61" s="131">
        <f>C123</f>
        <v>0.92</v>
      </c>
      <c r="D61" s="131">
        <f>D123</f>
        <v>1.08</v>
      </c>
      <c r="E61" s="131">
        <f>E123</f>
        <v>1</v>
      </c>
      <c r="H61" s="131">
        <f>H123</f>
        <v>1.06</v>
      </c>
      <c r="I61" s="131">
        <f>I123</f>
        <v>1.36</v>
      </c>
      <c r="L61" s="131">
        <f>L123</f>
        <v>1</v>
      </c>
      <c r="N61" s="131">
        <f>N123</f>
        <v>1.02</v>
      </c>
      <c r="O61" s="131">
        <f>O123</f>
        <v>1.02</v>
      </c>
      <c r="P61" s="131">
        <f>P123</f>
        <v>1.04</v>
      </c>
      <c r="Q61" s="131">
        <f>Q123</f>
        <v>1.1400000000000001</v>
      </c>
    </row>
    <row r="62" spans="1:17" ht="15">
      <c r="A62" s="132" t="s">
        <v>352</v>
      </c>
      <c r="B62" s="133"/>
      <c r="C62" s="133">
        <f>C61*C60</f>
        <v>64274.665492800028</v>
      </c>
      <c r="D62" s="133">
        <f>D61*D60</f>
        <v>63072.335370240005</v>
      </c>
      <c r="E62" s="133">
        <f>E61*E60</f>
        <v>57357.290469037041</v>
      </c>
      <c r="H62" s="133">
        <f>H61*H60</f>
        <v>63301.949441571458</v>
      </c>
      <c r="I62" s="133">
        <f>I61*I60</f>
        <v>50515.487593080485</v>
      </c>
      <c r="L62" s="133">
        <f>L61*L60</f>
        <v>144606.84658327949</v>
      </c>
      <c r="N62" s="133">
        <f>N61*N60</f>
        <v>60359.250528970108</v>
      </c>
      <c r="O62" s="133">
        <f>O61*O60</f>
        <v>73023.307194626876</v>
      </c>
      <c r="P62" s="133">
        <f>P61*P60</f>
        <v>127135.89088200002</v>
      </c>
      <c r="Q62" s="133">
        <f>Q61*Q60</f>
        <v>91274.326109653135</v>
      </c>
    </row>
    <row r="63" spans="1:17">
      <c r="A63" s="130" t="s">
        <v>267</v>
      </c>
      <c r="B63" s="115"/>
      <c r="C63" s="131">
        <v>0.88</v>
      </c>
      <c r="D63" s="131">
        <v>0.92</v>
      </c>
      <c r="E63" s="131">
        <v>0.9</v>
      </c>
      <c r="H63" s="131">
        <v>0.9</v>
      </c>
      <c r="I63" s="131">
        <v>0.88</v>
      </c>
      <c r="L63" s="131">
        <v>0.85</v>
      </c>
      <c r="N63" s="131">
        <v>0.8</v>
      </c>
      <c r="O63" s="131">
        <v>0.9</v>
      </c>
      <c r="P63" s="131">
        <v>1</v>
      </c>
      <c r="Q63" s="131">
        <v>1</v>
      </c>
    </row>
    <row r="64" spans="1:17" ht="15">
      <c r="A64" s="132" t="s">
        <v>352</v>
      </c>
      <c r="B64" s="134"/>
      <c r="C64" s="133">
        <f>C63*C62</f>
        <v>56561.705633664023</v>
      </c>
      <c r="D64" s="133">
        <f>D63*D62</f>
        <v>58026.54854062081</v>
      </c>
      <c r="E64" s="133">
        <f>E63*E62</f>
        <v>51621.561422133338</v>
      </c>
      <c r="H64" s="133">
        <f>H63*H62</f>
        <v>56971.754497414317</v>
      </c>
      <c r="I64" s="133">
        <f>I63*I62</f>
        <v>44453.629081910825</v>
      </c>
      <c r="L64" s="133">
        <f>L63*L62</f>
        <v>122915.81959578756</v>
      </c>
      <c r="N64" s="133">
        <f>N63*N62</f>
        <v>48287.400423176092</v>
      </c>
      <c r="O64" s="133">
        <f>O63*O62</f>
        <v>65720.976475164192</v>
      </c>
      <c r="P64" s="133">
        <f>P63*P62</f>
        <v>127135.89088200002</v>
      </c>
      <c r="Q64" s="133">
        <f>Q63*Q62</f>
        <v>91274.326109653135</v>
      </c>
    </row>
    <row r="65" spans="1:17">
      <c r="A65" s="130" t="s">
        <v>268</v>
      </c>
      <c r="B65" s="134"/>
      <c r="C65" s="131">
        <v>1.1499999999999999</v>
      </c>
      <c r="D65" s="131">
        <v>1.1000000000000001</v>
      </c>
      <c r="E65" s="131">
        <v>1.2</v>
      </c>
      <c r="H65" s="131">
        <v>1.1000000000000001</v>
      </c>
      <c r="I65" s="131">
        <v>1.1000000000000001</v>
      </c>
      <c r="L65" s="131">
        <v>1</v>
      </c>
      <c r="N65" s="131">
        <v>1.1000000000000001</v>
      </c>
      <c r="O65" s="131">
        <v>1.05</v>
      </c>
      <c r="P65" s="131">
        <v>1</v>
      </c>
      <c r="Q65" s="131">
        <v>1</v>
      </c>
    </row>
    <row r="66" spans="1:17" ht="15">
      <c r="A66" s="132" t="s">
        <v>352</v>
      </c>
      <c r="B66" s="134"/>
      <c r="C66" s="133">
        <f>C64*C65</f>
        <v>65045.961478713623</v>
      </c>
      <c r="D66" s="133">
        <f>D64*D65</f>
        <v>63829.203394682896</v>
      </c>
      <c r="E66" s="133">
        <f>E64*E65</f>
        <v>61945.87370656</v>
      </c>
      <c r="H66" s="133">
        <f>H64*H65</f>
        <v>62668.929947155753</v>
      </c>
      <c r="I66" s="133">
        <f>I64*I65</f>
        <v>48898.991990101909</v>
      </c>
      <c r="L66" s="133">
        <f>L64*L65</f>
        <v>122915.81959578756</v>
      </c>
      <c r="N66" s="133">
        <f>N64*N65</f>
        <v>53116.140465493707</v>
      </c>
      <c r="O66" s="133">
        <f>O64*O65</f>
        <v>69007.02529892241</v>
      </c>
      <c r="P66" s="133">
        <f>P64*P65</f>
        <v>127135.89088200002</v>
      </c>
      <c r="Q66" s="133">
        <f>Q64*Q65</f>
        <v>91274.326109653135</v>
      </c>
    </row>
    <row r="67" spans="1:17">
      <c r="A67" s="216" t="s">
        <v>269</v>
      </c>
      <c r="B67" s="221"/>
      <c r="C67" s="218">
        <v>1</v>
      </c>
      <c r="D67" s="218">
        <v>1</v>
      </c>
      <c r="E67" s="218">
        <v>1</v>
      </c>
      <c r="H67" s="131">
        <v>1.02</v>
      </c>
      <c r="I67" s="131">
        <v>1</v>
      </c>
      <c r="L67" s="131">
        <v>1</v>
      </c>
      <c r="N67" s="131">
        <v>0.9</v>
      </c>
      <c r="O67" s="131">
        <v>0.95</v>
      </c>
      <c r="P67" s="131">
        <v>1</v>
      </c>
      <c r="Q67" s="131">
        <v>1</v>
      </c>
    </row>
    <row r="68" spans="1:17" ht="15">
      <c r="A68" s="219" t="s">
        <v>352</v>
      </c>
      <c r="B68" s="221"/>
      <c r="C68" s="220">
        <f>C66*C67</f>
        <v>65045.961478713623</v>
      </c>
      <c r="D68" s="220">
        <f>D66*D67</f>
        <v>63829.203394682896</v>
      </c>
      <c r="E68" s="220">
        <f>E66*E67</f>
        <v>61945.87370656</v>
      </c>
      <c r="H68" s="133">
        <f>H66*H67</f>
        <v>63922.308546098866</v>
      </c>
      <c r="I68" s="133">
        <f>I66*I67</f>
        <v>48898.991990101909</v>
      </c>
      <c r="L68" s="133">
        <f>L66*L67</f>
        <v>122915.81959578756</v>
      </c>
      <c r="N68" s="133">
        <f>N66*N67</f>
        <v>47804.526418944341</v>
      </c>
      <c r="O68" s="133">
        <f>O66*O67</f>
        <v>65556.674033976291</v>
      </c>
      <c r="P68" s="133">
        <f>P66*P67</f>
        <v>127135.89088200002</v>
      </c>
      <c r="Q68" s="133">
        <f>Q66*Q67</f>
        <v>91274.326109653135</v>
      </c>
    </row>
    <row r="69" spans="1:17" ht="15">
      <c r="A69" s="132" t="s">
        <v>270</v>
      </c>
      <c r="B69" s="133"/>
      <c r="C69" s="133">
        <f>C68/долл</f>
        <v>743.80744972800028</v>
      </c>
      <c r="D69" s="133">
        <f>D68/долл</f>
        <v>729.89369233485297</v>
      </c>
      <c r="E69" s="133">
        <f>E68/долл</f>
        <v>708.35761814248144</v>
      </c>
      <c r="H69" s="133">
        <f>H68/долл</f>
        <v>730.95835958946668</v>
      </c>
      <c r="I69" s="133">
        <f>I68/долл</f>
        <v>559.16514568441289</v>
      </c>
      <c r="L69" s="133">
        <f>L68/долл</f>
        <v>1405.5553984652665</v>
      </c>
      <c r="N69" s="133">
        <f>N68/долл</f>
        <v>546.64981611142753</v>
      </c>
      <c r="O69" s="133">
        <f>O68/долл</f>
        <v>749.64750181791067</v>
      </c>
      <c r="P69" s="133">
        <f>P68/долл</f>
        <v>1453.8123600000001</v>
      </c>
      <c r="Q69" s="133">
        <f>Q68/долл</f>
        <v>1043.7315735809391</v>
      </c>
    </row>
    <row r="70" spans="1:17">
      <c r="A70" s="119" t="s">
        <v>271</v>
      </c>
      <c r="B70" s="87" t="s">
        <v>159</v>
      </c>
      <c r="C70" s="135"/>
      <c r="D70" s="135"/>
      <c r="E70" s="135"/>
      <c r="H70" s="135"/>
      <c r="I70" s="135"/>
      <c r="L70" s="135"/>
      <c r="N70" s="135"/>
      <c r="O70" s="135"/>
      <c r="P70" s="135"/>
      <c r="Q70" s="135"/>
    </row>
    <row r="71" spans="1:17" ht="15">
      <c r="A71" s="136" t="s">
        <v>272</v>
      </c>
      <c r="B71" s="115">
        <f>ROUND(AVERAGE(C68:E68),-2)</f>
        <v>63600</v>
      </c>
      <c r="C71" s="104"/>
      <c r="D71" s="104"/>
      <c r="E71" s="104"/>
      <c r="H71" s="104"/>
      <c r="I71" s="104"/>
      <c r="L71" s="104"/>
      <c r="N71" s="104"/>
      <c r="O71" s="104"/>
      <c r="P71" s="104"/>
      <c r="Q71" s="104"/>
    </row>
    <row r="72" spans="1:17" ht="14.25" customHeight="1">
      <c r="A72" s="136" t="s">
        <v>273</v>
      </c>
      <c r="B72" s="115">
        <f>ROUND(B71/долл,2)</f>
        <v>727.27</v>
      </c>
      <c r="C72" s="104"/>
      <c r="D72" s="104"/>
      <c r="E72" s="104"/>
      <c r="H72" s="104"/>
      <c r="I72" s="104"/>
      <c r="L72" s="104"/>
      <c r="N72" s="104"/>
      <c r="O72" s="104"/>
      <c r="P72" s="104"/>
      <c r="Q72" s="104"/>
    </row>
    <row r="73" spans="1:17">
      <c r="A73" s="132" t="s">
        <v>274</v>
      </c>
      <c r="B73" s="133">
        <f>ROUND(B71*B14,-3)</f>
        <v>1271364000</v>
      </c>
      <c r="C73" s="104"/>
      <c r="D73" s="104"/>
      <c r="E73" s="104"/>
      <c r="H73" s="104"/>
      <c r="I73" s="104"/>
      <c r="L73" s="104"/>
      <c r="N73" s="104"/>
      <c r="O73" s="104"/>
      <c r="P73" s="104"/>
      <c r="Q73" s="104"/>
    </row>
    <row r="74" spans="1:17">
      <c r="A74" s="132" t="s">
        <v>275</v>
      </c>
      <c r="B74" s="133">
        <f>ROUND(B73/долл,-2)</f>
        <v>14538200</v>
      </c>
      <c r="C74" s="133"/>
      <c r="D74" s="133"/>
      <c r="E74" s="133"/>
      <c r="H74" s="133"/>
      <c r="I74" s="133"/>
      <c r="L74" s="133"/>
      <c r="N74" s="133"/>
      <c r="O74" s="133"/>
      <c r="P74" s="133"/>
      <c r="Q74" s="133"/>
    </row>
    <row r="75" spans="1:17">
      <c r="A75" s="137"/>
      <c r="B75" s="138"/>
      <c r="C75" s="138"/>
      <c r="D75" s="138"/>
      <c r="E75" s="138"/>
      <c r="H75" s="138"/>
      <c r="I75" s="138"/>
      <c r="L75" s="138"/>
      <c r="N75" s="138"/>
      <c r="O75" s="138"/>
      <c r="P75" s="138"/>
      <c r="Q75" s="138"/>
    </row>
    <row r="76" spans="1:17">
      <c r="C76" s="138"/>
      <c r="D76" s="138"/>
      <c r="E76" s="138"/>
      <c r="H76" s="138"/>
      <c r="I76" s="138"/>
      <c r="L76" s="138"/>
      <c r="N76" s="138"/>
      <c r="O76" s="138"/>
      <c r="P76" s="138"/>
      <c r="Q76" s="138"/>
    </row>
    <row r="77" spans="1:17">
      <c r="A77" s="222"/>
      <c r="B77" s="223"/>
      <c r="C77" s="138"/>
      <c r="D77" s="138"/>
      <c r="E77" s="138"/>
      <c r="H77" s="138"/>
      <c r="I77" s="138"/>
      <c r="L77" s="138"/>
      <c r="N77" s="138"/>
      <c r="O77" s="138"/>
      <c r="P77" s="138"/>
      <c r="Q77" s="138"/>
    </row>
    <row r="78" spans="1:17">
      <c r="A78" s="224" t="s">
        <v>353</v>
      </c>
      <c r="B78" s="225" t="s">
        <v>159</v>
      </c>
      <c r="C78" s="138"/>
      <c r="D78" s="138"/>
      <c r="E78" s="138"/>
      <c r="H78" s="138"/>
      <c r="I78" s="138"/>
      <c r="L78" s="138"/>
      <c r="N78" s="138"/>
      <c r="O78" s="138"/>
      <c r="P78" s="138"/>
      <c r="Q78" s="138"/>
    </row>
    <row r="79" spans="1:17">
      <c r="A79" s="226" t="s">
        <v>354</v>
      </c>
      <c r="B79" s="227"/>
      <c r="C79" s="138"/>
      <c r="D79" s="138"/>
      <c r="E79" s="138"/>
      <c r="H79" s="138"/>
      <c r="I79" s="138"/>
      <c r="L79" s="138"/>
      <c r="N79" s="138"/>
      <c r="O79" s="138"/>
      <c r="P79" s="138"/>
      <c r="Q79" s="138"/>
    </row>
    <row r="80" spans="1:17">
      <c r="A80" s="226" t="s">
        <v>355</v>
      </c>
      <c r="B80" s="227"/>
      <c r="C80" s="138"/>
      <c r="D80" s="138"/>
      <c r="E80" s="138"/>
      <c r="H80" s="138"/>
      <c r="I80" s="138"/>
      <c r="L80" s="138"/>
      <c r="N80" s="138"/>
      <c r="O80" s="138"/>
      <c r="P80" s="138"/>
      <c r="Q80" s="138"/>
    </row>
    <row r="81" spans="1:17">
      <c r="A81" s="226" t="s">
        <v>274</v>
      </c>
      <c r="B81" s="227"/>
      <c r="C81" s="138"/>
      <c r="D81" s="138"/>
      <c r="E81" s="138"/>
      <c r="H81" s="138"/>
      <c r="I81" s="138"/>
      <c r="L81" s="138"/>
      <c r="N81" s="138"/>
      <c r="O81" s="138"/>
      <c r="P81" s="138"/>
      <c r="Q81" s="138"/>
    </row>
    <row r="82" spans="1:17">
      <c r="A82" s="226" t="s">
        <v>275</v>
      </c>
      <c r="B82" s="227"/>
      <c r="C82" s="138"/>
      <c r="D82" s="138"/>
      <c r="E82" s="138"/>
      <c r="H82" s="138"/>
      <c r="I82" s="138"/>
      <c r="L82" s="138"/>
      <c r="N82" s="138"/>
      <c r="O82" s="138"/>
      <c r="P82" s="138"/>
      <c r="Q82" s="138"/>
    </row>
    <row r="83" spans="1:17">
      <c r="A83" s="137"/>
      <c r="B83" s="138"/>
      <c r="C83" s="138"/>
      <c r="D83" s="138"/>
      <c r="E83" s="138"/>
      <c r="H83" s="138"/>
      <c r="I83" s="138"/>
      <c r="L83" s="138"/>
      <c r="N83" s="138"/>
      <c r="O83" s="138"/>
      <c r="P83" s="138"/>
      <c r="Q83" s="138"/>
    </row>
    <row r="84" spans="1:17">
      <c r="A84" s="137"/>
      <c r="B84" s="138"/>
      <c r="C84" s="138"/>
      <c r="D84" s="138"/>
      <c r="E84" s="138"/>
      <c r="H84" s="138"/>
      <c r="I84" s="138"/>
      <c r="L84" s="138"/>
      <c r="N84" s="138"/>
      <c r="O84" s="138"/>
      <c r="P84" s="138"/>
      <c r="Q84" s="138"/>
    </row>
    <row r="86" spans="1:17">
      <c r="A86" s="228" t="s">
        <v>276</v>
      </c>
      <c r="B86" s="229">
        <f t="shared" ref="B86:E91" si="2">B14</f>
        <v>19990</v>
      </c>
      <c r="C86" s="229">
        <f t="shared" si="2"/>
        <v>1870</v>
      </c>
      <c r="D86" s="229">
        <f t="shared" si="2"/>
        <v>6996</v>
      </c>
      <c r="E86" s="229">
        <f t="shared" si="2"/>
        <v>3337.7</v>
      </c>
      <c r="H86" s="229">
        <f t="shared" ref="H86:I91" si="3">H14</f>
        <v>3400</v>
      </c>
      <c r="I86" s="229">
        <f t="shared" si="3"/>
        <v>1906</v>
      </c>
      <c r="L86" s="229">
        <f t="shared" ref="L86:L91" si="4">L14</f>
        <v>2476</v>
      </c>
      <c r="N86" s="229">
        <f t="shared" ref="N86:Q91" si="5">N14</f>
        <v>5699.9999999999991</v>
      </c>
      <c r="O86" s="229">
        <f t="shared" si="5"/>
        <v>1407</v>
      </c>
      <c r="P86" s="229">
        <f t="shared" si="5"/>
        <v>1800</v>
      </c>
      <c r="Q86" s="229">
        <f t="shared" si="5"/>
        <v>2283.1999999999998</v>
      </c>
    </row>
    <row r="87" spans="1:17">
      <c r="A87" s="230" t="s">
        <v>356</v>
      </c>
      <c r="B87" s="231">
        <f t="shared" si="2"/>
        <v>949.5</v>
      </c>
      <c r="C87" s="231">
        <f t="shared" si="2"/>
        <v>110</v>
      </c>
      <c r="D87" s="231">
        <f t="shared" si="2"/>
        <v>360</v>
      </c>
      <c r="E87" s="231">
        <f t="shared" si="2"/>
        <v>1390</v>
      </c>
      <c r="H87" s="231">
        <f t="shared" si="3"/>
        <v>3400</v>
      </c>
      <c r="I87" s="231">
        <f t="shared" si="3"/>
        <v>1260</v>
      </c>
      <c r="L87" s="231">
        <f t="shared" si="4"/>
        <v>74.800000000000011</v>
      </c>
      <c r="N87" s="231">
        <f t="shared" si="5"/>
        <v>877.69999999999993</v>
      </c>
      <c r="O87" s="231">
        <f t="shared" si="5"/>
        <v>500</v>
      </c>
      <c r="P87" s="231">
        <f t="shared" si="5"/>
        <v>23.1</v>
      </c>
      <c r="Q87" s="231">
        <f t="shared" si="5"/>
        <v>1095.5</v>
      </c>
    </row>
    <row r="88" spans="1:17">
      <c r="A88" s="230" t="str">
        <f t="shared" ref="A88:C89" si="6">A16</f>
        <v>Производственно-складские помещения большой высоты</v>
      </c>
      <c r="B88" s="231">
        <f t="shared" si="6"/>
        <v>14304</v>
      </c>
      <c r="C88" s="231">
        <f t="shared" si="6"/>
        <v>1300</v>
      </c>
      <c r="D88" s="231">
        <f t="shared" si="2"/>
        <v>5523.8</v>
      </c>
      <c r="E88" s="231">
        <f t="shared" si="2"/>
        <v>0</v>
      </c>
      <c r="H88" s="231">
        <f t="shared" si="3"/>
        <v>0</v>
      </c>
      <c r="I88" s="231">
        <f t="shared" si="3"/>
        <v>646</v>
      </c>
      <c r="L88" s="231">
        <f t="shared" si="4"/>
        <v>1561.2</v>
      </c>
      <c r="N88" s="231">
        <f t="shared" si="5"/>
        <v>4822.2999999999993</v>
      </c>
      <c r="O88" s="231">
        <f t="shared" si="5"/>
        <v>0</v>
      </c>
      <c r="P88" s="231">
        <f t="shared" si="5"/>
        <v>800</v>
      </c>
      <c r="Q88" s="231">
        <f t="shared" si="5"/>
        <v>887.7</v>
      </c>
    </row>
    <row r="89" spans="1:17">
      <c r="A89" s="230" t="str">
        <f t="shared" si="6"/>
        <v>Производственно-складские помещения средней высоты</v>
      </c>
      <c r="B89" s="231">
        <f t="shared" si="6"/>
        <v>4736.5</v>
      </c>
      <c r="C89" s="231">
        <f t="shared" si="6"/>
        <v>460</v>
      </c>
      <c r="D89" s="231">
        <f t="shared" si="2"/>
        <v>1112.2</v>
      </c>
      <c r="E89" s="231">
        <f t="shared" si="2"/>
        <v>1947.7</v>
      </c>
      <c r="H89" s="231">
        <f t="shared" si="3"/>
        <v>0</v>
      </c>
      <c r="I89" s="231">
        <f t="shared" si="3"/>
        <v>0</v>
      </c>
      <c r="L89" s="231">
        <f t="shared" si="4"/>
        <v>840</v>
      </c>
      <c r="N89" s="231">
        <f t="shared" si="5"/>
        <v>0</v>
      </c>
      <c r="O89" s="231">
        <f t="shared" si="5"/>
        <v>700</v>
      </c>
      <c r="P89" s="231">
        <f t="shared" si="5"/>
        <v>976.90000000000009</v>
      </c>
      <c r="Q89" s="231">
        <f t="shared" si="5"/>
        <v>300</v>
      </c>
    </row>
    <row r="90" spans="1:17">
      <c r="A90" s="230" t="s">
        <v>357</v>
      </c>
      <c r="B90" s="231">
        <f>B18</f>
        <v>0</v>
      </c>
      <c r="C90" s="231">
        <f>C18</f>
        <v>0</v>
      </c>
      <c r="D90" s="231">
        <f t="shared" si="2"/>
        <v>0</v>
      </c>
      <c r="E90" s="231">
        <f t="shared" si="2"/>
        <v>0</v>
      </c>
      <c r="H90" s="231">
        <f t="shared" si="3"/>
        <v>0</v>
      </c>
      <c r="I90" s="231">
        <f t="shared" si="3"/>
        <v>0</v>
      </c>
      <c r="L90" s="231">
        <f t="shared" si="4"/>
        <v>0</v>
      </c>
      <c r="N90" s="231">
        <f t="shared" si="5"/>
        <v>0</v>
      </c>
      <c r="O90" s="231">
        <f t="shared" si="5"/>
        <v>122</v>
      </c>
      <c r="P90" s="231">
        <f t="shared" si="5"/>
        <v>0</v>
      </c>
      <c r="Q90" s="231">
        <f t="shared" si="5"/>
        <v>0</v>
      </c>
    </row>
    <row r="91" spans="1:17">
      <c r="A91" s="230" t="s">
        <v>201</v>
      </c>
      <c r="B91" s="231">
        <f>B19</f>
        <v>0</v>
      </c>
      <c r="C91" s="231">
        <f>C19</f>
        <v>0</v>
      </c>
      <c r="D91" s="231">
        <f t="shared" si="2"/>
        <v>0</v>
      </c>
      <c r="E91" s="231">
        <f t="shared" si="2"/>
        <v>0</v>
      </c>
      <c r="H91" s="231">
        <f t="shared" si="3"/>
        <v>0</v>
      </c>
      <c r="I91" s="231">
        <f t="shared" si="3"/>
        <v>0</v>
      </c>
      <c r="L91" s="231">
        <f t="shared" si="4"/>
        <v>0</v>
      </c>
      <c r="N91" s="231">
        <f t="shared" si="5"/>
        <v>0</v>
      </c>
      <c r="O91" s="231">
        <f t="shared" si="5"/>
        <v>85</v>
      </c>
      <c r="P91" s="231">
        <f t="shared" si="5"/>
        <v>0</v>
      </c>
      <c r="Q91" s="231">
        <f t="shared" si="5"/>
        <v>0</v>
      </c>
    </row>
    <row r="92" spans="1:17">
      <c r="A92" s="232"/>
      <c r="B92" s="232"/>
      <c r="C92" s="232"/>
      <c r="D92" s="232"/>
      <c r="E92" s="232"/>
      <c r="H92" s="232"/>
      <c r="I92" s="232"/>
      <c r="L92" s="232"/>
      <c r="N92" s="232"/>
      <c r="O92" s="232"/>
      <c r="P92" s="232"/>
      <c r="Q92" s="232"/>
    </row>
    <row r="93" spans="1:17">
      <c r="A93" s="232"/>
      <c r="B93" s="232"/>
      <c r="C93" s="232"/>
      <c r="D93" s="232"/>
      <c r="E93" s="232"/>
      <c r="H93" s="232"/>
      <c r="I93" s="232"/>
      <c r="L93" s="232"/>
      <c r="N93" s="232"/>
      <c r="O93" s="232"/>
      <c r="P93" s="232"/>
      <c r="Q93" s="232"/>
    </row>
    <row r="94" spans="1:17">
      <c r="A94" s="232"/>
      <c r="B94" s="232"/>
      <c r="C94" s="232"/>
      <c r="D94" s="232"/>
      <c r="E94" s="232"/>
      <c r="H94" s="232"/>
      <c r="I94" s="232"/>
      <c r="L94" s="232"/>
      <c r="N94" s="232"/>
      <c r="O94" s="232"/>
      <c r="P94" s="232"/>
      <c r="Q94" s="232"/>
    </row>
    <row r="95" spans="1:17">
      <c r="B95" s="232"/>
      <c r="C95" s="232"/>
      <c r="D95" s="232"/>
      <c r="E95" s="232"/>
      <c r="H95" s="232"/>
      <c r="I95" s="232"/>
      <c r="L95" s="232"/>
      <c r="N95" s="232"/>
      <c r="O95" s="232"/>
      <c r="P95" s="232"/>
      <c r="Q95" s="232"/>
    </row>
    <row r="96" spans="1:17">
      <c r="A96" s="233" t="s">
        <v>277</v>
      </c>
      <c r="B96" s="230"/>
      <c r="C96" s="230"/>
      <c r="D96" s="230"/>
      <c r="E96" s="230"/>
      <c r="H96" s="230"/>
      <c r="I96" s="230"/>
      <c r="L96" s="230"/>
      <c r="N96" s="230"/>
      <c r="O96" s="230"/>
      <c r="P96" s="230"/>
      <c r="Q96" s="230"/>
    </row>
    <row r="97" spans="1:17">
      <c r="A97" s="234">
        <v>1</v>
      </c>
      <c r="B97" s="235">
        <f t="shared" ref="B97:E100" si="7">B87/B$86</f>
        <v>4.7498749374687343E-2</v>
      </c>
      <c r="C97" s="235">
        <f t="shared" si="7"/>
        <v>5.8823529411764705E-2</v>
      </c>
      <c r="D97" s="235">
        <f t="shared" si="7"/>
        <v>5.1457975986277875E-2</v>
      </c>
      <c r="E97" s="235">
        <f t="shared" si="7"/>
        <v>0.41645444467747256</v>
      </c>
      <c r="H97" s="235">
        <f t="shared" ref="H97:I100" si="8">H87/H$86</f>
        <v>1</v>
      </c>
      <c r="I97" s="235">
        <f t="shared" si="8"/>
        <v>0.66107030430220359</v>
      </c>
      <c r="L97" s="235">
        <f>L87/L$86</f>
        <v>3.0210016155088858E-2</v>
      </c>
      <c r="N97" s="235">
        <f t="shared" ref="N97:Q100" si="9">N87/N$86</f>
        <v>0.15398245614035089</v>
      </c>
      <c r="O97" s="235">
        <f t="shared" si="9"/>
        <v>0.35536602700781805</v>
      </c>
      <c r="P97" s="235">
        <f t="shared" si="9"/>
        <v>1.2833333333333334E-2</v>
      </c>
      <c r="Q97" s="235">
        <f t="shared" si="9"/>
        <v>0.47980903994393836</v>
      </c>
    </row>
    <row r="98" spans="1:17">
      <c r="A98" s="234">
        <v>0.9</v>
      </c>
      <c r="B98" s="235">
        <f t="shared" si="7"/>
        <v>0.71555777888944472</v>
      </c>
      <c r="C98" s="235">
        <f t="shared" si="7"/>
        <v>0.69518716577540107</v>
      </c>
      <c r="D98" s="235">
        <f t="shared" si="7"/>
        <v>0.78956546598056032</v>
      </c>
      <c r="E98" s="235">
        <f t="shared" si="7"/>
        <v>0</v>
      </c>
      <c r="H98" s="235">
        <f t="shared" si="8"/>
        <v>0</v>
      </c>
      <c r="I98" s="235">
        <f t="shared" si="8"/>
        <v>0.33892969569779641</v>
      </c>
      <c r="L98" s="235"/>
      <c r="N98" s="235">
        <f t="shared" si="9"/>
        <v>0.84601754385964911</v>
      </c>
      <c r="O98" s="235">
        <f t="shared" si="9"/>
        <v>0</v>
      </c>
      <c r="P98" s="235">
        <f t="shared" si="9"/>
        <v>0.44444444444444442</v>
      </c>
      <c r="Q98" s="235">
        <f t="shared" si="9"/>
        <v>0.38879642606867559</v>
      </c>
    </row>
    <row r="99" spans="1:17">
      <c r="A99" s="234">
        <v>0.7</v>
      </c>
      <c r="B99" s="235">
        <f t="shared" si="7"/>
        <v>0.23694347173586794</v>
      </c>
      <c r="C99" s="235">
        <f t="shared" si="7"/>
        <v>0.24598930481283424</v>
      </c>
      <c r="D99" s="235">
        <f t="shared" si="7"/>
        <v>0.15897655803316182</v>
      </c>
      <c r="E99" s="235">
        <f t="shared" si="7"/>
        <v>0.5835455553225275</v>
      </c>
      <c r="H99" s="235">
        <f t="shared" si="8"/>
        <v>0</v>
      </c>
      <c r="I99" s="235">
        <f t="shared" si="8"/>
        <v>0</v>
      </c>
      <c r="L99" s="235">
        <f>L89/L$86</f>
        <v>0.3392568659127625</v>
      </c>
      <c r="N99" s="235">
        <f t="shared" si="9"/>
        <v>0</v>
      </c>
      <c r="O99" s="235">
        <f t="shared" si="9"/>
        <v>0.49751243781094528</v>
      </c>
      <c r="P99" s="235">
        <f t="shared" si="9"/>
        <v>0.54272222222222233</v>
      </c>
      <c r="Q99" s="235">
        <f t="shared" si="9"/>
        <v>0.13139453398738613</v>
      </c>
    </row>
    <row r="100" spans="1:17">
      <c r="A100" s="234">
        <v>0.3</v>
      </c>
      <c r="B100" s="235">
        <f t="shared" si="7"/>
        <v>0</v>
      </c>
      <c r="C100" s="235">
        <f t="shared" si="7"/>
        <v>0</v>
      </c>
      <c r="D100" s="235">
        <f t="shared" si="7"/>
        <v>0</v>
      </c>
      <c r="E100" s="235">
        <f t="shared" si="7"/>
        <v>0</v>
      </c>
      <c r="H100" s="235">
        <f t="shared" si="8"/>
        <v>0</v>
      </c>
      <c r="I100" s="235">
        <f t="shared" si="8"/>
        <v>0</v>
      </c>
      <c r="L100" s="235">
        <f>L90/L$86</f>
        <v>0</v>
      </c>
      <c r="N100" s="235">
        <f t="shared" si="9"/>
        <v>0</v>
      </c>
      <c r="O100" s="235">
        <f t="shared" si="9"/>
        <v>8.6709310589907607E-2</v>
      </c>
      <c r="P100" s="235">
        <f t="shared" si="9"/>
        <v>0</v>
      </c>
      <c r="Q100" s="235">
        <f t="shared" si="9"/>
        <v>0</v>
      </c>
    </row>
    <row r="101" spans="1:17">
      <c r="B101" s="236"/>
      <c r="C101" s="236"/>
      <c r="D101" s="236"/>
      <c r="E101" s="236"/>
      <c r="H101" s="236"/>
      <c r="I101" s="236"/>
      <c r="L101" s="236"/>
      <c r="N101" s="236"/>
      <c r="O101" s="236"/>
      <c r="P101" s="236"/>
      <c r="Q101" s="236"/>
    </row>
    <row r="102" spans="1:17">
      <c r="B102" s="236"/>
      <c r="C102" s="236"/>
      <c r="D102" s="236"/>
      <c r="E102" s="236"/>
      <c r="H102" s="236"/>
      <c r="I102" s="236"/>
      <c r="L102" s="236"/>
      <c r="N102" s="236"/>
      <c r="O102" s="236"/>
      <c r="P102" s="236"/>
      <c r="Q102" s="236"/>
    </row>
    <row r="103" spans="1:17">
      <c r="B103" s="236"/>
      <c r="C103" s="232"/>
      <c r="D103" s="232"/>
      <c r="E103" s="232"/>
      <c r="H103" s="232"/>
      <c r="I103" s="232"/>
      <c r="L103" s="232"/>
      <c r="N103" s="232"/>
      <c r="O103" s="232"/>
      <c r="P103" s="232"/>
      <c r="Q103" s="232"/>
    </row>
    <row r="104" spans="1:17">
      <c r="A104" s="237" t="s">
        <v>278</v>
      </c>
      <c r="B104" s="238">
        <f t="shared" ref="B104:E107" si="10">$A97*B97</f>
        <v>4.7498749374687343E-2</v>
      </c>
      <c r="C104" s="238">
        <f t="shared" si="10"/>
        <v>5.8823529411764705E-2</v>
      </c>
      <c r="D104" s="238">
        <f t="shared" si="10"/>
        <v>5.1457975986277875E-2</v>
      </c>
      <c r="E104" s="238">
        <f t="shared" si="10"/>
        <v>0.41645444467747256</v>
      </c>
      <c r="H104" s="238">
        <f t="shared" ref="H104:I107" si="11">$A97*H97</f>
        <v>1</v>
      </c>
      <c r="I104" s="238">
        <f t="shared" si="11"/>
        <v>0.66107030430220359</v>
      </c>
      <c r="L104" s="238">
        <f>$A97*L97</f>
        <v>3.0210016155088858E-2</v>
      </c>
      <c r="N104" s="238">
        <f t="shared" ref="N104:Q107" si="12">$A97*N97</f>
        <v>0.15398245614035089</v>
      </c>
      <c r="O104" s="238">
        <f t="shared" si="12"/>
        <v>0.35536602700781805</v>
      </c>
      <c r="P104" s="238">
        <f t="shared" si="12"/>
        <v>1.2833333333333334E-2</v>
      </c>
      <c r="Q104" s="238">
        <f t="shared" si="12"/>
        <v>0.47980903994393836</v>
      </c>
    </row>
    <row r="105" spans="1:17">
      <c r="A105" s="237"/>
      <c r="B105" s="238">
        <f>$A98*B98</f>
        <v>0.64400200100050031</v>
      </c>
      <c r="C105" s="238">
        <f t="shared" si="10"/>
        <v>0.62566844919786102</v>
      </c>
      <c r="D105" s="238">
        <f t="shared" si="10"/>
        <v>0.71060891938250426</v>
      </c>
      <c r="E105" s="238">
        <f t="shared" si="10"/>
        <v>0</v>
      </c>
      <c r="H105" s="238">
        <f t="shared" si="11"/>
        <v>0</v>
      </c>
      <c r="I105" s="238">
        <f t="shared" si="11"/>
        <v>0.3050367261280168</v>
      </c>
      <c r="L105" s="238"/>
      <c r="N105" s="238">
        <f t="shared" si="12"/>
        <v>0.76141578947368427</v>
      </c>
      <c r="O105" s="238">
        <f t="shared" si="12"/>
        <v>0</v>
      </c>
      <c r="P105" s="238">
        <f t="shared" si="12"/>
        <v>0.39999999999999997</v>
      </c>
      <c r="Q105" s="238">
        <f t="shared" si="12"/>
        <v>0.34991678346180805</v>
      </c>
    </row>
    <row r="106" spans="1:17">
      <c r="A106" s="239"/>
      <c r="B106" s="238">
        <f t="shared" si="10"/>
        <v>0.16586043021510755</v>
      </c>
      <c r="C106" s="238">
        <f t="shared" si="10"/>
        <v>0.17219251336898395</v>
      </c>
      <c r="D106" s="238">
        <f t="shared" si="10"/>
        <v>0.11128359062321327</v>
      </c>
      <c r="E106" s="238">
        <f t="shared" si="10"/>
        <v>0.40848188872576924</v>
      </c>
      <c r="H106" s="238">
        <f t="shared" si="11"/>
        <v>0</v>
      </c>
      <c r="I106" s="238">
        <f t="shared" si="11"/>
        <v>0</v>
      </c>
      <c r="L106" s="238">
        <f>$A99*L99</f>
        <v>0.23747980613893374</v>
      </c>
      <c r="N106" s="238">
        <f t="shared" si="12"/>
        <v>0</v>
      </c>
      <c r="O106" s="238">
        <f t="shared" si="12"/>
        <v>0.34825870646766166</v>
      </c>
      <c r="P106" s="238">
        <f t="shared" si="12"/>
        <v>0.37990555555555561</v>
      </c>
      <c r="Q106" s="238">
        <f t="shared" si="12"/>
        <v>9.1976173791170276E-2</v>
      </c>
    </row>
    <row r="107" spans="1:17">
      <c r="B107" s="240">
        <f t="shared" si="10"/>
        <v>0</v>
      </c>
      <c r="C107" s="240">
        <f t="shared" si="10"/>
        <v>0</v>
      </c>
      <c r="D107" s="240">
        <f t="shared" si="10"/>
        <v>0</v>
      </c>
      <c r="E107" s="240">
        <f t="shared" si="10"/>
        <v>0</v>
      </c>
      <c r="H107" s="240">
        <f t="shared" si="11"/>
        <v>0</v>
      </c>
      <c r="I107" s="240">
        <f t="shared" si="11"/>
        <v>0</v>
      </c>
      <c r="L107" s="240">
        <f>$A100*L100</f>
        <v>0</v>
      </c>
      <c r="N107" s="240">
        <f t="shared" si="12"/>
        <v>0</v>
      </c>
      <c r="O107" s="240">
        <f t="shared" si="12"/>
        <v>2.601279317697228E-2</v>
      </c>
      <c r="P107" s="240">
        <f t="shared" si="12"/>
        <v>0</v>
      </c>
      <c r="Q107" s="240">
        <f t="shared" si="12"/>
        <v>0</v>
      </c>
    </row>
    <row r="108" spans="1:17">
      <c r="A108" s="241" t="s">
        <v>279</v>
      </c>
      <c r="B108" s="242">
        <f>SUM(B104:B107)</f>
        <v>0.8573611805902952</v>
      </c>
      <c r="C108" s="243">
        <f>SUM(C104:C107)</f>
        <v>0.85668449197860963</v>
      </c>
      <c r="D108" s="243">
        <f>SUM(D104:D107)</f>
        <v>0.87335048599199538</v>
      </c>
      <c r="E108" s="243">
        <f>SUM(E104:E107)</f>
        <v>0.82493633340324179</v>
      </c>
      <c r="H108" s="243">
        <f>SUM(H104:H107)</f>
        <v>1</v>
      </c>
      <c r="I108" s="243">
        <f>SUM(I104:I107)</f>
        <v>0.96610703043022039</v>
      </c>
      <c r="L108" s="243">
        <f>SUM(L104:L107)</f>
        <v>0.26768982229402261</v>
      </c>
      <c r="N108" s="243">
        <f t="shared" ref="N108" si="13">SUM(N104:N107)</f>
        <v>0.91539824561403516</v>
      </c>
      <c r="O108" s="243">
        <f>SUM(O104:O107)</f>
        <v>0.72963752665245196</v>
      </c>
      <c r="P108" s="243">
        <f>SUM(P104:P107)</f>
        <v>0.79273888888888888</v>
      </c>
      <c r="Q108" s="243">
        <f>SUM(Q104:Q107)</f>
        <v>0.9217019971969167</v>
      </c>
    </row>
    <row r="109" spans="1:17">
      <c r="A109" s="237" t="s">
        <v>280</v>
      </c>
      <c r="B109" s="244"/>
      <c r="C109" s="245">
        <f>$B$108/C108</f>
        <v>1.0007898924493459</v>
      </c>
      <c r="D109" s="245">
        <f>$B$108/D108</f>
        <v>0.98169199461366452</v>
      </c>
      <c r="E109" s="245">
        <f>$B$108/E108</f>
        <v>1.0393058783740146</v>
      </c>
      <c r="H109" s="245">
        <f>$B$108/H108</f>
        <v>0.8573611805902952</v>
      </c>
      <c r="I109" s="245">
        <f>$B$108/I108</f>
        <v>0.88743912794889901</v>
      </c>
      <c r="L109" s="245">
        <f>$B$108/L108</f>
        <v>3.2028157560977233</v>
      </c>
      <c r="N109" s="245">
        <f>$B$108/N108</f>
        <v>0.93659910830961934</v>
      </c>
      <c r="O109" s="245">
        <f>$B$108/O108</f>
        <v>1.1750508290381312</v>
      </c>
      <c r="P109" s="245">
        <f>$B$108/P108</f>
        <v>1.0815177514401768</v>
      </c>
      <c r="Q109" s="245">
        <f>$B$108/Q108</f>
        <v>0.93019347164018851</v>
      </c>
    </row>
    <row r="110" spans="1:17">
      <c r="A110" s="241" t="s">
        <v>281</v>
      </c>
      <c r="B110" s="230">
        <f t="shared" ref="B110" si="14">$B$117*B24</f>
        <v>8339113.7793024592</v>
      </c>
      <c r="C110" s="230">
        <f>$B$117*C24</f>
        <v>1003256.7181246427</v>
      </c>
      <c r="D110" s="230">
        <f>$B$117*D24</f>
        <v>2310419.6683819327</v>
      </c>
      <c r="E110" s="230">
        <f>$B$117*E24</f>
        <v>1427993.1389365352</v>
      </c>
      <c r="H110" s="230">
        <f>$B$117*H24</f>
        <v>1189994.2824471127</v>
      </c>
      <c r="I110" s="230">
        <f>$B$117*I24</f>
        <v>237998.85648942253</v>
      </c>
      <c r="L110" s="230">
        <f>$B$117*L24</f>
        <v>1098456.2607204118</v>
      </c>
      <c r="N110" s="230">
        <f>$B$117*N24</f>
        <v>2239935.3916523727</v>
      </c>
      <c r="O110" s="230">
        <f>$B$117*O24</f>
        <v>549228.13036020589</v>
      </c>
      <c r="P110" s="230">
        <f>$B$117*P24</f>
        <v>585843.33905088622</v>
      </c>
      <c r="Q110" s="230">
        <f>$B$117*Q24</f>
        <v>452014.75128644943</v>
      </c>
    </row>
    <row r="111" spans="1:17">
      <c r="A111" s="237" t="s">
        <v>282</v>
      </c>
      <c r="B111" s="234"/>
      <c r="C111" s="246">
        <f>1-C110/C30</f>
        <v>0.4426351565974207</v>
      </c>
      <c r="D111" s="246">
        <f>1-D110/D30</f>
        <v>0.67910837939139823</v>
      </c>
      <c r="E111" s="246">
        <f>1-E110/E30</f>
        <v>0.41714565757692434</v>
      </c>
      <c r="H111" s="246">
        <f>1-H110/H30</f>
        <v>0.57500204198317406</v>
      </c>
      <c r="I111" s="246">
        <f>1-I110/I30</f>
        <v>0.816923956546598</v>
      </c>
      <c r="L111" s="246">
        <f>1-L110/L30</f>
        <v>0.59316434788132899</v>
      </c>
      <c r="N111" s="246">
        <f>1-N110/N30</f>
        <v>0.61380424281855639</v>
      </c>
      <c r="O111" s="246">
        <f>1-O110/O30</f>
        <v>0.63384791309319599</v>
      </c>
      <c r="P111" s="246">
        <f>1-P110/P30</f>
        <v>0.6094377739660759</v>
      </c>
      <c r="Q111" s="246">
        <f>1-Q110/Q30</f>
        <v>0.66517425830633381</v>
      </c>
    </row>
    <row r="112" spans="1:17">
      <c r="A112" s="247" t="s">
        <v>283</v>
      </c>
      <c r="B112" s="248"/>
      <c r="C112" s="249">
        <f>1-(1-C109)*C111</f>
        <v>1.0003496341680114</v>
      </c>
      <c r="D112" s="249">
        <f>1-(1-D109)*D111</f>
        <v>0.98756688013219673</v>
      </c>
      <c r="E112" s="249">
        <f>1-(1-E109)*E111</f>
        <v>1.0163962764809669</v>
      </c>
      <c r="H112" s="249">
        <f>1-(1-H109)*H111</f>
        <v>0.9179823875733506</v>
      </c>
      <c r="I112" s="249">
        <f>1-(1-I109)*I111</f>
        <v>0.9080463270516792</v>
      </c>
      <c r="L112" s="249">
        <f>1-(1-L109)*L111</f>
        <v>2.3066317714684228</v>
      </c>
      <c r="N112" s="249">
        <f>1-(1-N109)*N111</f>
        <v>0.96108426368196465</v>
      </c>
      <c r="O112" s="249">
        <f>1-(1-O109)*O111</f>
        <v>1.1109556026710532</v>
      </c>
      <c r="P112" s="249">
        <f>1-(1-P109)*P111</f>
        <v>1.0496799969764212</v>
      </c>
      <c r="Q112" s="249">
        <f>1-(1-Q109)*Q111</f>
        <v>0.9535664942733223</v>
      </c>
    </row>
    <row r="114" spans="1:17">
      <c r="E114" s="250"/>
      <c r="I114" s="250"/>
      <c r="O114" s="250"/>
    </row>
    <row r="116" spans="1:17">
      <c r="A116" s="239"/>
      <c r="B116" s="235">
        <f t="shared" ref="B116" si="15">B24/B14</f>
        <v>2.2786393196598298</v>
      </c>
      <c r="C116" s="235">
        <f>C24/C14</f>
        <v>2.9304812834224601</v>
      </c>
      <c r="D116" s="235">
        <f>D24/D14</f>
        <v>1.8038879359634077</v>
      </c>
      <c r="E116" s="235">
        <f>E24/E14</f>
        <v>2.3369386104203493</v>
      </c>
      <c r="H116" s="235">
        <f>H24/H14</f>
        <v>1.911764705882353</v>
      </c>
      <c r="I116" s="235">
        <f>I24/I14</f>
        <v>0.6820566631689402</v>
      </c>
      <c r="L116" s="235">
        <f>L24/L14</f>
        <v>2.4232633279483036</v>
      </c>
      <c r="N116" s="235">
        <f>N24/N14</f>
        <v>2.1464912280701758</v>
      </c>
      <c r="O116" s="235">
        <f>O24/O14</f>
        <v>2.1321961620469083</v>
      </c>
      <c r="P116" s="235">
        <f>P24/P14</f>
        <v>1.7777777777777777</v>
      </c>
      <c r="Q116" s="235">
        <f>Q24/Q14</f>
        <v>1.0813770147161879</v>
      </c>
    </row>
    <row r="117" spans="1:17" ht="18">
      <c r="A117" s="251" t="s">
        <v>285</v>
      </c>
      <c r="B117" s="252">
        <v>183.07604345340195</v>
      </c>
      <c r="C117" s="235">
        <f>$B$116-C116</f>
        <v>-0.65184196376263026</v>
      </c>
      <c r="D117" s="235">
        <f>$B$116-D116</f>
        <v>0.47475138369642211</v>
      </c>
      <c r="E117" s="235">
        <f>$B$116-E116</f>
        <v>-5.829929076051954E-2</v>
      </c>
      <c r="H117" s="235">
        <f>$B$116-H116</f>
        <v>0.36687461377747677</v>
      </c>
      <c r="I117" s="235">
        <f>$B$116-I116</f>
        <v>1.5965826564908896</v>
      </c>
      <c r="L117" s="235">
        <f>$B$116-L116</f>
        <v>-0.14462400828847377</v>
      </c>
      <c r="N117" s="235">
        <f>$B$116-N116</f>
        <v>0.13214809158965402</v>
      </c>
      <c r="O117" s="235">
        <f>$B$116-O116</f>
        <v>0.14644315761292148</v>
      </c>
      <c r="P117" s="235">
        <f>$B$116-P116</f>
        <v>0.50086154188205212</v>
      </c>
      <c r="Q117" s="235">
        <f>$B$116-Q116</f>
        <v>1.1972623049436419</v>
      </c>
    </row>
    <row r="118" spans="1:17">
      <c r="A118" s="239"/>
      <c r="B118" s="239"/>
      <c r="C118" s="235">
        <f>$B$117*C117</f>
        <v>-119.33664768255815</v>
      </c>
      <c r="D118" s="235">
        <f>$B$117*D117</f>
        <v>86.915604951168874</v>
      </c>
      <c r="E118" s="235">
        <f>$B$117*E117</f>
        <v>-10.673203488575391</v>
      </c>
      <c r="H118" s="235">
        <f>$B$117*H117</f>
        <v>67.1659527338754</v>
      </c>
      <c r="I118" s="235">
        <f>$B$117*I117</f>
        <v>292.296035796674</v>
      </c>
      <c r="L118" s="235">
        <f>$B$117*L117</f>
        <v>-26.477191225825788</v>
      </c>
      <c r="N118" s="235">
        <f>$B$117*N117</f>
        <v>24.193149758151641</v>
      </c>
      <c r="O118" s="235">
        <f>$B$117*O117</f>
        <v>26.810233886596603</v>
      </c>
      <c r="P118" s="235">
        <f>$B$117*P117</f>
        <v>91.695749405736478</v>
      </c>
      <c r="Q118" s="235">
        <f>$B$117*Q117</f>
        <v>219.19004576498236</v>
      </c>
    </row>
    <row r="119" spans="1:17">
      <c r="A119" s="239"/>
      <c r="B119" s="239"/>
      <c r="C119" s="230">
        <f>C118*долл</f>
        <v>-10435.989839839711</v>
      </c>
      <c r="D119" s="230">
        <f>D118*долл</f>
        <v>7600.7696529797186</v>
      </c>
      <c r="E119" s="230">
        <f>E118*долл</f>
        <v>-933.37164507591797</v>
      </c>
      <c r="H119" s="230">
        <f t="shared" ref="H119:Q119" si="16">H118*долл</f>
        <v>5873.6625665774036</v>
      </c>
      <c r="I119" s="230">
        <f t="shared" si="16"/>
        <v>25561.288330419142</v>
      </c>
      <c r="J119" s="230">
        <f t="shared" si="16"/>
        <v>0</v>
      </c>
      <c r="K119" s="230">
        <f t="shared" si="16"/>
        <v>0</v>
      </c>
      <c r="L119" s="230">
        <f t="shared" si="16"/>
        <v>-2315.4303726984654</v>
      </c>
      <c r="M119" s="230">
        <f t="shared" si="16"/>
        <v>0</v>
      </c>
      <c r="N119" s="230">
        <f t="shared" si="16"/>
        <v>2115.6909463503612</v>
      </c>
      <c r="O119" s="230">
        <f t="shared" si="16"/>
        <v>2344.554953382873</v>
      </c>
      <c r="P119" s="230">
        <f t="shared" si="16"/>
        <v>8018.7932855316549</v>
      </c>
      <c r="Q119" s="230">
        <f t="shared" si="16"/>
        <v>19168.169502147706</v>
      </c>
    </row>
    <row r="120" spans="1:17">
      <c r="A120" s="239"/>
      <c r="B120" s="239"/>
      <c r="C120" s="234">
        <f>1+C119/C60</f>
        <v>0.85062371652905699</v>
      </c>
      <c r="D120" s="234">
        <f>1+D119/D60</f>
        <v>1.1301494732521249</v>
      </c>
      <c r="E120" s="234">
        <f>1+E119/E60</f>
        <v>0.98372706176593583</v>
      </c>
      <c r="H120" s="234">
        <f>1+H119/H60</f>
        <v>1.098355301463801</v>
      </c>
      <c r="I120" s="234">
        <f>1+I119/I60</f>
        <v>1.688172158396267</v>
      </c>
      <c r="L120" s="234">
        <f>1+L119/L60</f>
        <v>0.9839880999592574</v>
      </c>
      <c r="N120" s="234">
        <f>1+N119/N60</f>
        <v>1.0357526766214833</v>
      </c>
      <c r="O120" s="234">
        <f>1+O119/O60</f>
        <v>1.0327490789492275</v>
      </c>
      <c r="P120" s="234">
        <f>1+P119/P60</f>
        <v>1.0655955211317407</v>
      </c>
      <c r="Q120" s="234">
        <f>1+Q119/Q60</f>
        <v>1.239407007028424</v>
      </c>
    </row>
    <row r="121" spans="1:17">
      <c r="A121" s="247"/>
      <c r="B121" s="248"/>
      <c r="C121" s="249"/>
      <c r="D121" s="249"/>
      <c r="E121" s="249"/>
      <c r="H121" s="249"/>
      <c r="I121" s="249"/>
      <c r="L121" s="249"/>
      <c r="N121" s="249"/>
      <c r="O121" s="249"/>
      <c r="P121" s="249"/>
      <c r="Q121" s="249"/>
    </row>
    <row r="122" spans="1:17" ht="14.25">
      <c r="A122" s="241" t="s">
        <v>358</v>
      </c>
      <c r="B122" s="239">
        <v>0.02</v>
      </c>
      <c r="C122" s="253">
        <f>C119/C60</f>
        <v>-0.14937628347094298</v>
      </c>
      <c r="D122" s="253">
        <f>D119/D60</f>
        <v>0.13014947325212481</v>
      </c>
      <c r="E122" s="253">
        <f>E119/E60</f>
        <v>-1.6272938234064182E-2</v>
      </c>
      <c r="H122" s="253">
        <f>H119/H60</f>
        <v>9.8355301463800962E-2</v>
      </c>
      <c r="I122" s="253">
        <f>I119/I60</f>
        <v>0.68817215839626689</v>
      </c>
      <c r="L122" s="253">
        <f>L119/L60</f>
        <v>-1.6011900040742554E-2</v>
      </c>
      <c r="N122" s="253">
        <f>N119/N60</f>
        <v>3.575267662148339E-2</v>
      </c>
      <c r="O122" s="253">
        <f>O119/O60</f>
        <v>3.2749078949227538E-2</v>
      </c>
      <c r="P122" s="253">
        <f>P119/P60</f>
        <v>6.5595521131740775E-2</v>
      </c>
      <c r="Q122" s="253">
        <f>Q119/Q60</f>
        <v>0.23940700702842393</v>
      </c>
    </row>
    <row r="123" spans="1:17" ht="20.25">
      <c r="A123" s="239"/>
      <c r="B123" s="254">
        <v>0.5755549113798244</v>
      </c>
      <c r="C123" s="255">
        <f>MROUND((1+C122)^$B$123,$B$122)</f>
        <v>0.92</v>
      </c>
      <c r="D123" s="255">
        <f>MROUND((1+D122)^$B$123,$B$122)</f>
        <v>1.08</v>
      </c>
      <c r="E123" s="255">
        <f>MROUND((1+E122)^$B$123,$B$122)</f>
        <v>1</v>
      </c>
      <c r="H123" s="255">
        <f>MROUND((1+H122)^$B$123,$B$122)</f>
        <v>1.06</v>
      </c>
      <c r="I123" s="255">
        <f>MROUND((1+I122)^$B$123,$B$122)</f>
        <v>1.36</v>
      </c>
      <c r="L123" s="255">
        <f>MROUND((1+L122)^$B$123,$B$122)</f>
        <v>1</v>
      </c>
      <c r="N123" s="255">
        <f>MROUND((1+N122)^$B$123,$B$122)</f>
        <v>1.02</v>
      </c>
      <c r="O123" s="255">
        <f>MROUND((1+O122)^$B$123,$B$122)</f>
        <v>1.02</v>
      </c>
      <c r="P123" s="255">
        <f>MROUND((1+P122)^$B$123,$B$122)</f>
        <v>1.04</v>
      </c>
      <c r="Q123" s="255">
        <f>MROUND((1+Q122)^$B$123,$B$122)</f>
        <v>1.1400000000000001</v>
      </c>
    </row>
    <row r="124" spans="1:17" ht="15.75">
      <c r="A124" s="256" t="s">
        <v>287</v>
      </c>
      <c r="B124" s="257">
        <v>0</v>
      </c>
    </row>
    <row r="125" spans="1:17" ht="15.75">
      <c r="A125" s="258" t="s">
        <v>289</v>
      </c>
      <c r="B125" s="259">
        <v>0.3</v>
      </c>
    </row>
    <row r="126" spans="1:17" ht="15.75">
      <c r="A126" s="258" t="s">
        <v>291</v>
      </c>
      <c r="B126" s="259">
        <v>0.5</v>
      </c>
    </row>
    <row r="127" spans="1:17" ht="15.75">
      <c r="A127" s="258" t="s">
        <v>293</v>
      </c>
      <c r="B127" s="259">
        <v>0.7</v>
      </c>
    </row>
    <row r="128" spans="1:17" ht="15.75">
      <c r="A128" s="256" t="s">
        <v>295</v>
      </c>
      <c r="B128" s="257">
        <v>1</v>
      </c>
    </row>
    <row r="129" spans="1:17">
      <c r="A129" s="260" t="s">
        <v>359</v>
      </c>
    </row>
    <row r="130" spans="1:17">
      <c r="A130" s="261" t="s">
        <v>360</v>
      </c>
    </row>
    <row r="131" spans="1:17">
      <c r="A131" s="261" t="s">
        <v>361</v>
      </c>
      <c r="C131" s="76">
        <v>1.2000000000000002</v>
      </c>
      <c r="D131" s="76">
        <v>1.2000000000000002</v>
      </c>
      <c r="E131" s="250"/>
      <c r="H131" s="76">
        <v>1.2000000000000002</v>
      </c>
      <c r="I131" s="250"/>
      <c r="L131" s="76">
        <v>1</v>
      </c>
      <c r="N131" s="76">
        <v>1.2000000000000002</v>
      </c>
      <c r="P131" s="76">
        <v>1.2000000000000002</v>
      </c>
      <c r="Q131" s="76">
        <v>1.2000000000000002</v>
      </c>
    </row>
    <row r="132" spans="1:17">
      <c r="A132" s="261" t="s">
        <v>362</v>
      </c>
    </row>
    <row r="133" spans="1:17">
      <c r="A133" s="260" t="s">
        <v>363</v>
      </c>
    </row>
  </sheetData>
  <hyperlinks>
    <hyperlink ref="I5" r:id="rId1" xr:uid="{64C72B12-55B4-4E5E-93BD-11466489C0DF}"/>
    <hyperlink ref="C5" r:id="rId2" xr:uid="{079C1E12-658C-4824-BF64-1CFEA0B7DFA6}"/>
    <hyperlink ref="H5" r:id="rId3" xr:uid="{D3D757D7-209D-423E-9656-CDFF64F3B3D8}"/>
    <hyperlink ref="N5" r:id="rId4" xr:uid="{2E990981-F2B1-424E-932E-C54BFD68A14C}"/>
    <hyperlink ref="D5" r:id="rId5" xr:uid="{8A478A9F-DAC4-4499-9D66-BE858927E221}"/>
    <hyperlink ref="O5" r:id="rId6" xr:uid="{ACF66741-9E9B-40CA-853A-28E3A8C99372}"/>
    <hyperlink ref="Q5" r:id="rId7" xr:uid="{8DE27A20-8D9F-4F64-ADF8-F2341C0D44DE}"/>
    <hyperlink ref="L5" r:id="rId8" xr:uid="{285A3AB5-4DF2-4C16-9690-28BB79EFC6D0}"/>
    <hyperlink ref="E5" r:id="rId9" xr:uid="{89C5CF60-AD9A-4550-8C9D-4063344A6ECE}"/>
  </hyperlinks>
  <pageMargins left="0.7" right="0.7" top="0.75" bottom="0.75" header="0.3" footer="0.3"/>
  <pageSetup paperSize="9" orientation="portrait" verticalDpi="0" r:id="rId10"/>
  <legacyDrawing r:id="rId1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7259B-2BAD-456D-8D0A-5FBA8ACD1B76}">
  <sheetPr>
    <tabColor theme="8" tint="0.39997558519241921"/>
  </sheetPr>
  <dimension ref="A1:AA141"/>
  <sheetViews>
    <sheetView topLeftCell="A21" zoomScale="85" zoomScaleNormal="85" workbookViewId="0">
      <selection activeCell="E62" sqref="E62"/>
    </sheetView>
  </sheetViews>
  <sheetFormatPr defaultRowHeight="12.75" outlineLevelRow="1"/>
  <cols>
    <col min="1" max="1" width="50.125" style="260" bestFit="1" customWidth="1"/>
    <col min="2" max="5" width="39.75" style="260" customWidth="1"/>
    <col min="6" max="6" width="9" style="76"/>
    <col min="7" max="7" width="38.625" style="260" customWidth="1"/>
    <col min="8" max="8" width="34.125" style="260" customWidth="1"/>
    <col min="9" max="9" width="38.625" style="260" customWidth="1"/>
    <col min="10" max="10" width="30.5" style="260" customWidth="1"/>
    <col min="11" max="16" width="34.125" style="260" customWidth="1"/>
    <col min="17" max="18" width="32.875" style="260" customWidth="1"/>
    <col min="19" max="27" width="30.5" style="260" customWidth="1"/>
    <col min="28" max="216" width="9" style="260"/>
    <col min="217" max="217" width="41.25" style="260" customWidth="1"/>
    <col min="218" max="218" width="22.375" style="260" customWidth="1"/>
    <col min="219" max="222" width="17.875" style="260" customWidth="1"/>
    <col min="223" max="223" width="16.25" style="260" customWidth="1"/>
    <col min="224" max="225" width="17.875" style="260" customWidth="1"/>
    <col min="226" max="16384" width="9" style="260"/>
  </cols>
  <sheetData>
    <row r="1" spans="1:27">
      <c r="E1" s="260" t="s">
        <v>368</v>
      </c>
      <c r="H1" s="278"/>
    </row>
    <row r="2" spans="1:27">
      <c r="C2" s="279"/>
      <c r="E2" s="280" t="s">
        <v>369</v>
      </c>
      <c r="G2" s="260" t="s">
        <v>370</v>
      </c>
      <c r="H2" s="278"/>
      <c r="J2" s="279" t="s">
        <v>371</v>
      </c>
      <c r="P2" s="279"/>
      <c r="Q2" s="279"/>
      <c r="T2" s="279"/>
      <c r="W2" s="279"/>
    </row>
    <row r="3" spans="1:27" ht="13.5">
      <c r="B3" s="281"/>
      <c r="C3" s="279" t="s">
        <v>315</v>
      </c>
      <c r="D3" s="279" t="s">
        <v>323</v>
      </c>
      <c r="E3" s="86" t="s">
        <v>142</v>
      </c>
      <c r="G3" s="279" t="s">
        <v>314</v>
      </c>
      <c r="H3" s="278"/>
      <c r="I3" s="279" t="s">
        <v>320</v>
      </c>
      <c r="J3" s="260" t="s">
        <v>316</v>
      </c>
      <c r="K3" s="279" t="s">
        <v>318</v>
      </c>
      <c r="L3" s="279" t="s">
        <v>317</v>
      </c>
      <c r="M3" s="279" t="s">
        <v>321</v>
      </c>
      <c r="N3" s="279" t="s">
        <v>322</v>
      </c>
      <c r="P3" s="76" t="s">
        <v>372</v>
      </c>
      <c r="Q3" s="260" t="s">
        <v>124</v>
      </c>
      <c r="R3" s="260" t="s">
        <v>126</v>
      </c>
      <c r="S3" s="282"/>
      <c r="T3" s="260" t="s">
        <v>123</v>
      </c>
      <c r="U3" s="282"/>
      <c r="X3" s="282"/>
    </row>
    <row r="4" spans="1:27" ht="18" customHeight="1">
      <c r="A4" s="283"/>
      <c r="B4" s="281"/>
      <c r="C4" s="200" t="s">
        <v>152</v>
      </c>
      <c r="D4" s="86" t="s">
        <v>325</v>
      </c>
      <c r="E4" s="86" t="s">
        <v>157</v>
      </c>
      <c r="G4" s="200" t="s">
        <v>373</v>
      </c>
      <c r="H4" s="284" t="s">
        <v>374</v>
      </c>
      <c r="I4" s="200" t="s">
        <v>375</v>
      </c>
      <c r="J4" s="200" t="s">
        <v>324</v>
      </c>
      <c r="K4" s="200" t="s">
        <v>376</v>
      </c>
      <c r="L4" s="200" t="s">
        <v>377</v>
      </c>
      <c r="M4" s="200" t="s">
        <v>378</v>
      </c>
      <c r="N4" s="200" t="s">
        <v>379</v>
      </c>
      <c r="O4" s="86" t="s">
        <v>380</v>
      </c>
      <c r="P4" s="200" t="s">
        <v>381</v>
      </c>
      <c r="Q4" s="200"/>
      <c r="R4" s="200" t="s">
        <v>382</v>
      </c>
      <c r="S4" s="200" t="s">
        <v>383</v>
      </c>
      <c r="T4" s="200"/>
      <c r="U4" s="282"/>
      <c r="V4" s="200"/>
      <c r="W4" s="200"/>
      <c r="X4" s="282"/>
      <c r="Y4" s="200"/>
      <c r="Z4" s="280" t="s">
        <v>381</v>
      </c>
      <c r="AA4" s="86" t="s">
        <v>384</v>
      </c>
    </row>
    <row r="5" spans="1:27">
      <c r="A5" s="87" t="s">
        <v>158</v>
      </c>
      <c r="B5" s="87" t="s">
        <v>159</v>
      </c>
      <c r="C5" s="87" t="s">
        <v>123</v>
      </c>
      <c r="D5" s="87" t="s">
        <v>124</v>
      </c>
      <c r="E5" s="87" t="s">
        <v>126</v>
      </c>
      <c r="G5" s="87" t="s">
        <v>124</v>
      </c>
      <c r="H5" s="87" t="s">
        <v>126</v>
      </c>
      <c r="I5" s="87" t="s">
        <v>126</v>
      </c>
      <c r="J5" s="87" t="s">
        <v>127</v>
      </c>
      <c r="K5" s="87" t="s">
        <v>124</v>
      </c>
      <c r="L5" s="87" t="s">
        <v>127</v>
      </c>
      <c r="M5" s="87" t="s">
        <v>124</v>
      </c>
      <c r="N5" s="87" t="s">
        <v>124</v>
      </c>
      <c r="O5" s="87" t="s">
        <v>127</v>
      </c>
      <c r="P5" s="87" t="s">
        <v>124</v>
      </c>
      <c r="Q5" s="87" t="s">
        <v>124</v>
      </c>
      <c r="R5" s="87" t="s">
        <v>126</v>
      </c>
      <c r="S5" s="87" t="s">
        <v>124</v>
      </c>
      <c r="T5" s="87" t="s">
        <v>123</v>
      </c>
      <c r="U5" s="87" t="s">
        <v>124</v>
      </c>
      <c r="V5" s="87" t="s">
        <v>126</v>
      </c>
      <c r="W5" s="87" t="s">
        <v>123</v>
      </c>
      <c r="X5" s="87" t="s">
        <v>124</v>
      </c>
      <c r="Y5" s="87" t="s">
        <v>126</v>
      </c>
      <c r="Z5" s="87" t="s">
        <v>124</v>
      </c>
      <c r="AA5" s="87" t="s">
        <v>126</v>
      </c>
    </row>
    <row r="6" spans="1:27">
      <c r="A6" s="88" t="s">
        <v>160</v>
      </c>
      <c r="B6" s="89" t="e">
        <f>дата_оц</f>
        <v>#NAME?</v>
      </c>
      <c r="C6" s="89" t="e">
        <f t="shared" ref="C6:Q6" si="0">дата_оц</f>
        <v>#NAME?</v>
      </c>
      <c r="D6" s="89" t="e">
        <f t="shared" si="0"/>
        <v>#NAME?</v>
      </c>
      <c r="E6" s="89" t="e">
        <f>дата_оц</f>
        <v>#NAME?</v>
      </c>
      <c r="G6" s="89" t="e">
        <f t="shared" si="0"/>
        <v>#NAME?</v>
      </c>
      <c r="H6" s="89" t="e">
        <f>дата_оц</f>
        <v>#NAME?</v>
      </c>
      <c r="I6" s="89" t="e">
        <f t="shared" si="0"/>
        <v>#NAME?</v>
      </c>
      <c r="J6" s="89" t="e">
        <f t="shared" si="0"/>
        <v>#NAME?</v>
      </c>
      <c r="K6" s="89" t="e">
        <f t="shared" si="0"/>
        <v>#NAME?</v>
      </c>
      <c r="L6" s="89" t="e">
        <f t="shared" si="0"/>
        <v>#NAME?</v>
      </c>
      <c r="M6" s="89" t="e">
        <f t="shared" si="0"/>
        <v>#NAME?</v>
      </c>
      <c r="N6" s="89" t="e">
        <f t="shared" si="0"/>
        <v>#NAME?</v>
      </c>
      <c r="O6" s="89" t="e">
        <f>дата_оц</f>
        <v>#NAME?</v>
      </c>
      <c r="P6" s="89" t="e">
        <f t="shared" si="0"/>
        <v>#NAME?</v>
      </c>
      <c r="Q6" s="89" t="e">
        <f t="shared" si="0"/>
        <v>#NAME?</v>
      </c>
      <c r="R6" s="89" t="e">
        <f>дата_оц</f>
        <v>#NAME?</v>
      </c>
      <c r="S6" s="89" t="e">
        <f>дата_оц</f>
        <v>#NAME?</v>
      </c>
      <c r="T6" s="89" t="e">
        <f t="shared" ref="T6" si="1">дата_оц</f>
        <v>#NAME?</v>
      </c>
      <c r="U6" s="89" t="e">
        <f>дата_оц</f>
        <v>#NAME?</v>
      </c>
      <c r="V6" s="89" t="e">
        <f>дата_оц</f>
        <v>#NAME?</v>
      </c>
      <c r="W6" s="89" t="e">
        <f t="shared" ref="W6" si="2">дата_оц</f>
        <v>#NAME?</v>
      </c>
      <c r="X6" s="89" t="e">
        <f>дата_оц</f>
        <v>#NAME?</v>
      </c>
      <c r="Y6" s="89" t="e">
        <f>дата_оц</f>
        <v>#NAME?</v>
      </c>
      <c r="Z6" s="89" t="e">
        <f>дата_оц</f>
        <v>#NAME?</v>
      </c>
      <c r="AA6" s="89" t="e">
        <f>дата_оц</f>
        <v>#NAME?</v>
      </c>
    </row>
    <row r="7" spans="1:27">
      <c r="A7" s="88" t="s">
        <v>161</v>
      </c>
      <c r="B7" s="90"/>
      <c r="C7" s="91" t="s">
        <v>163</v>
      </c>
      <c r="D7" s="98" t="s">
        <v>329</v>
      </c>
      <c r="E7" s="93" t="s">
        <v>385</v>
      </c>
      <c r="G7" s="92" t="s">
        <v>386</v>
      </c>
      <c r="H7" s="91" t="s">
        <v>387</v>
      </c>
      <c r="I7" s="92" t="s">
        <v>388</v>
      </c>
      <c r="J7" s="97" t="s">
        <v>328</v>
      </c>
      <c r="K7" s="92" t="s">
        <v>389</v>
      </c>
      <c r="L7" s="92" t="s">
        <v>390</v>
      </c>
      <c r="M7" s="92" t="s">
        <v>391</v>
      </c>
      <c r="N7" s="92" t="s">
        <v>392</v>
      </c>
      <c r="O7" s="91" t="s">
        <v>393</v>
      </c>
      <c r="P7" s="91" t="s">
        <v>394</v>
      </c>
      <c r="Q7" s="118" t="s">
        <v>395</v>
      </c>
      <c r="R7" s="98" t="s">
        <v>396</v>
      </c>
      <c r="S7" s="118" t="s">
        <v>397</v>
      </c>
      <c r="T7" s="201" t="s">
        <v>398</v>
      </c>
      <c r="U7" s="118" t="s">
        <v>163</v>
      </c>
      <c r="V7" s="98" t="s">
        <v>399</v>
      </c>
      <c r="W7" s="98" t="s">
        <v>400</v>
      </c>
      <c r="X7" s="92" t="s">
        <v>386</v>
      </c>
      <c r="Y7" s="92" t="s">
        <v>401</v>
      </c>
      <c r="Z7" s="98" t="s">
        <v>394</v>
      </c>
      <c r="AA7" s="98" t="s">
        <v>402</v>
      </c>
    </row>
    <row r="8" spans="1:27">
      <c r="A8" s="88" t="s">
        <v>169</v>
      </c>
      <c r="B8" s="94" t="s">
        <v>170</v>
      </c>
      <c r="C8" s="94" t="s">
        <v>170</v>
      </c>
      <c r="D8" s="94" t="s">
        <v>170</v>
      </c>
      <c r="E8" s="94" t="s">
        <v>170</v>
      </c>
      <c r="G8" s="94" t="s">
        <v>170</v>
      </c>
      <c r="H8" s="94" t="s">
        <v>170</v>
      </c>
      <c r="I8" s="94" t="s">
        <v>170</v>
      </c>
      <c r="J8" s="94" t="s">
        <v>170</v>
      </c>
      <c r="K8" s="94" t="s">
        <v>170</v>
      </c>
      <c r="L8" s="94" t="s">
        <v>170</v>
      </c>
      <c r="M8" s="94" t="s">
        <v>170</v>
      </c>
      <c r="N8" s="94" t="s">
        <v>170</v>
      </c>
      <c r="O8" s="94" t="s">
        <v>170</v>
      </c>
      <c r="P8" s="93" t="s">
        <v>170</v>
      </c>
      <c r="Q8" s="94" t="s">
        <v>170</v>
      </c>
      <c r="R8" s="94" t="s">
        <v>170</v>
      </c>
      <c r="S8" s="94" t="s">
        <v>170</v>
      </c>
      <c r="T8" s="94" t="s">
        <v>170</v>
      </c>
      <c r="U8" s="94" t="s">
        <v>170</v>
      </c>
      <c r="V8" s="94" t="s">
        <v>170</v>
      </c>
      <c r="W8" s="94" t="s">
        <v>170</v>
      </c>
      <c r="X8" s="94" t="s">
        <v>170</v>
      </c>
      <c r="Y8" s="94" t="s">
        <v>170</v>
      </c>
      <c r="Z8" s="94" t="s">
        <v>170</v>
      </c>
      <c r="AA8" s="94" t="s">
        <v>170</v>
      </c>
    </row>
    <row r="9" spans="1:27" ht="38.25">
      <c r="A9" s="88" t="s">
        <v>172</v>
      </c>
      <c r="B9" s="93" t="s">
        <v>494</v>
      </c>
      <c r="C9" s="98" t="s">
        <v>174</v>
      </c>
      <c r="D9" s="97" t="s">
        <v>333</v>
      </c>
      <c r="E9" s="99" t="s">
        <v>179</v>
      </c>
      <c r="G9" s="96" t="s">
        <v>403</v>
      </c>
      <c r="H9" s="97" t="s">
        <v>404</v>
      </c>
      <c r="I9" s="96" t="s">
        <v>405</v>
      </c>
      <c r="J9" s="202" t="s">
        <v>307</v>
      </c>
      <c r="K9" s="96" t="s">
        <v>406</v>
      </c>
      <c r="L9" s="96" t="s">
        <v>407</v>
      </c>
      <c r="M9" s="96" t="s">
        <v>408</v>
      </c>
      <c r="N9" s="96" t="s">
        <v>409</v>
      </c>
      <c r="O9" s="98" t="s">
        <v>410</v>
      </c>
      <c r="P9" s="98" t="s">
        <v>411</v>
      </c>
      <c r="Q9" s="101" t="s">
        <v>412</v>
      </c>
      <c r="R9" s="96" t="s">
        <v>413</v>
      </c>
      <c r="S9" s="101" t="s">
        <v>414</v>
      </c>
      <c r="T9" s="97" t="s">
        <v>415</v>
      </c>
      <c r="U9" s="101" t="s">
        <v>416</v>
      </c>
      <c r="V9" s="285" t="s">
        <v>417</v>
      </c>
      <c r="W9" s="98" t="s">
        <v>418</v>
      </c>
      <c r="X9" s="96" t="s">
        <v>403</v>
      </c>
      <c r="Y9" s="96" t="s">
        <v>417</v>
      </c>
      <c r="Z9" s="98" t="s">
        <v>411</v>
      </c>
      <c r="AA9" s="93" t="s">
        <v>419</v>
      </c>
    </row>
    <row r="10" spans="1:27" ht="25.5">
      <c r="A10" s="88" t="s">
        <v>180</v>
      </c>
      <c r="B10" s="101" t="s">
        <v>428</v>
      </c>
      <c r="C10" s="93" t="s">
        <v>181</v>
      </c>
      <c r="D10" s="93" t="s">
        <v>336</v>
      </c>
      <c r="E10" s="99" t="s">
        <v>185</v>
      </c>
      <c r="G10" s="286" t="s">
        <v>420</v>
      </c>
      <c r="H10" s="93" t="s">
        <v>421</v>
      </c>
      <c r="I10" s="286" t="s">
        <v>422</v>
      </c>
      <c r="J10" s="203" t="s">
        <v>181</v>
      </c>
      <c r="K10" s="286" t="s">
        <v>423</v>
      </c>
      <c r="L10" s="286" t="s">
        <v>424</v>
      </c>
      <c r="M10" s="286" t="s">
        <v>425</v>
      </c>
      <c r="N10" s="286" t="s">
        <v>426</v>
      </c>
      <c r="O10" s="286" t="s">
        <v>181</v>
      </c>
      <c r="P10" s="286" t="s">
        <v>427</v>
      </c>
      <c r="Q10" s="101" t="s">
        <v>181</v>
      </c>
      <c r="R10" s="286" t="s">
        <v>181</v>
      </c>
      <c r="S10" s="101" t="s">
        <v>181</v>
      </c>
      <c r="T10" s="93" t="s">
        <v>428</v>
      </c>
      <c r="U10" s="101" t="s">
        <v>181</v>
      </c>
      <c r="V10" s="286" t="s">
        <v>181</v>
      </c>
      <c r="W10" s="286" t="s">
        <v>336</v>
      </c>
      <c r="X10" s="286" t="s">
        <v>181</v>
      </c>
      <c r="Y10" s="286" t="s">
        <v>181</v>
      </c>
      <c r="Z10" s="286" t="s">
        <v>427</v>
      </c>
      <c r="AA10" s="286" t="s">
        <v>429</v>
      </c>
    </row>
    <row r="11" spans="1:27" hidden="1">
      <c r="A11" s="88" t="s">
        <v>338</v>
      </c>
      <c r="B11" s="206"/>
      <c r="C11" s="287" t="s">
        <v>181</v>
      </c>
      <c r="D11" s="287"/>
      <c r="E11" s="287"/>
      <c r="G11" s="287"/>
      <c r="H11" s="287"/>
      <c r="I11" s="287"/>
      <c r="J11" s="287" t="s">
        <v>181</v>
      </c>
      <c r="K11" s="287"/>
      <c r="L11" s="287"/>
      <c r="M11" s="288"/>
      <c r="N11" s="287"/>
      <c r="O11" s="287"/>
      <c r="P11" s="287" t="s">
        <v>181</v>
      </c>
      <c r="Q11" s="287" t="s">
        <v>181</v>
      </c>
      <c r="R11" s="288"/>
      <c r="S11" s="288" t="s">
        <v>181</v>
      </c>
      <c r="T11" s="289" t="s">
        <v>181</v>
      </c>
      <c r="U11" s="288" t="s">
        <v>181</v>
      </c>
      <c r="V11" s="101"/>
      <c r="W11" s="289" t="s">
        <v>181</v>
      </c>
      <c r="X11" s="101" t="s">
        <v>181</v>
      </c>
      <c r="Y11" s="101"/>
      <c r="Z11" s="101" t="s">
        <v>181</v>
      </c>
      <c r="AA11" s="101" t="s">
        <v>181</v>
      </c>
    </row>
    <row r="12" spans="1:27" ht="25.5">
      <c r="A12" s="88" t="s">
        <v>430</v>
      </c>
      <c r="B12" s="94" t="s">
        <v>495</v>
      </c>
      <c r="C12" s="93" t="s">
        <v>187</v>
      </c>
      <c r="D12" s="94" t="s">
        <v>187</v>
      </c>
      <c r="E12" s="102" t="s">
        <v>187</v>
      </c>
      <c r="G12" s="94" t="s">
        <v>187</v>
      </c>
      <c r="H12" s="94" t="s">
        <v>431</v>
      </c>
      <c r="I12" s="94" t="s">
        <v>432</v>
      </c>
      <c r="J12" s="94" t="s">
        <v>187</v>
      </c>
      <c r="K12" s="94" t="s">
        <v>339</v>
      </c>
      <c r="L12" s="94" t="s">
        <v>433</v>
      </c>
      <c r="M12" s="94" t="s">
        <v>434</v>
      </c>
      <c r="N12" s="94" t="s">
        <v>435</v>
      </c>
      <c r="O12" s="94" t="s">
        <v>340</v>
      </c>
      <c r="P12" s="91" t="s">
        <v>340</v>
      </c>
      <c r="Q12" s="94" t="s">
        <v>436</v>
      </c>
      <c r="R12" s="94" t="s">
        <v>437</v>
      </c>
      <c r="S12" s="94" t="s">
        <v>438</v>
      </c>
      <c r="T12" s="94" t="s">
        <v>439</v>
      </c>
      <c r="U12" s="94" t="s">
        <v>187</v>
      </c>
      <c r="V12" s="94" t="s">
        <v>187</v>
      </c>
      <c r="W12" s="94" t="s">
        <v>187</v>
      </c>
      <c r="X12" s="94" t="s">
        <v>187</v>
      </c>
      <c r="Y12" s="94" t="s">
        <v>440</v>
      </c>
      <c r="Z12" s="91" t="s">
        <v>340</v>
      </c>
      <c r="AA12" s="94" t="s">
        <v>441</v>
      </c>
    </row>
    <row r="13" spans="1:27" ht="15">
      <c r="A13" s="88" t="s">
        <v>341</v>
      </c>
      <c r="B13" s="103">
        <f t="shared" ref="B13:C13" si="3">SUM(B14:B22)</f>
        <v>17088.634999999998</v>
      </c>
      <c r="C13" s="103">
        <f t="shared" si="3"/>
        <v>6996</v>
      </c>
      <c r="D13" s="103">
        <f>SUM(D14:D22)</f>
        <v>1407</v>
      </c>
      <c r="E13" s="103">
        <f>SUM(E14:E22)</f>
        <v>1800</v>
      </c>
      <c r="G13" s="103">
        <f t="shared" ref="G13:AA13" si="4">SUM(G14:G22)</f>
        <v>1000</v>
      </c>
      <c r="H13" s="103">
        <f t="shared" si="4"/>
        <v>5015.6000000000004</v>
      </c>
      <c r="I13" s="103">
        <f t="shared" si="4"/>
        <v>717</v>
      </c>
      <c r="J13" s="103">
        <f t="shared" si="4"/>
        <v>2476</v>
      </c>
      <c r="K13" s="103">
        <f t="shared" si="4"/>
        <v>3000</v>
      </c>
      <c r="L13" s="103">
        <f t="shared" si="4"/>
        <v>1400</v>
      </c>
      <c r="M13" s="103">
        <f t="shared" si="4"/>
        <v>330</v>
      </c>
      <c r="N13" s="103">
        <f t="shared" si="4"/>
        <v>450</v>
      </c>
      <c r="O13" s="103">
        <f t="shared" si="4"/>
        <v>1370</v>
      </c>
      <c r="P13" s="103">
        <f t="shared" si="4"/>
        <v>2060</v>
      </c>
      <c r="Q13" s="103">
        <f t="shared" si="4"/>
        <v>1400</v>
      </c>
      <c r="R13" s="103">
        <f t="shared" si="4"/>
        <v>1500</v>
      </c>
      <c r="S13" s="103">
        <f t="shared" si="4"/>
        <v>1380</v>
      </c>
      <c r="T13" s="103">
        <f t="shared" si="4"/>
        <v>500</v>
      </c>
      <c r="U13" s="103">
        <f t="shared" si="4"/>
        <v>56350.2</v>
      </c>
      <c r="V13" s="103">
        <f t="shared" si="4"/>
        <v>537</v>
      </c>
      <c r="W13" s="103">
        <f t="shared" si="4"/>
        <v>4300</v>
      </c>
      <c r="X13" s="103">
        <f t="shared" si="4"/>
        <v>800</v>
      </c>
      <c r="Y13" s="103">
        <f t="shared" si="4"/>
        <v>985.87999999999988</v>
      </c>
      <c r="Z13" s="103">
        <f t="shared" si="4"/>
        <v>2060</v>
      </c>
      <c r="AA13" s="103">
        <f t="shared" si="4"/>
        <v>731.91650000000004</v>
      </c>
    </row>
    <row r="14" spans="1:27">
      <c r="A14" s="347" t="str">
        <f>Выжимка!B32</f>
        <v>произв класс 4</v>
      </c>
      <c r="B14" s="106">
        <f>Выжимка!E3</f>
        <v>216.57999999999998</v>
      </c>
      <c r="C14" s="106">
        <f>Выжимка!H3</f>
        <v>1112.2</v>
      </c>
      <c r="D14" s="106">
        <f>Выжимка!M3</f>
        <v>122</v>
      </c>
      <c r="E14" s="106">
        <f>Выжимка!N3</f>
        <v>0</v>
      </c>
      <c r="G14" s="106">
        <v>300</v>
      </c>
      <c r="H14" s="106">
        <v>0</v>
      </c>
      <c r="I14" s="106">
        <v>717</v>
      </c>
      <c r="J14" s="106">
        <f>13+15.6+32.7+13.5</f>
        <v>74.800000000000011</v>
      </c>
      <c r="K14" s="106">
        <v>2000</v>
      </c>
      <c r="L14" s="106">
        <v>1400</v>
      </c>
      <c r="M14" s="106">
        <v>330</v>
      </c>
      <c r="N14" s="106">
        <v>450</v>
      </c>
      <c r="O14" s="106">
        <v>0</v>
      </c>
      <c r="P14" s="106">
        <v>1000</v>
      </c>
      <c r="Q14" s="106">
        <v>1400</v>
      </c>
      <c r="R14" s="106">
        <v>1500</v>
      </c>
      <c r="S14" s="106">
        <v>1380</v>
      </c>
      <c r="T14" s="106">
        <v>58.5</v>
      </c>
      <c r="U14" s="106">
        <v>55238</v>
      </c>
      <c r="V14" s="106">
        <v>537</v>
      </c>
      <c r="W14" s="106">
        <v>300</v>
      </c>
      <c r="X14" s="106">
        <v>100</v>
      </c>
      <c r="Y14" s="106">
        <v>944.4</v>
      </c>
      <c r="Z14" s="106">
        <v>1000</v>
      </c>
      <c r="AA14" s="106">
        <v>12.4</v>
      </c>
    </row>
    <row r="15" spans="1:27">
      <c r="A15" s="347" t="str">
        <f>Выжимка!B33</f>
        <v>произв класс 3</v>
      </c>
      <c r="B15" s="106">
        <f>Выжимка!E4</f>
        <v>11689.699999999999</v>
      </c>
      <c r="C15" s="106">
        <f>Выжимка!H4</f>
        <v>5523.8</v>
      </c>
      <c r="D15" s="106">
        <f>Выжимка!M4</f>
        <v>700</v>
      </c>
      <c r="E15" s="106">
        <f>Выжимка!N4</f>
        <v>1776.9</v>
      </c>
      <c r="G15" s="106">
        <v>700</v>
      </c>
      <c r="H15" s="106">
        <v>5015.6000000000004</v>
      </c>
      <c r="I15" s="106">
        <v>0</v>
      </c>
      <c r="J15" s="106">
        <f>1636-J14</f>
        <v>1561.2</v>
      </c>
      <c r="K15" s="106">
        <v>1000</v>
      </c>
      <c r="L15" s="106">
        <v>0</v>
      </c>
      <c r="M15" s="106">
        <v>0</v>
      </c>
      <c r="N15" s="106">
        <v>0</v>
      </c>
      <c r="O15" s="106">
        <v>1370</v>
      </c>
      <c r="P15" s="106">
        <v>1060</v>
      </c>
      <c r="Q15" s="106">
        <v>0</v>
      </c>
      <c r="R15" s="106">
        <v>0</v>
      </c>
      <c r="S15" s="106">
        <v>0</v>
      </c>
      <c r="T15" s="106">
        <v>348</v>
      </c>
      <c r="U15" s="106">
        <v>1112.2</v>
      </c>
      <c r="V15" s="106">
        <v>0</v>
      </c>
      <c r="W15" s="106">
        <v>4000</v>
      </c>
      <c r="X15" s="106">
        <v>700</v>
      </c>
      <c r="Y15" s="106">
        <v>31.680000000000003</v>
      </c>
      <c r="Z15" s="106">
        <v>1060</v>
      </c>
      <c r="AA15" s="106">
        <v>436.6</v>
      </c>
    </row>
    <row r="16" spans="1:27">
      <c r="A16" s="347" t="str">
        <f>Выжимка!B34</f>
        <v>произв класс 2</v>
      </c>
      <c r="B16" s="106">
        <f>Выжимка!E5</f>
        <v>0</v>
      </c>
      <c r="C16" s="106">
        <f>Выжимка!H5</f>
        <v>0</v>
      </c>
      <c r="D16" s="106">
        <f>Выжимка!M5</f>
        <v>0</v>
      </c>
      <c r="E16" s="106">
        <f>Выжимка!N5</f>
        <v>0</v>
      </c>
      <c r="G16" s="106">
        <v>0</v>
      </c>
      <c r="H16" s="106">
        <v>0</v>
      </c>
      <c r="I16" s="106">
        <v>0</v>
      </c>
      <c r="J16" s="106">
        <v>840</v>
      </c>
      <c r="K16" s="106">
        <v>0</v>
      </c>
      <c r="L16" s="106">
        <v>0</v>
      </c>
      <c r="M16" s="106">
        <v>0</v>
      </c>
      <c r="N16" s="106">
        <v>0</v>
      </c>
      <c r="O16" s="106">
        <v>0</v>
      </c>
      <c r="P16" s="106">
        <v>0</v>
      </c>
      <c r="Q16" s="106">
        <v>0</v>
      </c>
      <c r="R16" s="106">
        <v>0</v>
      </c>
      <c r="S16" s="106">
        <v>0</v>
      </c>
      <c r="T16" s="106">
        <v>93.5</v>
      </c>
      <c r="U16" s="106">
        <v>0</v>
      </c>
      <c r="V16" s="106">
        <v>0</v>
      </c>
      <c r="W16" s="106">
        <v>0</v>
      </c>
      <c r="X16" s="106">
        <v>0</v>
      </c>
      <c r="Y16" s="106">
        <v>9.8000000000000007</v>
      </c>
      <c r="Z16" s="106">
        <v>0</v>
      </c>
      <c r="AA16" s="106">
        <v>282.91649999999998</v>
      </c>
    </row>
    <row r="17" spans="1:27">
      <c r="A17" s="347" t="str">
        <f>Выжимка!B35</f>
        <v>произв класс 1</v>
      </c>
      <c r="B17" s="106">
        <f>Выжимка!E6</f>
        <v>0</v>
      </c>
      <c r="C17" s="106">
        <f>Выжимка!H6</f>
        <v>0</v>
      </c>
      <c r="D17" s="106">
        <f>Выжимка!M6</f>
        <v>0</v>
      </c>
      <c r="E17" s="106">
        <f>Выжимка!N6</f>
        <v>0</v>
      </c>
      <c r="G17" s="106"/>
      <c r="H17" s="106"/>
      <c r="I17" s="106"/>
      <c r="J17" s="106"/>
      <c r="K17" s="106"/>
      <c r="L17" s="106"/>
      <c r="M17" s="106"/>
      <c r="N17" s="106"/>
      <c r="O17" s="106"/>
      <c r="P17" s="106"/>
      <c r="Q17" s="106"/>
      <c r="R17" s="106"/>
      <c r="S17" s="106"/>
      <c r="T17" s="106"/>
      <c r="U17" s="106"/>
      <c r="V17" s="106"/>
      <c r="W17" s="106"/>
      <c r="X17" s="106"/>
      <c r="Y17" s="106"/>
      <c r="Z17" s="106"/>
      <c r="AA17" s="106"/>
    </row>
    <row r="18" spans="1:27">
      <c r="A18" s="347" t="str">
        <f>Выжимка!B36</f>
        <v>гражд класс 4</v>
      </c>
      <c r="B18" s="106">
        <f>Выжимка!E7</f>
        <v>59.79</v>
      </c>
      <c r="C18" s="106">
        <f>Выжимка!H7</f>
        <v>0</v>
      </c>
      <c r="D18" s="106">
        <f>Выжимка!M7</f>
        <v>500</v>
      </c>
      <c r="E18" s="106">
        <f>Выжимка!N7</f>
        <v>23.1</v>
      </c>
      <c r="G18" s="106"/>
      <c r="H18" s="106"/>
      <c r="I18" s="106"/>
      <c r="J18" s="106"/>
      <c r="K18" s="106"/>
      <c r="L18" s="106"/>
      <c r="M18" s="106"/>
      <c r="N18" s="106"/>
      <c r="O18" s="106"/>
      <c r="P18" s="106"/>
      <c r="Q18" s="106"/>
      <c r="R18" s="106"/>
      <c r="S18" s="106"/>
      <c r="T18" s="106"/>
      <c r="U18" s="106"/>
      <c r="V18" s="106"/>
      <c r="W18" s="106"/>
      <c r="X18" s="106"/>
      <c r="Y18" s="106"/>
      <c r="Z18" s="106"/>
      <c r="AA18" s="106"/>
    </row>
    <row r="19" spans="1:27">
      <c r="A19" s="347" t="str">
        <f>Выжимка!B37</f>
        <v>гражд класс 3</v>
      </c>
      <c r="B19" s="106">
        <f>Выжимка!E8</f>
        <v>4524.2999999999993</v>
      </c>
      <c r="C19" s="106">
        <f>Выжимка!H8</f>
        <v>360</v>
      </c>
      <c r="D19" s="106">
        <f>Выжимка!M8</f>
        <v>0</v>
      </c>
      <c r="E19" s="106">
        <f>Выжимка!N8</f>
        <v>0</v>
      </c>
      <c r="G19" s="106"/>
      <c r="H19" s="106"/>
      <c r="I19" s="106"/>
      <c r="J19" s="106"/>
      <c r="K19" s="106"/>
      <c r="L19" s="106"/>
      <c r="M19" s="106"/>
      <c r="N19" s="106"/>
      <c r="O19" s="106"/>
      <c r="P19" s="106"/>
      <c r="Q19" s="106"/>
      <c r="R19" s="106"/>
      <c r="S19" s="106"/>
      <c r="T19" s="106"/>
      <c r="U19" s="106"/>
      <c r="V19" s="106"/>
      <c r="W19" s="106"/>
      <c r="X19" s="106"/>
      <c r="Y19" s="106"/>
      <c r="Z19" s="106"/>
      <c r="AA19" s="106"/>
    </row>
    <row r="20" spans="1:27">
      <c r="A20" s="347" t="str">
        <f>Выжимка!B38</f>
        <v>гражд класс 2</v>
      </c>
      <c r="B20" s="106">
        <f>Выжимка!E9</f>
        <v>0</v>
      </c>
      <c r="C20" s="106">
        <f>Выжимка!H9</f>
        <v>0</v>
      </c>
      <c r="D20" s="106">
        <f>Выжимка!M9</f>
        <v>0</v>
      </c>
      <c r="E20" s="106">
        <f>Выжимка!N9</f>
        <v>0</v>
      </c>
      <c r="G20" s="106"/>
      <c r="H20" s="106"/>
      <c r="I20" s="106"/>
      <c r="J20" s="106"/>
      <c r="K20" s="106"/>
      <c r="L20" s="106"/>
      <c r="M20" s="106"/>
      <c r="N20" s="106"/>
      <c r="O20" s="106"/>
      <c r="P20" s="106"/>
      <c r="Q20" s="106"/>
      <c r="R20" s="106"/>
      <c r="S20" s="106"/>
      <c r="T20" s="106"/>
      <c r="U20" s="106"/>
      <c r="V20" s="106"/>
      <c r="W20" s="106"/>
      <c r="X20" s="106"/>
      <c r="Y20" s="106"/>
      <c r="Z20" s="106"/>
      <c r="AA20" s="106"/>
    </row>
    <row r="21" spans="1:27">
      <c r="A21" s="347" t="str">
        <f>Выжимка!B39</f>
        <v>гражд класс 1</v>
      </c>
      <c r="B21" s="106">
        <f>Выжимка!E10</f>
        <v>0</v>
      </c>
      <c r="C21" s="106">
        <f>Выжимка!H10</f>
        <v>0</v>
      </c>
      <c r="D21" s="106">
        <f>Выжимка!M10</f>
        <v>0</v>
      </c>
      <c r="E21" s="106">
        <f>Выжимка!N10</f>
        <v>0</v>
      </c>
      <c r="G21" s="106"/>
      <c r="H21" s="106"/>
      <c r="I21" s="106"/>
      <c r="J21" s="106"/>
      <c r="K21" s="106"/>
      <c r="L21" s="106"/>
      <c r="M21" s="106"/>
      <c r="N21" s="106"/>
      <c r="O21" s="106"/>
      <c r="P21" s="106"/>
      <c r="Q21" s="106"/>
      <c r="R21" s="106"/>
      <c r="S21" s="106"/>
      <c r="T21" s="106"/>
      <c r="U21" s="106"/>
      <c r="V21" s="106"/>
      <c r="W21" s="106"/>
      <c r="X21" s="106"/>
      <c r="Y21" s="106"/>
      <c r="Z21" s="106"/>
      <c r="AA21" s="106"/>
    </row>
    <row r="22" spans="1:27" s="294" customFormat="1">
      <c r="A22" s="347" t="str">
        <f>Выжимка!B40</f>
        <v>прочие</v>
      </c>
      <c r="B22" s="106">
        <f>Выжимка!E11</f>
        <v>598.26499999999999</v>
      </c>
      <c r="C22" s="106">
        <f>Выжимка!H11</f>
        <v>0</v>
      </c>
      <c r="D22" s="106">
        <f>Выжимка!M11</f>
        <v>85</v>
      </c>
      <c r="E22" s="106">
        <f>Выжимка!N11</f>
        <v>0</v>
      </c>
      <c r="G22" s="103">
        <v>0</v>
      </c>
      <c r="H22" s="103">
        <v>0</v>
      </c>
      <c r="I22" s="103">
        <v>0</v>
      </c>
      <c r="J22" s="103">
        <v>0</v>
      </c>
      <c r="K22" s="103">
        <v>0</v>
      </c>
      <c r="L22" s="103">
        <v>0</v>
      </c>
      <c r="M22" s="103">
        <v>0</v>
      </c>
      <c r="N22" s="103">
        <v>0</v>
      </c>
      <c r="O22" s="103">
        <v>0</v>
      </c>
      <c r="P22" s="103">
        <v>0</v>
      </c>
      <c r="Q22" s="103">
        <v>0</v>
      </c>
      <c r="R22" s="103">
        <v>0</v>
      </c>
      <c r="S22" s="103">
        <v>0</v>
      </c>
      <c r="T22" s="103">
        <v>0</v>
      </c>
      <c r="U22" s="103">
        <v>0</v>
      </c>
      <c r="V22" s="103">
        <v>0</v>
      </c>
      <c r="W22" s="103">
        <v>0</v>
      </c>
      <c r="X22" s="103">
        <v>0</v>
      </c>
      <c r="Y22" s="103">
        <v>0</v>
      </c>
      <c r="Z22" s="103">
        <v>0</v>
      </c>
      <c r="AA22" s="103">
        <v>0</v>
      </c>
    </row>
    <row r="23" spans="1:27" ht="25.5">
      <c r="A23" s="88" t="s">
        <v>202</v>
      </c>
      <c r="B23" s="94" t="s">
        <v>445</v>
      </c>
      <c r="C23" s="94" t="s">
        <v>205</v>
      </c>
      <c r="D23" s="94" t="s">
        <v>345</v>
      </c>
      <c r="E23" s="115" t="s">
        <v>210</v>
      </c>
      <c r="G23" s="94" t="s">
        <v>446</v>
      </c>
      <c r="H23" s="94" t="s">
        <v>447</v>
      </c>
      <c r="I23" s="94" t="s">
        <v>448</v>
      </c>
      <c r="J23" s="94" t="s">
        <v>345</v>
      </c>
      <c r="K23" s="94" t="s">
        <v>446</v>
      </c>
      <c r="L23" s="94" t="s">
        <v>206</v>
      </c>
      <c r="M23" s="94" t="s">
        <v>448</v>
      </c>
      <c r="N23" s="94" t="s">
        <v>448</v>
      </c>
      <c r="O23" s="94" t="s">
        <v>449</v>
      </c>
      <c r="P23" s="94" t="s">
        <v>450</v>
      </c>
      <c r="Q23" s="94" t="s">
        <v>206</v>
      </c>
      <c r="R23" s="94" t="s">
        <v>448</v>
      </c>
      <c r="S23" s="94" t="s">
        <v>451</v>
      </c>
      <c r="T23" s="94" t="s">
        <v>452</v>
      </c>
      <c r="U23" s="94" t="s">
        <v>453</v>
      </c>
      <c r="V23" s="94" t="s">
        <v>448</v>
      </c>
      <c r="W23" s="94" t="s">
        <v>446</v>
      </c>
      <c r="X23" s="94" t="s">
        <v>446</v>
      </c>
      <c r="Y23" s="94" t="s">
        <v>454</v>
      </c>
      <c r="Z23" s="94" t="s">
        <v>448</v>
      </c>
      <c r="AA23" s="94" t="s">
        <v>455</v>
      </c>
    </row>
    <row r="24" spans="1:27">
      <c r="A24" s="88" t="s">
        <v>211</v>
      </c>
      <c r="B24" s="205" t="s">
        <v>645</v>
      </c>
      <c r="C24" s="205" t="s">
        <v>212</v>
      </c>
      <c r="D24" s="205" t="s">
        <v>212</v>
      </c>
      <c r="E24" s="205" t="s">
        <v>214</v>
      </c>
      <c r="G24" s="94" t="s">
        <v>214</v>
      </c>
      <c r="H24" s="94" t="s">
        <v>214</v>
      </c>
      <c r="I24" s="94" t="s">
        <v>213</v>
      </c>
      <c r="J24" s="94" t="s">
        <v>214</v>
      </c>
      <c r="K24" s="94" t="s">
        <v>214</v>
      </c>
      <c r="L24" s="94" t="s">
        <v>456</v>
      </c>
      <c r="M24" s="94" t="s">
        <v>214</v>
      </c>
      <c r="N24" s="94" t="s">
        <v>456</v>
      </c>
      <c r="O24" s="94" t="s">
        <v>212</v>
      </c>
      <c r="P24" s="94" t="s">
        <v>214</v>
      </c>
      <c r="Q24" s="94" t="s">
        <v>214</v>
      </c>
      <c r="R24" s="94" t="s">
        <v>214</v>
      </c>
      <c r="S24" s="94" t="s">
        <v>214</v>
      </c>
      <c r="T24" s="94" t="s">
        <v>214</v>
      </c>
      <c r="U24" s="94" t="s">
        <v>214</v>
      </c>
      <c r="V24" s="94" t="s">
        <v>214</v>
      </c>
      <c r="W24" s="94" t="s">
        <v>214</v>
      </c>
      <c r="X24" s="94" t="s">
        <v>214</v>
      </c>
      <c r="Y24" s="94" t="s">
        <v>214</v>
      </c>
      <c r="Z24" s="94" t="s">
        <v>456</v>
      </c>
      <c r="AA24" s="94" t="s">
        <v>213</v>
      </c>
    </row>
    <row r="25" spans="1:27" ht="38.25">
      <c r="A25" s="88" t="s">
        <v>215</v>
      </c>
      <c r="B25" s="94" t="s">
        <v>217</v>
      </c>
      <c r="C25" s="94" t="s">
        <v>217</v>
      </c>
      <c r="D25" s="94" t="s">
        <v>216</v>
      </c>
      <c r="E25" s="102" t="s">
        <v>219</v>
      </c>
      <c r="G25" s="94" t="s">
        <v>219</v>
      </c>
      <c r="H25" s="94" t="s">
        <v>457</v>
      </c>
      <c r="I25" s="94" t="s">
        <v>458</v>
      </c>
      <c r="J25" s="94" t="s">
        <v>349</v>
      </c>
      <c r="K25" s="94" t="s">
        <v>217</v>
      </c>
      <c r="L25" s="94" t="s">
        <v>219</v>
      </c>
      <c r="M25" s="94" t="s">
        <v>219</v>
      </c>
      <c r="N25" s="94" t="s">
        <v>219</v>
      </c>
      <c r="O25" s="94" t="s">
        <v>217</v>
      </c>
      <c r="P25" s="94" t="s">
        <v>219</v>
      </c>
      <c r="Q25" s="94" t="s">
        <v>216</v>
      </c>
      <c r="R25" s="94" t="s">
        <v>216</v>
      </c>
      <c r="S25" s="94" t="s">
        <v>459</v>
      </c>
      <c r="T25" s="94" t="s">
        <v>216</v>
      </c>
      <c r="U25" s="94" t="s">
        <v>216</v>
      </c>
      <c r="V25" s="94" t="s">
        <v>216</v>
      </c>
      <c r="W25" s="94" t="s">
        <v>216</v>
      </c>
      <c r="X25" s="94" t="s">
        <v>219</v>
      </c>
      <c r="Y25" s="94" t="s">
        <v>216</v>
      </c>
      <c r="Z25" s="94" t="s">
        <v>219</v>
      </c>
      <c r="AA25" s="94" t="s">
        <v>217</v>
      </c>
    </row>
    <row r="26" spans="1:27">
      <c r="A26" s="88" t="s">
        <v>220</v>
      </c>
      <c r="B26" s="94" t="s">
        <v>221</v>
      </c>
      <c r="C26" s="94" t="s">
        <v>221</v>
      </c>
      <c r="D26" s="94" t="s">
        <v>221</v>
      </c>
      <c r="E26" s="94" t="s">
        <v>221</v>
      </c>
      <c r="G26" s="94" t="s">
        <v>221</v>
      </c>
      <c r="H26" s="94" t="s">
        <v>221</v>
      </c>
      <c r="I26" s="94" t="s">
        <v>221</v>
      </c>
      <c r="J26" s="94" t="s">
        <v>221</v>
      </c>
      <c r="K26" s="94" t="s">
        <v>221</v>
      </c>
      <c r="L26" s="94" t="s">
        <v>221</v>
      </c>
      <c r="M26" s="94" t="s">
        <v>221</v>
      </c>
      <c r="N26" s="94" t="s">
        <v>221</v>
      </c>
      <c r="O26" s="94" t="s">
        <v>221</v>
      </c>
      <c r="P26" s="94" t="s">
        <v>221</v>
      </c>
      <c r="Q26" s="94" t="s">
        <v>221</v>
      </c>
      <c r="R26" s="94" t="s">
        <v>221</v>
      </c>
      <c r="S26" s="94" t="s">
        <v>221</v>
      </c>
      <c r="T26" s="94" t="s">
        <v>221</v>
      </c>
      <c r="U26" s="94" t="s">
        <v>221</v>
      </c>
      <c r="V26" s="94" t="s">
        <v>221</v>
      </c>
      <c r="W26" s="94" t="s">
        <v>221</v>
      </c>
      <c r="X26" s="94" t="s">
        <v>221</v>
      </c>
      <c r="Y26" s="94" t="s">
        <v>221</v>
      </c>
      <c r="Z26" s="94" t="s">
        <v>221</v>
      </c>
      <c r="AA26" s="94" t="s">
        <v>221</v>
      </c>
    </row>
    <row r="27" spans="1:27" ht="15">
      <c r="A27" s="88" t="s">
        <v>350</v>
      </c>
      <c r="B27" s="103">
        <v>27660</v>
      </c>
      <c r="C27" s="103">
        <v>12620</v>
      </c>
      <c r="D27" s="103">
        <v>3000</v>
      </c>
      <c r="E27" s="104">
        <v>3200</v>
      </c>
      <c r="G27" s="94">
        <v>500</v>
      </c>
      <c r="H27" s="103">
        <v>7513</v>
      </c>
      <c r="I27" s="94">
        <v>400</v>
      </c>
      <c r="J27" s="103">
        <v>6000</v>
      </c>
      <c r="K27" s="94">
        <v>3000</v>
      </c>
      <c r="L27" s="94">
        <v>700</v>
      </c>
      <c r="M27" s="94">
        <v>150</v>
      </c>
      <c r="N27" s="94">
        <v>3510</v>
      </c>
      <c r="O27" s="103">
        <v>2200</v>
      </c>
      <c r="P27" s="94">
        <v>2400</v>
      </c>
      <c r="Q27" s="94">
        <f>60*100</f>
        <v>6000</v>
      </c>
      <c r="R27" s="94">
        <f>50*100</f>
        <v>5000</v>
      </c>
      <c r="S27" s="94">
        <f>14*100</f>
        <v>1400</v>
      </c>
      <c r="T27" s="94">
        <v>450</v>
      </c>
      <c r="U27" s="94">
        <v>12000</v>
      </c>
      <c r="V27" s="94">
        <v>450</v>
      </c>
      <c r="W27" s="94">
        <v>10400</v>
      </c>
      <c r="X27" s="94">
        <v>500</v>
      </c>
      <c r="Y27" s="94">
        <v>5032</v>
      </c>
      <c r="Z27" s="94">
        <v>2400</v>
      </c>
      <c r="AA27" s="94">
        <v>1700</v>
      </c>
    </row>
    <row r="28" spans="1:27" hidden="1">
      <c r="A28" s="88" t="s">
        <v>460</v>
      </c>
      <c r="B28" s="295" t="s">
        <v>224</v>
      </c>
      <c r="C28" s="296" t="s">
        <v>224</v>
      </c>
      <c r="D28" s="297" t="s">
        <v>224</v>
      </c>
      <c r="E28" s="296" t="s">
        <v>224</v>
      </c>
      <c r="G28" s="296" t="s">
        <v>224</v>
      </c>
      <c r="H28" s="296" t="s">
        <v>224</v>
      </c>
      <c r="I28" s="297" t="s">
        <v>224</v>
      </c>
      <c r="J28" s="297" t="s">
        <v>224</v>
      </c>
      <c r="K28" s="296" t="s">
        <v>224</v>
      </c>
      <c r="L28" s="297" t="s">
        <v>224</v>
      </c>
      <c r="M28" s="297" t="s">
        <v>224</v>
      </c>
      <c r="N28" s="296" t="s">
        <v>224</v>
      </c>
      <c r="O28" s="296" t="s">
        <v>224</v>
      </c>
      <c r="P28" s="296" t="s">
        <v>224</v>
      </c>
      <c r="Q28" s="297" t="s">
        <v>224</v>
      </c>
      <c r="R28" s="297" t="s">
        <v>224</v>
      </c>
      <c r="S28" s="297" t="s">
        <v>224</v>
      </c>
      <c r="T28" s="297" t="s">
        <v>224</v>
      </c>
      <c r="U28" s="297" t="s">
        <v>224</v>
      </c>
      <c r="V28" s="94" t="s">
        <v>224</v>
      </c>
      <c r="W28" s="94" t="s">
        <v>224</v>
      </c>
      <c r="X28" s="94" t="s">
        <v>224</v>
      </c>
      <c r="Y28" s="94" t="s">
        <v>224</v>
      </c>
      <c r="Z28" s="94" t="s">
        <v>224</v>
      </c>
      <c r="AA28" s="94" t="s">
        <v>224</v>
      </c>
    </row>
    <row r="29" spans="1:27" ht="25.5">
      <c r="A29" s="88" t="s">
        <v>226</v>
      </c>
      <c r="B29" s="94" t="s">
        <v>227</v>
      </c>
      <c r="C29" s="94" t="s">
        <v>228</v>
      </c>
      <c r="D29" s="94" t="s">
        <v>227</v>
      </c>
      <c r="E29" s="94" t="s">
        <v>227</v>
      </c>
      <c r="G29" s="94" t="s">
        <v>227</v>
      </c>
      <c r="H29" s="94" t="s">
        <v>461</v>
      </c>
      <c r="I29" s="94" t="s">
        <v>227</v>
      </c>
      <c r="J29" s="94" t="s">
        <v>227</v>
      </c>
      <c r="K29" s="94" t="s">
        <v>227</v>
      </c>
      <c r="L29" s="94" t="s">
        <v>227</v>
      </c>
      <c r="M29" s="94" t="s">
        <v>462</v>
      </c>
      <c r="N29" s="94" t="s">
        <v>227</v>
      </c>
      <c r="O29" s="94" t="s">
        <v>461</v>
      </c>
      <c r="P29" s="94" t="s">
        <v>461</v>
      </c>
      <c r="Q29" s="94" t="s">
        <v>227</v>
      </c>
      <c r="R29" s="94" t="s">
        <v>351</v>
      </c>
      <c r="S29" s="94" t="s">
        <v>227</v>
      </c>
      <c r="T29" s="94" t="s">
        <v>229</v>
      </c>
      <c r="U29" s="94" t="s">
        <v>461</v>
      </c>
      <c r="V29" s="94" t="s">
        <v>351</v>
      </c>
      <c r="W29" s="94" t="s">
        <v>229</v>
      </c>
      <c r="X29" s="94" t="s">
        <v>229</v>
      </c>
      <c r="Y29" s="94" t="s">
        <v>351</v>
      </c>
      <c r="Z29" s="94" t="s">
        <v>351</v>
      </c>
      <c r="AA29" s="94" t="s">
        <v>351</v>
      </c>
    </row>
    <row r="30" spans="1:27" ht="25.5">
      <c r="A30" s="88" t="s">
        <v>230</v>
      </c>
      <c r="B30" s="97" t="s">
        <v>231</v>
      </c>
      <c r="C30" s="97" t="s">
        <v>232</v>
      </c>
      <c r="D30" s="213" t="s">
        <v>231</v>
      </c>
      <c r="E30" s="116" t="s">
        <v>234</v>
      </c>
      <c r="G30" s="97" t="s">
        <v>233</v>
      </c>
      <c r="H30" s="97" t="s">
        <v>231</v>
      </c>
      <c r="I30" s="97" t="s">
        <v>463</v>
      </c>
      <c r="J30" s="97" t="s">
        <v>231</v>
      </c>
      <c r="K30" s="97" t="s">
        <v>231</v>
      </c>
      <c r="L30" s="97" t="s">
        <v>231</v>
      </c>
      <c r="M30" s="97" t="s">
        <v>463</v>
      </c>
      <c r="N30" s="97" t="s">
        <v>463</v>
      </c>
      <c r="O30" s="97" t="s">
        <v>233</v>
      </c>
      <c r="P30" s="97" t="s">
        <v>231</v>
      </c>
      <c r="Q30" s="97" t="s">
        <v>464</v>
      </c>
      <c r="R30" s="97" t="s">
        <v>233</v>
      </c>
      <c r="S30" s="97" t="s">
        <v>233</v>
      </c>
      <c r="T30" s="97" t="s">
        <v>233</v>
      </c>
      <c r="U30" s="97" t="s">
        <v>464</v>
      </c>
      <c r="V30" s="97" t="s">
        <v>233</v>
      </c>
      <c r="W30" s="97" t="s">
        <v>231</v>
      </c>
      <c r="X30" s="97" t="s">
        <v>233</v>
      </c>
      <c r="Y30" s="97" t="s">
        <v>233</v>
      </c>
      <c r="Z30" s="97" t="s">
        <v>231</v>
      </c>
      <c r="AA30" s="213" t="s">
        <v>231</v>
      </c>
    </row>
    <row r="31" spans="1:27" ht="25.5">
      <c r="A31" s="88" t="s">
        <v>465</v>
      </c>
      <c r="B31" s="94" t="s">
        <v>466</v>
      </c>
      <c r="C31" s="94" t="s">
        <v>224</v>
      </c>
      <c r="D31" s="97" t="s">
        <v>224</v>
      </c>
      <c r="E31" s="97" t="s">
        <v>224</v>
      </c>
      <c r="G31" s="97" t="s">
        <v>224</v>
      </c>
      <c r="H31" s="94" t="s">
        <v>467</v>
      </c>
      <c r="I31" s="97" t="s">
        <v>468</v>
      </c>
      <c r="J31" s="97" t="s">
        <v>469</v>
      </c>
      <c r="K31" s="97" t="s">
        <v>224</v>
      </c>
      <c r="L31" s="97" t="s">
        <v>470</v>
      </c>
      <c r="M31" s="97" t="s">
        <v>224</v>
      </c>
      <c r="N31" s="97" t="s">
        <v>224</v>
      </c>
      <c r="O31" s="94" t="s">
        <v>471</v>
      </c>
      <c r="P31" s="94" t="s">
        <v>224</v>
      </c>
      <c r="Q31" s="97" t="s">
        <v>469</v>
      </c>
      <c r="R31" s="97" t="s">
        <v>469</v>
      </c>
      <c r="S31" s="97" t="s">
        <v>469</v>
      </c>
      <c r="T31" s="97" t="s">
        <v>469</v>
      </c>
      <c r="U31" s="97" t="s">
        <v>224</v>
      </c>
      <c r="V31" s="97" t="s">
        <v>239</v>
      </c>
      <c r="W31" s="97" t="s">
        <v>469</v>
      </c>
      <c r="X31" s="97" t="s">
        <v>224</v>
      </c>
      <c r="Y31" s="97" t="s">
        <v>239</v>
      </c>
      <c r="Z31" s="97" t="s">
        <v>472</v>
      </c>
      <c r="AA31" s="97" t="s">
        <v>224</v>
      </c>
    </row>
    <row r="32" spans="1:27">
      <c r="A32" s="88" t="s">
        <v>235</v>
      </c>
      <c r="B32" s="94" t="s">
        <v>224</v>
      </c>
      <c r="C32" s="94" t="s">
        <v>237</v>
      </c>
      <c r="D32" s="94" t="s">
        <v>224</v>
      </c>
      <c r="E32" s="94" t="s">
        <v>224</v>
      </c>
      <c r="G32" s="94" t="s">
        <v>224</v>
      </c>
      <c r="H32" s="94" t="s">
        <v>473</v>
      </c>
      <c r="I32" s="94" t="s">
        <v>224</v>
      </c>
      <c r="J32" s="213" t="s">
        <v>474</v>
      </c>
      <c r="K32" s="94" t="s">
        <v>224</v>
      </c>
      <c r="L32" s="94" t="s">
        <v>224</v>
      </c>
      <c r="M32" s="94" t="s">
        <v>224</v>
      </c>
      <c r="N32" s="94" t="s">
        <v>224</v>
      </c>
      <c r="O32" s="94" t="s">
        <v>473</v>
      </c>
      <c r="P32" s="94" t="s">
        <v>224</v>
      </c>
      <c r="Q32" s="213" t="s">
        <v>474</v>
      </c>
      <c r="R32" s="213" t="s">
        <v>224</v>
      </c>
      <c r="S32" s="97" t="s">
        <v>224</v>
      </c>
      <c r="T32" s="213" t="s">
        <v>224</v>
      </c>
      <c r="U32" s="97" t="s">
        <v>475</v>
      </c>
      <c r="V32" s="213" t="s">
        <v>224</v>
      </c>
      <c r="W32" s="213" t="s">
        <v>224</v>
      </c>
      <c r="X32" s="213" t="s">
        <v>224</v>
      </c>
      <c r="Y32" s="213" t="s">
        <v>476</v>
      </c>
      <c r="Z32" s="213" t="s">
        <v>224</v>
      </c>
      <c r="AA32" s="213" t="s">
        <v>224</v>
      </c>
    </row>
    <row r="33" spans="1:27" ht="55.5">
      <c r="A33" s="88" t="s">
        <v>477</v>
      </c>
      <c r="B33" s="94" t="s">
        <v>478</v>
      </c>
      <c r="C33" s="94" t="s">
        <v>224</v>
      </c>
      <c r="D33" s="94" t="s">
        <v>224</v>
      </c>
      <c r="E33" s="94" t="s">
        <v>224</v>
      </c>
      <c r="G33" s="94" t="s">
        <v>224</v>
      </c>
      <c r="H33" s="94" t="s">
        <v>224</v>
      </c>
      <c r="I33" s="94" t="s">
        <v>224</v>
      </c>
      <c r="J33" s="94" t="s">
        <v>224</v>
      </c>
      <c r="K33" s="94" t="s">
        <v>224</v>
      </c>
      <c r="L33" s="94" t="s">
        <v>224</v>
      </c>
      <c r="M33" s="94" t="s">
        <v>224</v>
      </c>
      <c r="N33" s="94" t="s">
        <v>224</v>
      </c>
      <c r="O33" s="94" t="s">
        <v>224</v>
      </c>
      <c r="P33" s="94" t="s">
        <v>224</v>
      </c>
      <c r="Q33" s="94" t="s">
        <v>224</v>
      </c>
      <c r="R33" s="94" t="s">
        <v>224</v>
      </c>
      <c r="S33" s="94" t="s">
        <v>224</v>
      </c>
      <c r="T33" s="94" t="s">
        <v>224</v>
      </c>
      <c r="U33" s="94" t="s">
        <v>224</v>
      </c>
      <c r="V33" s="297" t="s">
        <v>224</v>
      </c>
      <c r="W33" s="94" t="s">
        <v>224</v>
      </c>
      <c r="X33" s="94" t="s">
        <v>224</v>
      </c>
      <c r="Y33" s="94" t="s">
        <v>224</v>
      </c>
      <c r="Z33" s="94" t="s">
        <v>224</v>
      </c>
      <c r="AA33" s="94" t="s">
        <v>224</v>
      </c>
    </row>
    <row r="34" spans="1:27">
      <c r="A34" s="88" t="s">
        <v>243</v>
      </c>
      <c r="B34" s="117"/>
      <c r="C34" s="118" t="s">
        <v>245</v>
      </c>
      <c r="D34" s="118" t="s">
        <v>245</v>
      </c>
      <c r="E34" s="118" t="s">
        <v>245</v>
      </c>
      <c r="G34" s="118" t="s">
        <v>244</v>
      </c>
      <c r="H34" s="118" t="s">
        <v>244</v>
      </c>
      <c r="I34" s="101" t="s">
        <v>479</v>
      </c>
      <c r="J34" s="215" t="s">
        <v>244</v>
      </c>
      <c r="K34" s="101" t="s">
        <v>245</v>
      </c>
      <c r="L34" s="101" t="s">
        <v>245</v>
      </c>
      <c r="M34" s="101" t="s">
        <v>245</v>
      </c>
      <c r="N34" s="101" t="s">
        <v>245</v>
      </c>
      <c r="O34" s="118" t="s">
        <v>480</v>
      </c>
      <c r="P34" s="118" t="s">
        <v>481</v>
      </c>
      <c r="Q34" s="101" t="s">
        <v>482</v>
      </c>
      <c r="R34" s="101" t="s">
        <v>482</v>
      </c>
      <c r="S34" s="118" t="s">
        <v>483</v>
      </c>
      <c r="T34" s="118" t="s">
        <v>245</v>
      </c>
      <c r="U34" s="101" t="s">
        <v>483</v>
      </c>
      <c r="V34" s="288" t="s">
        <v>484</v>
      </c>
      <c r="W34" s="118" t="s">
        <v>245</v>
      </c>
      <c r="X34" s="101" t="s">
        <v>245</v>
      </c>
      <c r="Y34" s="101" t="s">
        <v>485</v>
      </c>
      <c r="Z34" s="118" t="s">
        <v>480</v>
      </c>
      <c r="AA34" s="118" t="s">
        <v>244</v>
      </c>
    </row>
    <row r="35" spans="1:27">
      <c r="A35" s="88" t="s">
        <v>122</v>
      </c>
      <c r="B35" s="117"/>
      <c r="C35" s="118">
        <v>7200000</v>
      </c>
      <c r="D35" s="118">
        <v>1500000</v>
      </c>
      <c r="E35" s="94">
        <v>1500000</v>
      </c>
      <c r="G35" s="94">
        <v>650000</v>
      </c>
      <c r="H35" s="118">
        <v>2500000</v>
      </c>
      <c r="I35" s="94">
        <v>895000</v>
      </c>
      <c r="J35" s="118">
        <v>2700000</v>
      </c>
      <c r="K35" s="94">
        <v>4200000</v>
      </c>
      <c r="L35" s="94">
        <v>2500000</v>
      </c>
      <c r="M35" s="94">
        <v>220000</v>
      </c>
      <c r="N35" s="94">
        <v>1298700</v>
      </c>
      <c r="O35" s="94">
        <v>760000</v>
      </c>
      <c r="P35" s="94">
        <v>1200000</v>
      </c>
      <c r="Q35" s="94">
        <f>60*45000</f>
        <v>2700000</v>
      </c>
      <c r="R35" s="94">
        <v>3000000</v>
      </c>
      <c r="S35" s="298">
        <v>850000</v>
      </c>
      <c r="T35" s="94">
        <v>380000</v>
      </c>
      <c r="U35" s="298">
        <v>6000000</v>
      </c>
      <c r="V35" s="298">
        <v>380000</v>
      </c>
      <c r="W35" s="115">
        <v>3000000</v>
      </c>
      <c r="X35" s="298">
        <v>500000</v>
      </c>
      <c r="Y35" s="298">
        <v>1200000</v>
      </c>
      <c r="Z35" s="94">
        <v>1200000</v>
      </c>
      <c r="AA35" s="115">
        <v>440000</v>
      </c>
    </row>
    <row r="36" spans="1:27">
      <c r="A36" s="88" t="s">
        <v>246</v>
      </c>
      <c r="B36" s="115"/>
      <c r="C36" s="115">
        <f t="shared" ref="C36" si="5">C35*долл</f>
        <v>629640000</v>
      </c>
      <c r="D36" s="115">
        <f>D35*долл</f>
        <v>131175000</v>
      </c>
      <c r="E36" s="115">
        <f>E35*долл</f>
        <v>131175000</v>
      </c>
      <c r="G36" s="115">
        <f t="shared" ref="G36:Q36" si="6">G35*долл</f>
        <v>56842500</v>
      </c>
      <c r="H36" s="115">
        <f t="shared" si="6"/>
        <v>218625000</v>
      </c>
      <c r="I36" s="115">
        <f t="shared" si="6"/>
        <v>78267750</v>
      </c>
      <c r="J36" s="115">
        <f t="shared" si="6"/>
        <v>236115000</v>
      </c>
      <c r="K36" s="115">
        <f t="shared" si="6"/>
        <v>367290000</v>
      </c>
      <c r="L36" s="115">
        <f t="shared" si="6"/>
        <v>218625000</v>
      </c>
      <c r="M36" s="115">
        <f t="shared" si="6"/>
        <v>19239000</v>
      </c>
      <c r="N36" s="115">
        <f t="shared" si="6"/>
        <v>113571315</v>
      </c>
      <c r="O36" s="115">
        <f t="shared" si="6"/>
        <v>66462000</v>
      </c>
      <c r="P36" s="115">
        <f t="shared" si="6"/>
        <v>104940000</v>
      </c>
      <c r="Q36" s="115">
        <f t="shared" si="6"/>
        <v>236115000</v>
      </c>
      <c r="R36" s="115">
        <f>R35*долл</f>
        <v>262350000</v>
      </c>
      <c r="S36" s="115">
        <f>S35*долл</f>
        <v>74332500</v>
      </c>
      <c r="T36" s="115">
        <f t="shared" ref="T36:AA36" si="7">T35*долл</f>
        <v>33231000</v>
      </c>
      <c r="U36" s="115">
        <f t="shared" si="7"/>
        <v>524700000</v>
      </c>
      <c r="V36" s="115">
        <f t="shared" si="7"/>
        <v>33231000</v>
      </c>
      <c r="W36" s="115">
        <f t="shared" si="7"/>
        <v>262350000</v>
      </c>
      <c r="X36" s="115">
        <f t="shared" si="7"/>
        <v>43725000</v>
      </c>
      <c r="Y36" s="115">
        <f t="shared" si="7"/>
        <v>104940000</v>
      </c>
      <c r="Z36" s="115">
        <f t="shared" si="7"/>
        <v>104940000</v>
      </c>
      <c r="AA36" s="115">
        <f t="shared" si="7"/>
        <v>38478000</v>
      </c>
    </row>
    <row r="37" spans="1:27" ht="15">
      <c r="A37" s="88" t="s">
        <v>247</v>
      </c>
      <c r="B37" s="299"/>
      <c r="C37" s="115">
        <f>C35/C13</f>
        <v>1029.1595197255574</v>
      </c>
      <c r="D37" s="115">
        <f>D35/D13</f>
        <v>1066.0980810234541</v>
      </c>
      <c r="E37" s="115">
        <f>E35/E13</f>
        <v>833.33333333333337</v>
      </c>
      <c r="G37" s="115">
        <f t="shared" ref="G37:AA37" si="8">G35/G13</f>
        <v>650</v>
      </c>
      <c r="H37" s="115">
        <f t="shared" si="8"/>
        <v>498.44485206156787</v>
      </c>
      <c r="I37" s="115">
        <f t="shared" si="8"/>
        <v>1248.2566248256626</v>
      </c>
      <c r="J37" s="115">
        <f t="shared" si="8"/>
        <v>1090.4684975767366</v>
      </c>
      <c r="K37" s="115">
        <f t="shared" si="8"/>
        <v>1400</v>
      </c>
      <c r="L37" s="115">
        <f t="shared" si="8"/>
        <v>1785.7142857142858</v>
      </c>
      <c r="M37" s="115">
        <f t="shared" si="8"/>
        <v>666.66666666666663</v>
      </c>
      <c r="N37" s="115">
        <f t="shared" si="8"/>
        <v>2886</v>
      </c>
      <c r="O37" s="115">
        <f t="shared" si="8"/>
        <v>554.74452554744528</v>
      </c>
      <c r="P37" s="115">
        <f t="shared" si="8"/>
        <v>582.52427184466023</v>
      </c>
      <c r="Q37" s="115">
        <f t="shared" si="8"/>
        <v>1928.5714285714287</v>
      </c>
      <c r="R37" s="115">
        <f t="shared" si="8"/>
        <v>2000</v>
      </c>
      <c r="S37" s="115">
        <f t="shared" si="8"/>
        <v>615.94202898550725</v>
      </c>
      <c r="T37" s="115">
        <f t="shared" si="8"/>
        <v>760</v>
      </c>
      <c r="U37" s="115">
        <f t="shared" si="8"/>
        <v>106.47699564509088</v>
      </c>
      <c r="V37" s="115">
        <f t="shared" si="8"/>
        <v>707.63500931098702</v>
      </c>
      <c r="W37" s="115">
        <f t="shared" si="8"/>
        <v>697.67441860465112</v>
      </c>
      <c r="X37" s="115">
        <f t="shared" si="8"/>
        <v>625</v>
      </c>
      <c r="Y37" s="115">
        <f t="shared" si="8"/>
        <v>1217.1866758631884</v>
      </c>
      <c r="Z37" s="115">
        <f t="shared" si="8"/>
        <v>582.52427184466023</v>
      </c>
      <c r="AA37" s="115">
        <f t="shared" si="8"/>
        <v>601.16147128804994</v>
      </c>
    </row>
    <row r="38" spans="1:27" ht="15">
      <c r="A38" s="88" t="s">
        <v>248</v>
      </c>
      <c r="B38" s="115"/>
      <c r="C38" s="115">
        <f t="shared" ref="C38" si="9">C37*долл</f>
        <v>90000</v>
      </c>
      <c r="D38" s="115">
        <f>D37*долл</f>
        <v>93230.277185501065</v>
      </c>
      <c r="E38" s="115">
        <f>E37*долл</f>
        <v>72875</v>
      </c>
      <c r="G38" s="115">
        <f t="shared" ref="G38:Q38" si="10">G37*долл</f>
        <v>56842.5</v>
      </c>
      <c r="H38" s="115">
        <f t="shared" si="10"/>
        <v>43589.002312784112</v>
      </c>
      <c r="I38" s="115">
        <f t="shared" si="10"/>
        <v>109160.04184100419</v>
      </c>
      <c r="J38" s="115">
        <f t="shared" si="10"/>
        <v>95361.470113085612</v>
      </c>
      <c r="K38" s="115">
        <f t="shared" si="10"/>
        <v>122430</v>
      </c>
      <c r="L38" s="115">
        <f t="shared" si="10"/>
        <v>156160.71428571429</v>
      </c>
      <c r="M38" s="115">
        <f t="shared" si="10"/>
        <v>58300</v>
      </c>
      <c r="N38" s="115">
        <f t="shared" si="10"/>
        <v>252380.7</v>
      </c>
      <c r="O38" s="115">
        <f t="shared" si="10"/>
        <v>48512.40875912409</v>
      </c>
      <c r="P38" s="115">
        <f t="shared" si="10"/>
        <v>50941.74757281554</v>
      </c>
      <c r="Q38" s="115">
        <f t="shared" si="10"/>
        <v>168653.57142857145</v>
      </c>
      <c r="R38" s="115">
        <f>R37*долл</f>
        <v>174900</v>
      </c>
      <c r="S38" s="115">
        <f>S37*долл</f>
        <v>53864.130434782608</v>
      </c>
      <c r="T38" s="115">
        <f t="shared" ref="T38:AA38" si="11">T37*долл</f>
        <v>66462</v>
      </c>
      <c r="U38" s="115">
        <f t="shared" si="11"/>
        <v>9311.4132691631985</v>
      </c>
      <c r="V38" s="115">
        <f t="shared" si="11"/>
        <v>61882.681564245817</v>
      </c>
      <c r="W38" s="115">
        <f t="shared" si="11"/>
        <v>61011.627906976741</v>
      </c>
      <c r="X38" s="115">
        <f t="shared" si="11"/>
        <v>54656.25</v>
      </c>
      <c r="Y38" s="115">
        <f t="shared" si="11"/>
        <v>106442.97480423583</v>
      </c>
      <c r="Z38" s="115">
        <f t="shared" si="11"/>
        <v>50941.74757281554</v>
      </c>
      <c r="AA38" s="115">
        <f t="shared" si="11"/>
        <v>52571.570664139967</v>
      </c>
    </row>
    <row r="39" spans="1:27">
      <c r="A39" s="119" t="s">
        <v>249</v>
      </c>
      <c r="B39" s="87" t="s">
        <v>159</v>
      </c>
      <c r="C39" s="87" t="str">
        <f>C5</f>
        <v>Аналог 1</v>
      </c>
      <c r="D39" s="87" t="str">
        <f>D5</f>
        <v>Аналог 2</v>
      </c>
      <c r="E39" s="87" t="str">
        <f>E5</f>
        <v>Аналог 3</v>
      </c>
      <c r="G39" s="87" t="str">
        <f t="shared" ref="G39:AA39" si="12">G5</f>
        <v>Аналог 2</v>
      </c>
      <c r="H39" s="87" t="str">
        <f t="shared" si="12"/>
        <v>Аналог 3</v>
      </c>
      <c r="I39" s="87" t="str">
        <f t="shared" si="12"/>
        <v>Аналог 3</v>
      </c>
      <c r="J39" s="87" t="str">
        <f t="shared" si="12"/>
        <v>Аналог 4</v>
      </c>
      <c r="K39" s="87" t="str">
        <f t="shared" si="12"/>
        <v>Аналог 2</v>
      </c>
      <c r="L39" s="87" t="str">
        <f t="shared" si="12"/>
        <v>Аналог 4</v>
      </c>
      <c r="M39" s="87" t="str">
        <f t="shared" si="12"/>
        <v>Аналог 2</v>
      </c>
      <c r="N39" s="87" t="str">
        <f t="shared" si="12"/>
        <v>Аналог 2</v>
      </c>
      <c r="O39" s="87" t="str">
        <f t="shared" si="12"/>
        <v>Аналог 4</v>
      </c>
      <c r="P39" s="87" t="str">
        <f t="shared" si="12"/>
        <v>Аналог 2</v>
      </c>
      <c r="Q39" s="87" t="str">
        <f t="shared" si="12"/>
        <v>Аналог 2</v>
      </c>
      <c r="R39" s="87" t="str">
        <f t="shared" si="12"/>
        <v>Аналог 3</v>
      </c>
      <c r="S39" s="87" t="str">
        <f t="shared" si="12"/>
        <v>Аналог 2</v>
      </c>
      <c r="T39" s="87" t="str">
        <f t="shared" si="12"/>
        <v>Аналог 1</v>
      </c>
      <c r="U39" s="87" t="str">
        <f t="shared" si="12"/>
        <v>Аналог 2</v>
      </c>
      <c r="V39" s="87" t="str">
        <f t="shared" si="12"/>
        <v>Аналог 3</v>
      </c>
      <c r="W39" s="87" t="str">
        <f t="shared" si="12"/>
        <v>Аналог 1</v>
      </c>
      <c r="X39" s="87" t="str">
        <f t="shared" si="12"/>
        <v>Аналог 2</v>
      </c>
      <c r="Y39" s="87" t="str">
        <f t="shared" si="12"/>
        <v>Аналог 3</v>
      </c>
      <c r="Z39" s="87" t="str">
        <f t="shared" si="12"/>
        <v>Аналог 2</v>
      </c>
      <c r="AA39" s="87" t="str">
        <f t="shared" si="12"/>
        <v>Аналог 3</v>
      </c>
    </row>
    <row r="40" spans="1:27" s="300" customFormat="1" hidden="1" outlineLevel="1">
      <c r="A40" s="120" t="s">
        <v>250</v>
      </c>
      <c r="B40" s="121"/>
      <c r="C40" s="122">
        <v>1</v>
      </c>
      <c r="D40" s="122">
        <v>1</v>
      </c>
      <c r="E40" s="122">
        <v>1</v>
      </c>
      <c r="G40" s="122">
        <v>1</v>
      </c>
      <c r="H40" s="122">
        <v>1</v>
      </c>
      <c r="I40" s="122">
        <v>1</v>
      </c>
      <c r="J40" s="122">
        <v>1</v>
      </c>
      <c r="K40" s="122">
        <v>1</v>
      </c>
      <c r="L40" s="122">
        <v>1</v>
      </c>
      <c r="M40" s="122">
        <v>1</v>
      </c>
      <c r="N40" s="122">
        <v>1</v>
      </c>
      <c r="O40" s="122">
        <v>1</v>
      </c>
      <c r="P40" s="122">
        <v>1</v>
      </c>
      <c r="Q40" s="122">
        <v>1</v>
      </c>
      <c r="R40" s="122">
        <v>1</v>
      </c>
      <c r="S40" s="122">
        <v>1</v>
      </c>
      <c r="T40" s="122">
        <v>1</v>
      </c>
      <c r="U40" s="122">
        <v>1</v>
      </c>
      <c r="V40" s="122">
        <v>1</v>
      </c>
      <c r="W40" s="122">
        <v>1</v>
      </c>
      <c r="X40" s="122">
        <v>1</v>
      </c>
      <c r="Y40" s="122">
        <v>1</v>
      </c>
      <c r="Z40" s="122">
        <v>1</v>
      </c>
      <c r="AA40" s="122">
        <v>1</v>
      </c>
    </row>
    <row r="41" spans="1:27" s="300" customFormat="1" ht="15" hidden="1" outlineLevel="1">
      <c r="A41" s="123" t="s">
        <v>352</v>
      </c>
      <c r="B41" s="124"/>
      <c r="C41" s="124">
        <f t="shared" ref="C41" si="13">C40*C38</f>
        <v>90000</v>
      </c>
      <c r="D41" s="124">
        <f>D40*D38</f>
        <v>93230.277185501065</v>
      </c>
      <c r="E41" s="124">
        <f>E40*E38</f>
        <v>72875</v>
      </c>
      <c r="G41" s="124">
        <f t="shared" ref="G41:Q41" si="14">G40*G38</f>
        <v>56842.5</v>
      </c>
      <c r="H41" s="124">
        <f t="shared" si="14"/>
        <v>43589.002312784112</v>
      </c>
      <c r="I41" s="124">
        <f t="shared" si="14"/>
        <v>109160.04184100419</v>
      </c>
      <c r="J41" s="124">
        <f t="shared" si="14"/>
        <v>95361.470113085612</v>
      </c>
      <c r="K41" s="124">
        <f t="shared" si="14"/>
        <v>122430</v>
      </c>
      <c r="L41" s="124">
        <f t="shared" si="14"/>
        <v>156160.71428571429</v>
      </c>
      <c r="M41" s="124">
        <f t="shared" si="14"/>
        <v>58300</v>
      </c>
      <c r="N41" s="124">
        <f t="shared" si="14"/>
        <v>252380.7</v>
      </c>
      <c r="O41" s="124">
        <f t="shared" si="14"/>
        <v>48512.40875912409</v>
      </c>
      <c r="P41" s="124">
        <f t="shared" si="14"/>
        <v>50941.74757281554</v>
      </c>
      <c r="Q41" s="124">
        <f t="shared" si="14"/>
        <v>168653.57142857145</v>
      </c>
      <c r="R41" s="124">
        <f>R40*R38</f>
        <v>174900</v>
      </c>
      <c r="S41" s="124">
        <f>S40*S38</f>
        <v>53864.130434782608</v>
      </c>
      <c r="T41" s="124">
        <f t="shared" ref="T41:AA41" si="15">T40*T38</f>
        <v>66462</v>
      </c>
      <c r="U41" s="124">
        <f t="shared" si="15"/>
        <v>9311.4132691631985</v>
      </c>
      <c r="V41" s="124">
        <f t="shared" si="15"/>
        <v>61882.681564245817</v>
      </c>
      <c r="W41" s="124">
        <f t="shared" si="15"/>
        <v>61011.627906976741</v>
      </c>
      <c r="X41" s="124">
        <f t="shared" si="15"/>
        <v>54656.25</v>
      </c>
      <c r="Y41" s="124">
        <f t="shared" si="15"/>
        <v>106442.97480423583</v>
      </c>
      <c r="Z41" s="124">
        <f t="shared" si="15"/>
        <v>50941.74757281554</v>
      </c>
      <c r="AA41" s="124">
        <f t="shared" si="15"/>
        <v>52571.570664139967</v>
      </c>
    </row>
    <row r="42" spans="1:27" collapsed="1">
      <c r="A42" s="130" t="s">
        <v>252</v>
      </c>
      <c r="B42" s="115"/>
      <c r="C42" s="131">
        <v>0.9</v>
      </c>
      <c r="D42" s="131">
        <v>0.9</v>
      </c>
      <c r="E42" s="131">
        <v>0.9</v>
      </c>
      <c r="G42" s="131">
        <v>0.95</v>
      </c>
      <c r="H42" s="131">
        <v>0.95</v>
      </c>
      <c r="I42" s="131">
        <v>0.82</v>
      </c>
      <c r="J42" s="131">
        <v>0.95</v>
      </c>
      <c r="K42" s="131">
        <v>0.9</v>
      </c>
      <c r="L42" s="131">
        <v>0.9</v>
      </c>
      <c r="M42" s="131">
        <v>0.9</v>
      </c>
      <c r="N42" s="131">
        <v>0.9</v>
      </c>
      <c r="O42" s="131">
        <v>0.98</v>
      </c>
      <c r="P42" s="131">
        <v>0.98</v>
      </c>
      <c r="Q42" s="131">
        <v>0.9</v>
      </c>
      <c r="R42" s="131">
        <v>0.9</v>
      </c>
      <c r="S42" s="131">
        <v>0.98</v>
      </c>
      <c r="T42" s="131">
        <v>0.95</v>
      </c>
      <c r="U42" s="131">
        <v>0.98</v>
      </c>
      <c r="V42" s="131">
        <v>1</v>
      </c>
      <c r="W42" s="131">
        <v>0.9</v>
      </c>
      <c r="X42" s="131">
        <v>0.9</v>
      </c>
      <c r="Y42" s="131">
        <v>1</v>
      </c>
      <c r="Z42" s="131">
        <v>0.98</v>
      </c>
      <c r="AA42" s="131">
        <v>0.95</v>
      </c>
    </row>
    <row r="43" spans="1:27" ht="15">
      <c r="A43" s="132" t="s">
        <v>352</v>
      </c>
      <c r="B43" s="133"/>
      <c r="C43" s="133">
        <f>C42*C41</f>
        <v>81000</v>
      </c>
      <c r="D43" s="133">
        <f>D42*D41</f>
        <v>83907.249466950962</v>
      </c>
      <c r="E43" s="133">
        <f>E42*E41</f>
        <v>65587.5</v>
      </c>
      <c r="G43" s="133">
        <f t="shared" ref="G43" si="16">G42*G41</f>
        <v>54000.375</v>
      </c>
      <c r="H43" s="133">
        <f>H42*H41</f>
        <v>41409.552197144905</v>
      </c>
      <c r="I43" s="133">
        <f t="shared" ref="I43" si="17">I42*I41</f>
        <v>89511.234309623425</v>
      </c>
      <c r="J43" s="133">
        <f>J42*J41</f>
        <v>90593.396607431321</v>
      </c>
      <c r="K43" s="133">
        <f t="shared" ref="K43" si="18">K42*K41</f>
        <v>110187</v>
      </c>
      <c r="L43" s="133">
        <f>L42*L41</f>
        <v>140544.64285714287</v>
      </c>
      <c r="M43" s="133">
        <f>M42*M41</f>
        <v>52470</v>
      </c>
      <c r="N43" s="133">
        <f>N42*N41</f>
        <v>227142.63</v>
      </c>
      <c r="O43" s="133">
        <f>O42*O41</f>
        <v>47542.160583941608</v>
      </c>
      <c r="P43" s="133">
        <f t="shared" ref="P43:Q43" si="19">P42*P41</f>
        <v>49922.912621359232</v>
      </c>
      <c r="Q43" s="133">
        <f t="shared" si="19"/>
        <v>151788.21428571432</v>
      </c>
      <c r="R43" s="133">
        <f>R42*R41</f>
        <v>157410</v>
      </c>
      <c r="S43" s="133">
        <f>S42*S41</f>
        <v>52786.847826086952</v>
      </c>
      <c r="T43" s="133">
        <f t="shared" ref="T43:AA43" si="20">T42*T41</f>
        <v>63138.899999999994</v>
      </c>
      <c r="U43" s="133">
        <f t="shared" si="20"/>
        <v>9125.185003779934</v>
      </c>
      <c r="V43" s="133">
        <f t="shared" si="20"/>
        <v>61882.681564245817</v>
      </c>
      <c r="W43" s="133">
        <f t="shared" si="20"/>
        <v>54910.465116279069</v>
      </c>
      <c r="X43" s="133">
        <f t="shared" si="20"/>
        <v>49190.625</v>
      </c>
      <c r="Y43" s="133">
        <f t="shared" si="20"/>
        <v>106442.97480423583</v>
      </c>
      <c r="Z43" s="133">
        <f t="shared" si="20"/>
        <v>49922.912621359232</v>
      </c>
      <c r="AA43" s="133">
        <f t="shared" si="20"/>
        <v>49942.992130932966</v>
      </c>
    </row>
    <row r="44" spans="1:27">
      <c r="A44" s="130" t="s">
        <v>253</v>
      </c>
      <c r="B44" s="115"/>
      <c r="C44" s="131">
        <v>1</v>
      </c>
      <c r="D44" s="131">
        <v>1</v>
      </c>
      <c r="E44" s="131">
        <v>1</v>
      </c>
      <c r="G44" s="131">
        <v>1</v>
      </c>
      <c r="H44" s="131">
        <v>1</v>
      </c>
      <c r="I44" s="131">
        <v>1</v>
      </c>
      <c r="J44" s="131">
        <v>1</v>
      </c>
      <c r="K44" s="131">
        <v>1</v>
      </c>
      <c r="L44" s="131">
        <v>1</v>
      </c>
      <c r="M44" s="131">
        <v>1</v>
      </c>
      <c r="N44" s="131">
        <v>1</v>
      </c>
      <c r="O44" s="131">
        <v>1</v>
      </c>
      <c r="P44" s="131">
        <v>1</v>
      </c>
      <c r="Q44" s="131">
        <v>1</v>
      </c>
      <c r="R44" s="131">
        <v>1</v>
      </c>
      <c r="S44" s="131">
        <v>1</v>
      </c>
      <c r="T44" s="131">
        <v>1</v>
      </c>
      <c r="U44" s="131">
        <v>1</v>
      </c>
      <c r="V44" s="131">
        <v>1</v>
      </c>
      <c r="W44" s="131">
        <v>1</v>
      </c>
      <c r="X44" s="131">
        <v>1</v>
      </c>
      <c r="Y44" s="131">
        <v>1</v>
      </c>
      <c r="Z44" s="131">
        <v>1</v>
      </c>
      <c r="AA44" s="131">
        <v>1</v>
      </c>
    </row>
    <row r="45" spans="1:27" ht="15">
      <c r="A45" s="132" t="s">
        <v>352</v>
      </c>
      <c r="B45" s="133"/>
      <c r="C45" s="133">
        <f>C44*C43</f>
        <v>81000</v>
      </c>
      <c r="D45" s="133">
        <f>D44*D43</f>
        <v>83907.249466950962</v>
      </c>
      <c r="E45" s="133">
        <f>E44*E43</f>
        <v>65587.5</v>
      </c>
      <c r="G45" s="133">
        <f t="shared" ref="G45" si="21">G44*G43</f>
        <v>54000.375</v>
      </c>
      <c r="H45" s="133">
        <f>H44*H43</f>
        <v>41409.552197144905</v>
      </c>
      <c r="I45" s="133">
        <f t="shared" ref="I45" si="22">I44*I43</f>
        <v>89511.234309623425</v>
      </c>
      <c r="J45" s="133">
        <f>J44*J43</f>
        <v>90593.396607431321</v>
      </c>
      <c r="K45" s="133">
        <f t="shared" ref="K45" si="23">K44*K43</f>
        <v>110187</v>
      </c>
      <c r="L45" s="133">
        <f>L44*L43</f>
        <v>140544.64285714287</v>
      </c>
      <c r="M45" s="133">
        <f>M44*M43</f>
        <v>52470</v>
      </c>
      <c r="N45" s="133">
        <f t="shared" ref="N45" si="24">N44*N43</f>
        <v>227142.63</v>
      </c>
      <c r="O45" s="133">
        <f>O44*O43</f>
        <v>47542.160583941608</v>
      </c>
      <c r="P45" s="133">
        <f t="shared" ref="P45:Q45" si="25">P44*P43</f>
        <v>49922.912621359232</v>
      </c>
      <c r="Q45" s="133">
        <f t="shared" si="25"/>
        <v>151788.21428571432</v>
      </c>
      <c r="R45" s="133">
        <f>R44*R43</f>
        <v>157410</v>
      </c>
      <c r="S45" s="133">
        <f>S44*S43</f>
        <v>52786.847826086952</v>
      </c>
      <c r="T45" s="133">
        <f t="shared" ref="T45:AA45" si="26">T44*T43</f>
        <v>63138.899999999994</v>
      </c>
      <c r="U45" s="133">
        <f t="shared" si="26"/>
        <v>9125.185003779934</v>
      </c>
      <c r="V45" s="133">
        <f t="shared" si="26"/>
        <v>61882.681564245817</v>
      </c>
      <c r="W45" s="133">
        <f t="shared" si="26"/>
        <v>54910.465116279069</v>
      </c>
      <c r="X45" s="133">
        <f t="shared" si="26"/>
        <v>49190.625</v>
      </c>
      <c r="Y45" s="133">
        <f t="shared" si="26"/>
        <v>106442.97480423583</v>
      </c>
      <c r="Z45" s="133">
        <f t="shared" si="26"/>
        <v>49922.912621359232</v>
      </c>
      <c r="AA45" s="133">
        <f t="shared" si="26"/>
        <v>49942.992130932966</v>
      </c>
    </row>
    <row r="46" spans="1:27">
      <c r="A46" s="130" t="s">
        <v>486</v>
      </c>
      <c r="B46" s="115"/>
      <c r="C46" s="131">
        <v>0.95</v>
      </c>
      <c r="D46" s="131">
        <v>1</v>
      </c>
      <c r="E46" s="131">
        <v>1</v>
      </c>
      <c r="G46" s="131">
        <v>0.95</v>
      </c>
      <c r="H46" s="131">
        <v>1</v>
      </c>
      <c r="I46" s="131">
        <v>1</v>
      </c>
      <c r="J46" s="131">
        <v>1</v>
      </c>
      <c r="K46" s="131">
        <v>1</v>
      </c>
      <c r="L46" s="131">
        <v>1</v>
      </c>
      <c r="M46" s="131">
        <v>1</v>
      </c>
      <c r="N46" s="131">
        <v>1</v>
      </c>
      <c r="O46" s="131">
        <v>1</v>
      </c>
      <c r="P46" s="131">
        <v>1</v>
      </c>
      <c r="Q46" s="131">
        <v>1</v>
      </c>
      <c r="R46" s="131">
        <v>1</v>
      </c>
      <c r="S46" s="131">
        <v>1</v>
      </c>
      <c r="T46" s="131">
        <v>1</v>
      </c>
      <c r="U46" s="131">
        <v>1</v>
      </c>
      <c r="V46" s="131">
        <v>1</v>
      </c>
      <c r="W46" s="131">
        <v>1</v>
      </c>
      <c r="X46" s="131">
        <v>1</v>
      </c>
      <c r="Y46" s="131">
        <v>1</v>
      </c>
      <c r="Z46" s="131">
        <v>1</v>
      </c>
      <c r="AA46" s="131">
        <v>1</v>
      </c>
    </row>
    <row r="47" spans="1:27" ht="15">
      <c r="A47" s="132" t="s">
        <v>352</v>
      </c>
      <c r="B47" s="133"/>
      <c r="C47" s="133">
        <f>C46*C45</f>
        <v>76950</v>
      </c>
      <c r="D47" s="133">
        <f>D46*D45</f>
        <v>83907.249466950962</v>
      </c>
      <c r="E47" s="133">
        <f>E46*E45</f>
        <v>65587.5</v>
      </c>
      <c r="G47" s="133">
        <f t="shared" ref="G47" si="27">G46*G45</f>
        <v>51300.356249999997</v>
      </c>
      <c r="H47" s="133">
        <f>H46*H45</f>
        <v>41409.552197144905</v>
      </c>
      <c r="I47" s="133">
        <f t="shared" ref="I47" si="28">I46*I45</f>
        <v>89511.234309623425</v>
      </c>
      <c r="J47" s="133">
        <f>J46*J45</f>
        <v>90593.396607431321</v>
      </c>
      <c r="K47" s="133">
        <f t="shared" ref="K47" si="29">K46*K45</f>
        <v>110187</v>
      </c>
      <c r="L47" s="133">
        <f>L46*L45</f>
        <v>140544.64285714287</v>
      </c>
      <c r="M47" s="133">
        <f>M46*M45</f>
        <v>52470</v>
      </c>
      <c r="N47" s="133">
        <f t="shared" ref="N47" si="30">N46*N45</f>
        <v>227142.63</v>
      </c>
      <c r="O47" s="133">
        <f>O46*O45</f>
        <v>47542.160583941608</v>
      </c>
      <c r="P47" s="133">
        <f t="shared" ref="P47:Q47" si="31">P46*P45</f>
        <v>49922.912621359232</v>
      </c>
      <c r="Q47" s="133">
        <f t="shared" si="31"/>
        <v>151788.21428571432</v>
      </c>
      <c r="R47" s="133">
        <f>R46*R45</f>
        <v>157410</v>
      </c>
      <c r="S47" s="133">
        <f>S46*S45</f>
        <v>52786.847826086952</v>
      </c>
      <c r="T47" s="133">
        <f t="shared" ref="T47:AA47" si="32">T46*T45</f>
        <v>63138.899999999994</v>
      </c>
      <c r="U47" s="133">
        <f t="shared" si="32"/>
        <v>9125.185003779934</v>
      </c>
      <c r="V47" s="133">
        <f t="shared" si="32"/>
        <v>61882.681564245817</v>
      </c>
      <c r="W47" s="133">
        <f t="shared" si="32"/>
        <v>54910.465116279069</v>
      </c>
      <c r="X47" s="133">
        <f t="shared" si="32"/>
        <v>49190.625</v>
      </c>
      <c r="Y47" s="133">
        <f t="shared" si="32"/>
        <v>106442.97480423583</v>
      </c>
      <c r="Z47" s="133">
        <f t="shared" si="32"/>
        <v>49922.912621359232</v>
      </c>
      <c r="AA47" s="133">
        <f t="shared" si="32"/>
        <v>49942.992130932966</v>
      </c>
    </row>
    <row r="48" spans="1:27">
      <c r="A48" s="130" t="s">
        <v>254</v>
      </c>
      <c r="B48" s="115"/>
      <c r="C48" s="131">
        <v>1</v>
      </c>
      <c r="D48" s="131">
        <v>1.3</v>
      </c>
      <c r="E48" s="131">
        <v>1.3</v>
      </c>
      <c r="G48" s="131">
        <v>1.05</v>
      </c>
      <c r="H48" s="131">
        <v>1.3</v>
      </c>
      <c r="I48" s="131">
        <v>1.02</v>
      </c>
      <c r="J48" s="131">
        <v>1</v>
      </c>
      <c r="K48" s="131">
        <v>1</v>
      </c>
      <c r="L48" s="131">
        <v>1</v>
      </c>
      <c r="M48" s="131">
        <v>1</v>
      </c>
      <c r="N48" s="131">
        <v>1</v>
      </c>
      <c r="O48" s="131">
        <v>1.3</v>
      </c>
      <c r="P48" s="131">
        <v>1</v>
      </c>
      <c r="Q48" s="131">
        <v>1</v>
      </c>
      <c r="R48" s="131">
        <v>1</v>
      </c>
      <c r="S48" s="131">
        <v>1</v>
      </c>
      <c r="T48" s="131">
        <v>1</v>
      </c>
      <c r="U48" s="131">
        <v>1</v>
      </c>
      <c r="V48" s="131">
        <v>1</v>
      </c>
      <c r="W48" s="131">
        <v>1.1000000000000001</v>
      </c>
      <c r="X48" s="131">
        <v>1</v>
      </c>
      <c r="Y48" s="131">
        <v>1</v>
      </c>
      <c r="Z48" s="131">
        <v>1</v>
      </c>
      <c r="AA48" s="131">
        <v>1</v>
      </c>
    </row>
    <row r="49" spans="1:27" ht="15">
      <c r="A49" s="132" t="s">
        <v>352</v>
      </c>
      <c r="B49" s="133"/>
      <c r="C49" s="301">
        <f>C48*C47</f>
        <v>76950</v>
      </c>
      <c r="D49" s="301">
        <f>D48*D47</f>
        <v>109079.42430703626</v>
      </c>
      <c r="E49" s="301">
        <f>E48*E47</f>
        <v>85263.75</v>
      </c>
      <c r="G49" s="301">
        <f t="shared" ref="G49" si="33">G48*G47</f>
        <v>53865.374062499999</v>
      </c>
      <c r="H49" s="301">
        <f>H48*H47</f>
        <v>53832.417856288375</v>
      </c>
      <c r="I49" s="301">
        <f t="shared" ref="I49" si="34">I48*I47</f>
        <v>91301.45899581589</v>
      </c>
      <c r="J49" s="301">
        <f>J48*J47</f>
        <v>90593.396607431321</v>
      </c>
      <c r="K49" s="301">
        <f t="shared" ref="K49" si="35">K48*K47</f>
        <v>110187</v>
      </c>
      <c r="L49" s="301">
        <f>L48*L47</f>
        <v>140544.64285714287</v>
      </c>
      <c r="M49" s="301">
        <f>M48*M47</f>
        <v>52470</v>
      </c>
      <c r="N49" s="301">
        <f t="shared" ref="N49" si="36">N48*N47</f>
        <v>227142.63</v>
      </c>
      <c r="O49" s="301">
        <f>O48*O47</f>
        <v>61804.808759124091</v>
      </c>
      <c r="P49" s="301">
        <f t="shared" ref="P49:Q49" si="37">P48*P47</f>
        <v>49922.912621359232</v>
      </c>
      <c r="Q49" s="301">
        <f t="shared" si="37"/>
        <v>151788.21428571432</v>
      </c>
      <c r="R49" s="301">
        <f>R48*R47</f>
        <v>157410</v>
      </c>
      <c r="S49" s="301">
        <f>S48*S47</f>
        <v>52786.847826086952</v>
      </c>
      <c r="T49" s="301">
        <f t="shared" ref="T49:AA49" si="38">T48*T47</f>
        <v>63138.899999999994</v>
      </c>
      <c r="U49" s="301">
        <f t="shared" si="38"/>
        <v>9125.185003779934</v>
      </c>
      <c r="V49" s="301">
        <f t="shared" si="38"/>
        <v>61882.681564245817</v>
      </c>
      <c r="W49" s="301">
        <f t="shared" si="38"/>
        <v>60401.511627906977</v>
      </c>
      <c r="X49" s="301">
        <f t="shared" si="38"/>
        <v>49190.625</v>
      </c>
      <c r="Y49" s="301">
        <f t="shared" si="38"/>
        <v>106442.97480423583</v>
      </c>
      <c r="Z49" s="301">
        <f t="shared" si="38"/>
        <v>49922.912621359232</v>
      </c>
      <c r="AA49" s="301">
        <f t="shared" si="38"/>
        <v>49942.992130932966</v>
      </c>
    </row>
    <row r="50" spans="1:27">
      <c r="A50" s="130" t="s">
        <v>255</v>
      </c>
      <c r="B50" s="115"/>
      <c r="C50" s="131">
        <v>1.05</v>
      </c>
      <c r="D50" s="131">
        <v>1</v>
      </c>
      <c r="E50" s="131">
        <v>0.98</v>
      </c>
      <c r="G50" s="131">
        <v>0.95</v>
      </c>
      <c r="H50" s="131">
        <v>1.05</v>
      </c>
      <c r="I50" s="131">
        <v>1</v>
      </c>
      <c r="J50" s="131">
        <v>1</v>
      </c>
      <c r="K50" s="131">
        <v>0.85</v>
      </c>
      <c r="L50" s="131">
        <v>1</v>
      </c>
      <c r="M50" s="131">
        <v>1</v>
      </c>
      <c r="N50" s="131">
        <v>1</v>
      </c>
      <c r="O50" s="131">
        <v>1.1000000000000001</v>
      </c>
      <c r="P50" s="131">
        <v>1</v>
      </c>
      <c r="Q50" s="131">
        <v>1</v>
      </c>
      <c r="R50" s="131">
        <v>1</v>
      </c>
      <c r="S50" s="131">
        <v>1</v>
      </c>
      <c r="T50" s="131">
        <v>1</v>
      </c>
      <c r="U50" s="131">
        <v>1</v>
      </c>
      <c r="V50" s="131">
        <v>1.1000000000000001</v>
      </c>
      <c r="W50" s="131">
        <v>1</v>
      </c>
      <c r="X50" s="131">
        <v>1.1000000000000001</v>
      </c>
      <c r="Y50" s="131">
        <v>1.1000000000000001</v>
      </c>
      <c r="Z50" s="131">
        <v>1.05</v>
      </c>
      <c r="AA50" s="131">
        <v>1.02</v>
      </c>
    </row>
    <row r="51" spans="1:27" ht="15">
      <c r="A51" s="132" t="s">
        <v>352</v>
      </c>
      <c r="B51" s="133"/>
      <c r="C51" s="301">
        <f>C50*C49</f>
        <v>80797.5</v>
      </c>
      <c r="D51" s="301">
        <f>D50*D49</f>
        <v>109079.42430703626</v>
      </c>
      <c r="E51" s="301">
        <f>E50*E49</f>
        <v>83558.474999999991</v>
      </c>
      <c r="G51" s="301">
        <f t="shared" ref="G51" si="39">G50*G49</f>
        <v>51172.105359374997</v>
      </c>
      <c r="H51" s="301">
        <f>H50*H49</f>
        <v>56524.038749102794</v>
      </c>
      <c r="I51" s="301">
        <f t="shared" ref="I51" si="40">I50*I49</f>
        <v>91301.45899581589</v>
      </c>
      <c r="J51" s="301">
        <f>J50*J49</f>
        <v>90593.396607431321</v>
      </c>
      <c r="K51" s="301">
        <f t="shared" ref="K51" si="41">K50*K49</f>
        <v>93658.95</v>
      </c>
      <c r="L51" s="301">
        <f>L50*L49</f>
        <v>140544.64285714287</v>
      </c>
      <c r="M51" s="301">
        <f>M50*M49</f>
        <v>52470</v>
      </c>
      <c r="N51" s="301">
        <f t="shared" ref="N51" si="42">N50*N49</f>
        <v>227142.63</v>
      </c>
      <c r="O51" s="301">
        <f>O50*O49</f>
        <v>67985.289635036504</v>
      </c>
      <c r="P51" s="301">
        <f t="shared" ref="P51:Q51" si="43">P50*P49</f>
        <v>49922.912621359232</v>
      </c>
      <c r="Q51" s="301">
        <f t="shared" si="43"/>
        <v>151788.21428571432</v>
      </c>
      <c r="R51" s="301">
        <f>R50*R49</f>
        <v>157410</v>
      </c>
      <c r="S51" s="301">
        <f>S50*S49</f>
        <v>52786.847826086952</v>
      </c>
      <c r="T51" s="301">
        <f t="shared" ref="T51:AA51" si="44">T50*T49</f>
        <v>63138.899999999994</v>
      </c>
      <c r="U51" s="301">
        <f t="shared" si="44"/>
        <v>9125.185003779934</v>
      </c>
      <c r="V51" s="301">
        <f t="shared" si="44"/>
        <v>68070.949720670411</v>
      </c>
      <c r="W51" s="301">
        <f t="shared" si="44"/>
        <v>60401.511627906977</v>
      </c>
      <c r="X51" s="301">
        <f t="shared" si="44"/>
        <v>54109.687500000007</v>
      </c>
      <c r="Y51" s="301">
        <f t="shared" si="44"/>
        <v>117087.27228465941</v>
      </c>
      <c r="Z51" s="301">
        <f t="shared" si="44"/>
        <v>52419.058252427196</v>
      </c>
      <c r="AA51" s="301">
        <f t="shared" si="44"/>
        <v>50941.851973551624</v>
      </c>
    </row>
    <row r="52" spans="1:27">
      <c r="A52" s="130" t="s">
        <v>257</v>
      </c>
      <c r="B52" s="115"/>
      <c r="C52" s="131">
        <v>1</v>
      </c>
      <c r="D52" s="131">
        <v>0.98</v>
      </c>
      <c r="E52" s="131">
        <v>0.95</v>
      </c>
      <c r="G52" s="131">
        <v>0.95</v>
      </c>
      <c r="H52" s="131">
        <v>1.1000000000000001</v>
      </c>
      <c r="I52" s="131">
        <v>0.98</v>
      </c>
      <c r="J52" s="131">
        <v>1</v>
      </c>
      <c r="K52" s="131">
        <v>1</v>
      </c>
      <c r="L52" s="131">
        <v>0.95</v>
      </c>
      <c r="M52" s="131">
        <v>0.98</v>
      </c>
      <c r="N52" s="131">
        <v>0.98</v>
      </c>
      <c r="O52" s="131">
        <v>1</v>
      </c>
      <c r="P52" s="131">
        <v>0.98</v>
      </c>
      <c r="Q52" s="131">
        <v>1</v>
      </c>
      <c r="R52" s="131">
        <v>1</v>
      </c>
      <c r="S52" s="131">
        <v>1</v>
      </c>
      <c r="T52" s="131">
        <v>1</v>
      </c>
      <c r="U52" s="131">
        <v>1</v>
      </c>
      <c r="V52" s="131">
        <v>0.95</v>
      </c>
      <c r="W52" s="131">
        <v>0.95</v>
      </c>
      <c r="X52" s="131">
        <v>0.95</v>
      </c>
      <c r="Y52" s="131">
        <v>0.95</v>
      </c>
      <c r="Z52" s="131">
        <v>0.95</v>
      </c>
      <c r="AA52" s="131">
        <v>1</v>
      </c>
    </row>
    <row r="53" spans="1:27" ht="15">
      <c r="A53" s="132" t="s">
        <v>352</v>
      </c>
      <c r="B53" s="133"/>
      <c r="C53" s="301">
        <f>C52*C51</f>
        <v>80797.5</v>
      </c>
      <c r="D53" s="301">
        <f>D52*D51</f>
        <v>106897.83582089553</v>
      </c>
      <c r="E53" s="301">
        <f>E52*E51</f>
        <v>79380.55124999999</v>
      </c>
      <c r="G53" s="301">
        <f t="shared" ref="G53" si="45">G52*G51</f>
        <v>48613.500091406248</v>
      </c>
      <c r="H53" s="301">
        <f>H52*H51</f>
        <v>62176.442624013078</v>
      </c>
      <c r="I53" s="301">
        <f t="shared" ref="I53" si="46">I52*I51</f>
        <v>89475.429815899566</v>
      </c>
      <c r="J53" s="301">
        <f>J52*J51</f>
        <v>90593.396607431321</v>
      </c>
      <c r="K53" s="301">
        <f t="shared" ref="K53" si="47">K52*K51</f>
        <v>93658.95</v>
      </c>
      <c r="L53" s="301">
        <f>L52*L51</f>
        <v>133517.41071428571</v>
      </c>
      <c r="M53" s="301">
        <f>M52*M51</f>
        <v>51420.6</v>
      </c>
      <c r="N53" s="301">
        <f t="shared" ref="N53" si="48">N52*N51</f>
        <v>222599.77739999999</v>
      </c>
      <c r="O53" s="301">
        <f>O52*O51</f>
        <v>67985.289635036504</v>
      </c>
      <c r="P53" s="301">
        <f t="shared" ref="P53:Q53" si="49">P52*P51</f>
        <v>48924.454368932049</v>
      </c>
      <c r="Q53" s="301">
        <f t="shared" si="49"/>
        <v>151788.21428571432</v>
      </c>
      <c r="R53" s="301">
        <f>R52*R51</f>
        <v>157410</v>
      </c>
      <c r="S53" s="301">
        <f>S52*S51</f>
        <v>52786.847826086952</v>
      </c>
      <c r="T53" s="301">
        <f t="shared" ref="T53:AA53" si="50">T52*T51</f>
        <v>63138.899999999994</v>
      </c>
      <c r="U53" s="301">
        <f t="shared" si="50"/>
        <v>9125.185003779934</v>
      </c>
      <c r="V53" s="301">
        <f t="shared" si="50"/>
        <v>64667.402234636887</v>
      </c>
      <c r="W53" s="301">
        <f t="shared" si="50"/>
        <v>57381.436046511626</v>
      </c>
      <c r="X53" s="301">
        <f t="shared" si="50"/>
        <v>51404.203125000007</v>
      </c>
      <c r="Y53" s="301">
        <f t="shared" si="50"/>
        <v>111232.90867042643</v>
      </c>
      <c r="Z53" s="301">
        <f t="shared" si="50"/>
        <v>49798.105339805836</v>
      </c>
      <c r="AA53" s="301">
        <f t="shared" si="50"/>
        <v>50941.851973551624</v>
      </c>
    </row>
    <row r="54" spans="1:27">
      <c r="A54" s="130" t="s">
        <v>258</v>
      </c>
      <c r="B54" s="133"/>
      <c r="C54" s="131">
        <f>MROUND(C122,0.02)</f>
        <v>1.02</v>
      </c>
      <c r="D54" s="131">
        <f>MROUND(D122,0.02)</f>
        <v>1.08</v>
      </c>
      <c r="E54" s="131">
        <f>MROUND(E122,0.02)</f>
        <v>0.98</v>
      </c>
      <c r="G54" s="131">
        <f t="shared" ref="G54" si="51">MROUND(G122,0.02)</f>
        <v>1.06</v>
      </c>
      <c r="H54" s="131">
        <f>MROUND(H122,0.02)</f>
        <v>1</v>
      </c>
      <c r="I54" s="131">
        <f t="shared" ref="I54" si="52">MROUND(I122,0.02)</f>
        <v>1.52</v>
      </c>
      <c r="J54" s="131">
        <f>MROUND(J122,0.01)</f>
        <v>0.96</v>
      </c>
      <c r="K54" s="131">
        <f t="shared" ref="K54" si="53">MROUND(K122,0.02)</f>
        <v>1.24</v>
      </c>
      <c r="L54" s="131">
        <f>MROUND(L122,0.02)</f>
        <v>1.54</v>
      </c>
      <c r="M54" s="131">
        <f>MROUND(M122,0.02)</f>
        <v>1.48</v>
      </c>
      <c r="N54" s="131">
        <f t="shared" ref="N54" si="54">MROUND(N122,0.02)</f>
        <v>1.08</v>
      </c>
      <c r="O54" s="131">
        <f>MROUND(O122,0.02)</f>
        <v>1</v>
      </c>
      <c r="P54" s="131">
        <f>MROUND(P122,0.01)</f>
        <v>1.07</v>
      </c>
      <c r="Q54" s="131">
        <v>1</v>
      </c>
      <c r="R54" s="131">
        <v>1</v>
      </c>
      <c r="S54" s="131">
        <v>1</v>
      </c>
      <c r="T54" s="131">
        <f t="shared" ref="T54:AA54" si="55">MROUND(T122,0.01)</f>
        <v>0.96</v>
      </c>
      <c r="U54" s="131">
        <f t="shared" si="55"/>
        <v>1.21</v>
      </c>
      <c r="V54" s="131">
        <f t="shared" si="55"/>
        <v>1.37</v>
      </c>
      <c r="W54" s="131">
        <f t="shared" si="55"/>
        <v>1</v>
      </c>
      <c r="X54" s="131">
        <f t="shared" si="55"/>
        <v>1.01</v>
      </c>
      <c r="Y54" s="131">
        <f t="shared" si="55"/>
        <v>0.81</v>
      </c>
      <c r="Z54" s="131">
        <f t="shared" si="55"/>
        <v>1.07</v>
      </c>
      <c r="AA54" s="131">
        <f t="shared" si="55"/>
        <v>1.04</v>
      </c>
    </row>
    <row r="55" spans="1:27" s="300" customFormat="1" ht="15" hidden="1" outlineLevel="1">
      <c r="A55" s="123" t="s">
        <v>352</v>
      </c>
      <c r="B55" s="124"/>
      <c r="C55" s="302">
        <f>C54*C53</f>
        <v>82413.45</v>
      </c>
      <c r="D55" s="302">
        <f>D54*D53</f>
        <v>115449.66268656719</v>
      </c>
      <c r="E55" s="302">
        <f>E54*E53</f>
        <v>77792.940224999984</v>
      </c>
      <c r="G55" s="302">
        <f t="shared" ref="G55" si="56">G54*G53</f>
        <v>51530.310096890622</v>
      </c>
      <c r="H55" s="302">
        <f>H54*H53</f>
        <v>62176.442624013078</v>
      </c>
      <c r="I55" s="302">
        <f t="shared" ref="I55" si="57">I54*I53</f>
        <v>136002.65332016733</v>
      </c>
      <c r="J55" s="302">
        <f>J54*J53</f>
        <v>86969.660743134067</v>
      </c>
      <c r="K55" s="302">
        <f t="shared" ref="K55" si="58">K54*K53</f>
        <v>116137.098</v>
      </c>
      <c r="L55" s="302">
        <f>L54*L53</f>
        <v>205616.8125</v>
      </c>
      <c r="M55" s="302">
        <f>M54*M53</f>
        <v>76102.487999999998</v>
      </c>
      <c r="N55" s="302">
        <f t="shared" ref="N55" si="59">N54*N53</f>
        <v>240407.75959200002</v>
      </c>
      <c r="O55" s="302">
        <f>O54*O53</f>
        <v>67985.289635036504</v>
      </c>
      <c r="P55" s="302">
        <f t="shared" ref="P55:Q55" si="60">P54*P53</f>
        <v>52349.166174757294</v>
      </c>
      <c r="Q55" s="302">
        <f t="shared" si="60"/>
        <v>151788.21428571432</v>
      </c>
      <c r="R55" s="302">
        <f>R54*R53</f>
        <v>157410</v>
      </c>
      <c r="S55" s="302">
        <f>S54*S53</f>
        <v>52786.847826086952</v>
      </c>
      <c r="T55" s="302">
        <f t="shared" ref="T55:AA55" si="61">T54*T53</f>
        <v>60613.34399999999</v>
      </c>
      <c r="U55" s="302">
        <f t="shared" si="61"/>
        <v>11041.47385457372</v>
      </c>
      <c r="V55" s="302">
        <f t="shared" si="61"/>
        <v>88594.341061452549</v>
      </c>
      <c r="W55" s="302">
        <f t="shared" si="61"/>
        <v>57381.436046511626</v>
      </c>
      <c r="X55" s="302">
        <f t="shared" si="61"/>
        <v>51918.245156250006</v>
      </c>
      <c r="Y55" s="302">
        <f t="shared" si="61"/>
        <v>90098.65602304542</v>
      </c>
      <c r="Z55" s="302">
        <f t="shared" si="61"/>
        <v>53283.972713592244</v>
      </c>
      <c r="AA55" s="302">
        <f t="shared" si="61"/>
        <v>52979.526052493689</v>
      </c>
    </row>
    <row r="56" spans="1:27" s="300" customFormat="1" hidden="1" outlineLevel="1">
      <c r="A56" s="120" t="s">
        <v>487</v>
      </c>
      <c r="B56" s="121"/>
      <c r="C56" s="122">
        <v>1</v>
      </c>
      <c r="D56" s="122">
        <v>1</v>
      </c>
      <c r="E56" s="122">
        <v>1</v>
      </c>
      <c r="G56" s="122">
        <v>1</v>
      </c>
      <c r="H56" s="122">
        <v>1</v>
      </c>
      <c r="I56" s="122">
        <v>1</v>
      </c>
      <c r="J56" s="122">
        <v>1</v>
      </c>
      <c r="K56" s="122">
        <v>1</v>
      </c>
      <c r="L56" s="122">
        <v>1</v>
      </c>
      <c r="M56" s="122">
        <v>1</v>
      </c>
      <c r="N56" s="122">
        <v>1</v>
      </c>
      <c r="O56" s="122">
        <v>1</v>
      </c>
      <c r="P56" s="122">
        <v>1</v>
      </c>
      <c r="Q56" s="122">
        <v>1</v>
      </c>
      <c r="R56" s="122">
        <v>1</v>
      </c>
      <c r="S56" s="122">
        <v>1</v>
      </c>
      <c r="T56" s="122">
        <v>1</v>
      </c>
      <c r="U56" s="122">
        <v>1</v>
      </c>
      <c r="V56" s="122">
        <v>1</v>
      </c>
      <c r="W56" s="122">
        <v>1</v>
      </c>
      <c r="X56" s="122">
        <v>1</v>
      </c>
      <c r="Y56" s="122">
        <v>1</v>
      </c>
      <c r="Z56" s="122">
        <v>1</v>
      </c>
      <c r="AA56" s="122">
        <v>1</v>
      </c>
    </row>
    <row r="57" spans="1:27" ht="15" collapsed="1">
      <c r="A57" s="132" t="s">
        <v>352</v>
      </c>
      <c r="B57" s="133"/>
      <c r="C57" s="301">
        <f>C56*C55</f>
        <v>82413.45</v>
      </c>
      <c r="D57" s="301">
        <f>D56*D55</f>
        <v>115449.66268656719</v>
      </c>
      <c r="E57" s="301">
        <f>E56*E55</f>
        <v>77792.940224999984</v>
      </c>
      <c r="G57" s="301">
        <f t="shared" ref="G57" si="62">G56*G55</f>
        <v>51530.310096890622</v>
      </c>
      <c r="H57" s="301">
        <f>H56*H55</f>
        <v>62176.442624013078</v>
      </c>
      <c r="I57" s="301">
        <f t="shared" ref="I57" si="63">I56*I55</f>
        <v>136002.65332016733</v>
      </c>
      <c r="J57" s="301">
        <f>J56*J55</f>
        <v>86969.660743134067</v>
      </c>
      <c r="K57" s="301">
        <f t="shared" ref="K57" si="64">K56*K55</f>
        <v>116137.098</v>
      </c>
      <c r="L57" s="301">
        <f>L56*L55</f>
        <v>205616.8125</v>
      </c>
      <c r="M57" s="301">
        <f>M56*M55</f>
        <v>76102.487999999998</v>
      </c>
      <c r="N57" s="301">
        <f t="shared" ref="N57" si="65">N56*N55</f>
        <v>240407.75959200002</v>
      </c>
      <c r="O57" s="301">
        <f>O56*O55</f>
        <v>67985.289635036504</v>
      </c>
      <c r="P57" s="301">
        <f t="shared" ref="P57:Q57" si="66">P56*P55</f>
        <v>52349.166174757294</v>
      </c>
      <c r="Q57" s="301">
        <f t="shared" si="66"/>
        <v>151788.21428571432</v>
      </c>
      <c r="R57" s="301">
        <f>R56*R55</f>
        <v>157410</v>
      </c>
      <c r="S57" s="301">
        <f>S56*S55</f>
        <v>52786.847826086952</v>
      </c>
      <c r="T57" s="301">
        <f t="shared" ref="T57:AA57" si="67">T56*T55</f>
        <v>60613.34399999999</v>
      </c>
      <c r="U57" s="301">
        <f t="shared" si="67"/>
        <v>11041.47385457372</v>
      </c>
      <c r="V57" s="301">
        <f t="shared" si="67"/>
        <v>88594.341061452549</v>
      </c>
      <c r="W57" s="301">
        <f t="shared" si="67"/>
        <v>57381.436046511626</v>
      </c>
      <c r="X57" s="301">
        <f t="shared" si="67"/>
        <v>51918.245156250006</v>
      </c>
      <c r="Y57" s="301">
        <f t="shared" si="67"/>
        <v>90098.65602304542</v>
      </c>
      <c r="Z57" s="301">
        <f t="shared" si="67"/>
        <v>53283.972713592244</v>
      </c>
      <c r="AA57" s="301">
        <f t="shared" si="67"/>
        <v>52979.526052493689</v>
      </c>
    </row>
    <row r="58" spans="1:27">
      <c r="A58" s="130" t="s">
        <v>267</v>
      </c>
      <c r="B58" s="133"/>
      <c r="C58" s="131">
        <v>0.9</v>
      </c>
      <c r="D58" s="131">
        <v>0.85</v>
      </c>
      <c r="E58" s="131">
        <v>0.85</v>
      </c>
      <c r="G58" s="131">
        <v>0.82</v>
      </c>
      <c r="H58" s="131">
        <v>0.88</v>
      </c>
      <c r="I58" s="131">
        <v>0.8</v>
      </c>
      <c r="J58" s="131">
        <v>0.85</v>
      </c>
      <c r="K58" s="131">
        <v>0.85</v>
      </c>
      <c r="L58" s="131">
        <v>0.82</v>
      </c>
      <c r="M58" s="131">
        <v>0.82</v>
      </c>
      <c r="N58" s="131">
        <v>0.82</v>
      </c>
      <c r="O58" s="131">
        <v>0.82</v>
      </c>
      <c r="P58" s="131">
        <v>0.88</v>
      </c>
      <c r="Q58" s="131">
        <v>0.9</v>
      </c>
      <c r="R58" s="131">
        <v>0.85</v>
      </c>
      <c r="S58" s="131">
        <v>0.8</v>
      </c>
      <c r="T58" s="131">
        <v>0.9</v>
      </c>
      <c r="U58" s="131">
        <v>0.95</v>
      </c>
      <c r="V58" s="131">
        <v>0.82</v>
      </c>
      <c r="W58" s="131">
        <v>0.92</v>
      </c>
      <c r="X58" s="131">
        <v>0.82</v>
      </c>
      <c r="Y58" s="131">
        <v>0.82</v>
      </c>
      <c r="Z58" s="131">
        <v>0.9</v>
      </c>
      <c r="AA58" s="131">
        <v>0.85</v>
      </c>
    </row>
    <row r="59" spans="1:27" ht="15">
      <c r="A59" s="132" t="s">
        <v>352</v>
      </c>
      <c r="B59" s="133"/>
      <c r="C59" s="301">
        <f>C58*C57</f>
        <v>74172.104999999996</v>
      </c>
      <c r="D59" s="301">
        <f>D58*D57</f>
        <v>98132.21328358211</v>
      </c>
      <c r="E59" s="301">
        <f>E58*E57</f>
        <v>66123.999191249983</v>
      </c>
      <c r="G59" s="301">
        <f t="shared" ref="G59" si="68">G58*G57</f>
        <v>42254.854279450308</v>
      </c>
      <c r="H59" s="301">
        <f>H58*H57</f>
        <v>54715.269509131511</v>
      </c>
      <c r="I59" s="301">
        <f t="shared" ref="I59" si="69">I58*I57</f>
        <v>108802.12265613387</v>
      </c>
      <c r="J59" s="301">
        <f>J58*J57</f>
        <v>73924.211631663959</v>
      </c>
      <c r="K59" s="301">
        <f t="shared" ref="K59" si="70">K58*K57</f>
        <v>98716.533299999996</v>
      </c>
      <c r="L59" s="301">
        <f>L58*L57</f>
        <v>168605.78624999998</v>
      </c>
      <c r="M59" s="301">
        <f>M58*M57</f>
        <v>62404.040159999997</v>
      </c>
      <c r="N59" s="301">
        <f t="shared" ref="N59" si="71">N58*N57</f>
        <v>197134.36286543999</v>
      </c>
      <c r="O59" s="301">
        <f>O58*O57</f>
        <v>55747.937500729931</v>
      </c>
      <c r="P59" s="301">
        <f>P58*P57</f>
        <v>46067.266233786417</v>
      </c>
      <c r="Q59" s="301">
        <f>Q58*Q57</f>
        <v>136609.3928571429</v>
      </c>
      <c r="R59" s="301">
        <f t="shared" ref="R59:S59" si="72">R58*R57</f>
        <v>133798.5</v>
      </c>
      <c r="S59" s="301">
        <f t="shared" si="72"/>
        <v>42229.478260869568</v>
      </c>
      <c r="T59" s="301">
        <f>T58*T57</f>
        <v>54552.00959999999</v>
      </c>
      <c r="U59" s="301">
        <f t="shared" ref="U59:V59" si="73">U58*U57</f>
        <v>10489.400161845033</v>
      </c>
      <c r="V59" s="301">
        <f t="shared" si="73"/>
        <v>72647.359670391088</v>
      </c>
      <c r="W59" s="301">
        <f>W58*W57</f>
        <v>52790.921162790699</v>
      </c>
      <c r="X59" s="301">
        <f t="shared" ref="X59:Y59" si="74">X58*X57</f>
        <v>42572.961028125006</v>
      </c>
      <c r="Y59" s="301">
        <f t="shared" si="74"/>
        <v>73880.897938897237</v>
      </c>
      <c r="Z59" s="301">
        <f>Z58*Z57</f>
        <v>47955.575442233021</v>
      </c>
      <c r="AA59" s="301">
        <f>AA58*AA57</f>
        <v>45032.597144619634</v>
      </c>
    </row>
    <row r="60" spans="1:27">
      <c r="A60" s="130" t="s">
        <v>488</v>
      </c>
      <c r="B60" s="115"/>
      <c r="C60" s="131">
        <v>0.95</v>
      </c>
      <c r="D60" s="131">
        <v>0.95</v>
      </c>
      <c r="E60" s="131">
        <v>0.95</v>
      </c>
      <c r="G60" s="131">
        <v>0.95</v>
      </c>
      <c r="H60" s="131">
        <v>0.95</v>
      </c>
      <c r="I60" s="131">
        <v>0.95</v>
      </c>
      <c r="J60" s="131">
        <v>0.95</v>
      </c>
      <c r="K60" s="131">
        <v>0.95</v>
      </c>
      <c r="L60" s="131">
        <v>0.95</v>
      </c>
      <c r="M60" s="131">
        <v>0.95</v>
      </c>
      <c r="N60" s="131">
        <v>0.95</v>
      </c>
      <c r="O60" s="131">
        <v>0.95</v>
      </c>
      <c r="P60" s="131">
        <v>0.95</v>
      </c>
      <c r="Q60" s="131">
        <v>1</v>
      </c>
      <c r="R60" s="131">
        <v>1</v>
      </c>
      <c r="S60" s="131">
        <v>1</v>
      </c>
      <c r="T60" s="131">
        <v>1</v>
      </c>
      <c r="U60" s="131">
        <v>1</v>
      </c>
      <c r="V60" s="131">
        <v>1</v>
      </c>
      <c r="W60" s="131">
        <v>0.95</v>
      </c>
      <c r="X60" s="131">
        <v>0.95</v>
      </c>
      <c r="Y60" s="131">
        <v>0.95</v>
      </c>
      <c r="Z60" s="131">
        <v>0.95</v>
      </c>
      <c r="AA60" s="131">
        <v>0.95</v>
      </c>
    </row>
    <row r="61" spans="1:27" ht="15">
      <c r="A61" s="132" t="s">
        <v>352</v>
      </c>
      <c r="B61" s="133"/>
      <c r="C61" s="301">
        <f>C60*C59</f>
        <v>70463.499749999988</v>
      </c>
      <c r="D61" s="301">
        <f>D60*D59</f>
        <v>93225.602619402998</v>
      </c>
      <c r="E61" s="301">
        <f>E60*E59</f>
        <v>62817.799231687481</v>
      </c>
      <c r="G61" s="301">
        <f t="shared" ref="G61" si="75">G60*G59</f>
        <v>40142.11156547779</v>
      </c>
      <c r="H61" s="301">
        <f>H60*H59</f>
        <v>51979.50603367493</v>
      </c>
      <c r="I61" s="301">
        <f t="shared" ref="I61" si="76">I60*I59</f>
        <v>103362.01652332717</v>
      </c>
      <c r="J61" s="301">
        <f>J60*J59</f>
        <v>70228.001050080755</v>
      </c>
      <c r="K61" s="301">
        <f t="shared" ref="K61" si="77">K60*K59</f>
        <v>93780.706634999995</v>
      </c>
      <c r="L61" s="301">
        <f>L60*L59</f>
        <v>160175.49693749996</v>
      </c>
      <c r="M61" s="301">
        <f>M60*M59</f>
        <v>59283.838151999997</v>
      </c>
      <c r="N61" s="301">
        <f t="shared" ref="N61" si="78">N60*N59</f>
        <v>187277.64472216798</v>
      </c>
      <c r="O61" s="301">
        <f>O60*O59</f>
        <v>52960.540625693429</v>
      </c>
      <c r="P61" s="301">
        <f t="shared" ref="P61:Q61" si="79">P60*P59</f>
        <v>43763.902922097092</v>
      </c>
      <c r="Q61" s="301">
        <f t="shared" si="79"/>
        <v>136609.3928571429</v>
      </c>
      <c r="R61" s="301">
        <f>R60*R59</f>
        <v>133798.5</v>
      </c>
      <c r="S61" s="301">
        <f>S60*S59</f>
        <v>42229.478260869568</v>
      </c>
      <c r="T61" s="301">
        <f t="shared" ref="T61:AA61" si="80">T60*T59</f>
        <v>54552.00959999999</v>
      </c>
      <c r="U61" s="301">
        <f t="shared" si="80"/>
        <v>10489.400161845033</v>
      </c>
      <c r="V61" s="301">
        <f t="shared" si="80"/>
        <v>72647.359670391088</v>
      </c>
      <c r="W61" s="301">
        <f t="shared" si="80"/>
        <v>50151.375104651161</v>
      </c>
      <c r="X61" s="301">
        <f t="shared" si="80"/>
        <v>40444.312976718757</v>
      </c>
      <c r="Y61" s="301">
        <f t="shared" si="80"/>
        <v>70186.853041952374</v>
      </c>
      <c r="Z61" s="301">
        <f t="shared" si="80"/>
        <v>45557.796670121366</v>
      </c>
      <c r="AA61" s="301">
        <f t="shared" si="80"/>
        <v>42780.967287388652</v>
      </c>
    </row>
    <row r="62" spans="1:27">
      <c r="A62" s="130" t="s">
        <v>261</v>
      </c>
      <c r="B62" s="133"/>
      <c r="C62" s="428">
        <f>Выжимка!L48</f>
        <v>0.73154362416107377</v>
      </c>
      <c r="D62" s="428">
        <f>Выжимка!L48</f>
        <v>0.73154362416107377</v>
      </c>
      <c r="E62" s="428">
        <f>Выжимка!M48</f>
        <v>0.84496124031007747</v>
      </c>
      <c r="G62" s="131">
        <v>1</v>
      </c>
      <c r="H62" s="131">
        <v>1</v>
      </c>
      <c r="I62" s="131">
        <v>0.9</v>
      </c>
      <c r="J62" s="131">
        <v>1</v>
      </c>
      <c r="K62" s="131">
        <v>1</v>
      </c>
      <c r="L62" s="131">
        <v>0.95</v>
      </c>
      <c r="M62" s="131">
        <v>1</v>
      </c>
      <c r="N62" s="131">
        <v>1</v>
      </c>
      <c r="O62" s="131">
        <v>0.95</v>
      </c>
      <c r="P62" s="131">
        <v>1</v>
      </c>
      <c r="Q62" s="131">
        <v>1</v>
      </c>
      <c r="R62" s="131">
        <v>1</v>
      </c>
      <c r="S62" s="131">
        <v>1</v>
      </c>
      <c r="T62" s="131">
        <v>1</v>
      </c>
      <c r="U62" s="131">
        <v>1</v>
      </c>
      <c r="V62" s="131">
        <v>1</v>
      </c>
      <c r="W62" s="131">
        <v>1</v>
      </c>
      <c r="X62" s="131">
        <v>1</v>
      </c>
      <c r="Y62" s="131">
        <v>1</v>
      </c>
      <c r="Z62" s="131">
        <v>0.95</v>
      </c>
      <c r="AA62" s="131">
        <v>0.9</v>
      </c>
    </row>
    <row r="63" spans="1:27" ht="15">
      <c r="A63" s="132" t="s">
        <v>352</v>
      </c>
      <c r="B63" s="133"/>
      <c r="C63" s="301">
        <f>C62*C61</f>
        <v>51547.123978187905</v>
      </c>
      <c r="D63" s="301">
        <f>D62*D61</f>
        <v>68198.595204798155</v>
      </c>
      <c r="E63" s="301">
        <f>E62*E61</f>
        <v>53078.605552356086</v>
      </c>
      <c r="G63" s="301">
        <f t="shared" ref="G63" si="81">G62*G61</f>
        <v>40142.11156547779</v>
      </c>
      <c r="H63" s="301">
        <f>H62*H61</f>
        <v>51979.50603367493</v>
      </c>
      <c r="I63" s="301">
        <f t="shared" ref="I63" si="82">I62*I61</f>
        <v>93025.814870994451</v>
      </c>
      <c r="J63" s="301">
        <f>J62*J61</f>
        <v>70228.001050080755</v>
      </c>
      <c r="K63" s="301">
        <f t="shared" ref="K63" si="83">K62*K61</f>
        <v>93780.706634999995</v>
      </c>
      <c r="L63" s="301">
        <f>L62*L61</f>
        <v>152166.72209062497</v>
      </c>
      <c r="M63" s="301">
        <f>M62*M61</f>
        <v>59283.838151999997</v>
      </c>
      <c r="N63" s="301">
        <f t="shared" ref="N63" si="84">N62*N61</f>
        <v>187277.64472216798</v>
      </c>
      <c r="O63" s="301">
        <f>O62*O61</f>
        <v>50312.513594408752</v>
      </c>
      <c r="P63" s="301">
        <f t="shared" ref="P63:Q63" si="85">P62*P61</f>
        <v>43763.902922097092</v>
      </c>
      <c r="Q63" s="301">
        <f t="shared" si="85"/>
        <v>136609.3928571429</v>
      </c>
      <c r="R63" s="301">
        <f>R62*R61</f>
        <v>133798.5</v>
      </c>
      <c r="S63" s="301">
        <f>S62*S61</f>
        <v>42229.478260869568</v>
      </c>
      <c r="T63" s="301">
        <f t="shared" ref="T63:AA63" si="86">T62*T61</f>
        <v>54552.00959999999</v>
      </c>
      <c r="U63" s="301">
        <f t="shared" si="86"/>
        <v>10489.400161845033</v>
      </c>
      <c r="V63" s="301">
        <f t="shared" si="86"/>
        <v>72647.359670391088</v>
      </c>
      <c r="W63" s="301">
        <f t="shared" si="86"/>
        <v>50151.375104651161</v>
      </c>
      <c r="X63" s="301">
        <f t="shared" si="86"/>
        <v>40444.312976718757</v>
      </c>
      <c r="Y63" s="301">
        <f t="shared" si="86"/>
        <v>70186.853041952374</v>
      </c>
      <c r="Z63" s="301">
        <f t="shared" si="86"/>
        <v>43279.906836615293</v>
      </c>
      <c r="AA63" s="301">
        <f t="shared" si="86"/>
        <v>38502.870558649789</v>
      </c>
    </row>
    <row r="64" spans="1:27">
      <c r="A64" s="130" t="s">
        <v>260</v>
      </c>
      <c r="B64" s="133"/>
      <c r="C64" s="131">
        <v>1</v>
      </c>
      <c r="D64" s="131">
        <v>0.97</v>
      </c>
      <c r="E64" s="131">
        <v>1.0267550459077808</v>
      </c>
      <c r="G64" s="131">
        <v>0.96</v>
      </c>
      <c r="H64" s="131">
        <v>0.98</v>
      </c>
      <c r="I64" s="131">
        <v>0.92</v>
      </c>
      <c r="J64" s="131">
        <v>0.94</v>
      </c>
      <c r="K64" s="131">
        <v>0.96</v>
      </c>
      <c r="L64" s="131">
        <v>0.92</v>
      </c>
      <c r="M64" s="131">
        <v>1</v>
      </c>
      <c r="N64" s="131">
        <v>1</v>
      </c>
      <c r="O64" s="131">
        <v>1.08</v>
      </c>
      <c r="P64" s="131">
        <v>0.98</v>
      </c>
      <c r="Q64" s="131">
        <v>1</v>
      </c>
      <c r="R64" s="131">
        <v>1</v>
      </c>
      <c r="S64" s="131">
        <v>1</v>
      </c>
      <c r="T64" s="131">
        <v>1.05</v>
      </c>
      <c r="U64" s="131">
        <v>1</v>
      </c>
      <c r="V64" s="131">
        <v>1</v>
      </c>
      <c r="W64" s="131">
        <v>1.02</v>
      </c>
      <c r="X64" s="131">
        <v>1.02</v>
      </c>
      <c r="Y64" s="131">
        <v>1</v>
      </c>
      <c r="Z64" s="131">
        <v>0.98</v>
      </c>
      <c r="AA64" s="131">
        <v>1.05</v>
      </c>
    </row>
    <row r="65" spans="1:27" ht="15">
      <c r="A65" s="132" t="s">
        <v>352</v>
      </c>
      <c r="B65" s="133"/>
      <c r="C65" s="301">
        <f>C64*C63</f>
        <v>51547.123978187905</v>
      </c>
      <c r="D65" s="301">
        <f>D64*D63</f>
        <v>66152.637348654214</v>
      </c>
      <c r="E65" s="301">
        <f>E64*E63</f>
        <v>54498.72608063036</v>
      </c>
      <c r="G65" s="301">
        <f t="shared" ref="G65" si="87">G64*G63</f>
        <v>38536.427102858674</v>
      </c>
      <c r="H65" s="301">
        <f>H64*H63</f>
        <v>50939.91591300143</v>
      </c>
      <c r="I65" s="301">
        <f t="shared" ref="I65" si="88">I64*I63</f>
        <v>85583.749681314905</v>
      </c>
      <c r="J65" s="301">
        <f>J64*J63</f>
        <v>66014.320987075902</v>
      </c>
      <c r="K65" s="301">
        <f t="shared" ref="K65" si="89">K64*K63</f>
        <v>90029.478369599994</v>
      </c>
      <c r="L65" s="301">
        <f>L64*L63</f>
        <v>139993.38432337498</v>
      </c>
      <c r="M65" s="301">
        <f>M64*M63</f>
        <v>59283.838151999997</v>
      </c>
      <c r="N65" s="301">
        <f t="shared" ref="N65" si="90">N64*N63</f>
        <v>187277.64472216798</v>
      </c>
      <c r="O65" s="301">
        <f>O64*O63</f>
        <v>54337.514681961453</v>
      </c>
      <c r="P65" s="301">
        <f t="shared" ref="P65:Q65" si="91">P64*P63</f>
        <v>42888.624863655146</v>
      </c>
      <c r="Q65" s="301">
        <f t="shared" si="91"/>
        <v>136609.3928571429</v>
      </c>
      <c r="R65" s="301">
        <f>R64*R63</f>
        <v>133798.5</v>
      </c>
      <c r="S65" s="301">
        <f>S64*S63</f>
        <v>42229.478260869568</v>
      </c>
      <c r="T65" s="301">
        <f t="shared" ref="T65:AA65" si="92">T64*T63</f>
        <v>57279.610079999991</v>
      </c>
      <c r="U65" s="301">
        <f t="shared" si="92"/>
        <v>10489.400161845033</v>
      </c>
      <c r="V65" s="301">
        <f t="shared" si="92"/>
        <v>72647.359670391088</v>
      </c>
      <c r="W65" s="301">
        <f t="shared" si="92"/>
        <v>51154.402606744188</v>
      </c>
      <c r="X65" s="301">
        <f t="shared" si="92"/>
        <v>41253.199236253131</v>
      </c>
      <c r="Y65" s="301">
        <f t="shared" si="92"/>
        <v>70186.853041952374</v>
      </c>
      <c r="Z65" s="301">
        <f t="shared" si="92"/>
        <v>42414.308699882989</v>
      </c>
      <c r="AA65" s="301">
        <f t="shared" si="92"/>
        <v>40428.014086582283</v>
      </c>
    </row>
    <row r="66" spans="1:27">
      <c r="A66" s="130" t="s">
        <v>262</v>
      </c>
      <c r="B66" s="115"/>
      <c r="C66" s="131">
        <v>1</v>
      </c>
      <c r="D66" s="131">
        <v>1</v>
      </c>
      <c r="E66" s="131">
        <v>1</v>
      </c>
      <c r="G66" s="131">
        <v>1</v>
      </c>
      <c r="H66" s="131">
        <v>1.05</v>
      </c>
      <c r="I66" s="131">
        <v>1</v>
      </c>
      <c r="J66" s="131">
        <v>1</v>
      </c>
      <c r="K66" s="131">
        <v>1</v>
      </c>
      <c r="L66" s="131">
        <v>1</v>
      </c>
      <c r="M66" s="131">
        <v>1</v>
      </c>
      <c r="N66" s="131">
        <v>1</v>
      </c>
      <c r="O66" s="131">
        <v>1.05</v>
      </c>
      <c r="P66" s="131">
        <v>1.05</v>
      </c>
      <c r="Q66" s="131">
        <v>0.95</v>
      </c>
      <c r="R66" s="131">
        <v>1</v>
      </c>
      <c r="S66" s="131">
        <v>1</v>
      </c>
      <c r="T66" s="131">
        <v>1</v>
      </c>
      <c r="U66" s="131">
        <v>1</v>
      </c>
      <c r="V66" s="131">
        <v>1</v>
      </c>
      <c r="W66" s="131">
        <v>1.05</v>
      </c>
      <c r="X66" s="131">
        <v>1.05</v>
      </c>
      <c r="Y66" s="131">
        <v>1</v>
      </c>
      <c r="Z66" s="131">
        <v>1</v>
      </c>
      <c r="AA66" s="131">
        <v>1</v>
      </c>
    </row>
    <row r="67" spans="1:27" ht="15">
      <c r="A67" s="132" t="s">
        <v>352</v>
      </c>
      <c r="B67" s="133"/>
      <c r="C67" s="301">
        <f>C66*C65</f>
        <v>51547.123978187905</v>
      </c>
      <c r="D67" s="301">
        <f>D66*D65</f>
        <v>66152.637348654214</v>
      </c>
      <c r="E67" s="301">
        <f>E66*E65</f>
        <v>54498.72608063036</v>
      </c>
      <c r="G67" s="301">
        <f t="shared" ref="G67" si="93">G66*G65</f>
        <v>38536.427102858674</v>
      </c>
      <c r="H67" s="301">
        <f>H66*H65</f>
        <v>53486.911708651503</v>
      </c>
      <c r="I67" s="301">
        <f t="shared" ref="I67" si="94">I66*I65</f>
        <v>85583.749681314905</v>
      </c>
      <c r="J67" s="301">
        <f>J66*J65</f>
        <v>66014.320987075902</v>
      </c>
      <c r="K67" s="301">
        <f t="shared" ref="K67" si="95">K66*K65</f>
        <v>90029.478369599994</v>
      </c>
      <c r="L67" s="301">
        <f>L66*L65</f>
        <v>139993.38432337498</v>
      </c>
      <c r="M67" s="301">
        <f>M66*M65</f>
        <v>59283.838151999997</v>
      </c>
      <c r="N67" s="301">
        <f t="shared" ref="N67" si="96">N66*N65</f>
        <v>187277.64472216798</v>
      </c>
      <c r="O67" s="301">
        <f>O66*O65</f>
        <v>57054.390416059527</v>
      </c>
      <c r="P67" s="301">
        <f t="shared" ref="P67:Q67" si="97">P66*P65</f>
        <v>45033.056106837903</v>
      </c>
      <c r="Q67" s="301">
        <f t="shared" si="97"/>
        <v>129778.92321428575</v>
      </c>
      <c r="R67" s="301">
        <f>R66*R65</f>
        <v>133798.5</v>
      </c>
      <c r="S67" s="301">
        <f>S66*S65</f>
        <v>42229.478260869568</v>
      </c>
      <c r="T67" s="301">
        <f t="shared" ref="T67:AA67" si="98">T66*T65</f>
        <v>57279.610079999991</v>
      </c>
      <c r="U67" s="301">
        <f t="shared" si="98"/>
        <v>10489.400161845033</v>
      </c>
      <c r="V67" s="301">
        <f t="shared" si="98"/>
        <v>72647.359670391088</v>
      </c>
      <c r="W67" s="301">
        <f t="shared" si="98"/>
        <v>53712.122737081401</v>
      </c>
      <c r="X67" s="301">
        <f t="shared" si="98"/>
        <v>43315.859198065787</v>
      </c>
      <c r="Y67" s="301">
        <f t="shared" si="98"/>
        <v>70186.853041952374</v>
      </c>
      <c r="Z67" s="301">
        <f t="shared" si="98"/>
        <v>42414.308699882989</v>
      </c>
      <c r="AA67" s="301">
        <f t="shared" si="98"/>
        <v>40428.014086582283</v>
      </c>
    </row>
    <row r="68" spans="1:27">
      <c r="A68" s="130" t="s">
        <v>265</v>
      </c>
      <c r="B68" s="115"/>
      <c r="C68" s="131">
        <v>1</v>
      </c>
      <c r="D68" s="131">
        <v>1</v>
      </c>
      <c r="E68" s="131">
        <v>1</v>
      </c>
      <c r="G68" s="131">
        <v>1</v>
      </c>
      <c r="H68" s="131">
        <v>1</v>
      </c>
      <c r="I68" s="131">
        <v>1.02</v>
      </c>
      <c r="J68" s="131">
        <v>1</v>
      </c>
      <c r="K68" s="131">
        <v>1</v>
      </c>
      <c r="L68" s="131">
        <v>1.02</v>
      </c>
      <c r="M68" s="131">
        <v>1.02</v>
      </c>
      <c r="N68" s="131">
        <v>1.02</v>
      </c>
      <c r="O68" s="131">
        <v>1.02</v>
      </c>
      <c r="P68" s="131">
        <v>1</v>
      </c>
      <c r="Q68" s="131">
        <v>1</v>
      </c>
      <c r="R68" s="131">
        <v>1</v>
      </c>
      <c r="S68" s="131">
        <v>1</v>
      </c>
      <c r="T68" s="131">
        <v>1</v>
      </c>
      <c r="U68" s="131">
        <v>1</v>
      </c>
      <c r="V68" s="131">
        <v>1.02</v>
      </c>
      <c r="W68" s="131">
        <v>1</v>
      </c>
      <c r="X68" s="131">
        <v>1.02</v>
      </c>
      <c r="Y68" s="131">
        <v>1.02</v>
      </c>
      <c r="Z68" s="131">
        <v>1</v>
      </c>
      <c r="AA68" s="131">
        <v>1</v>
      </c>
    </row>
    <row r="69" spans="1:27" ht="15">
      <c r="A69" s="132" t="s">
        <v>352</v>
      </c>
      <c r="B69" s="133"/>
      <c r="C69" s="301">
        <f>C68*C67</f>
        <v>51547.123978187905</v>
      </c>
      <c r="D69" s="301">
        <f>D68*D67</f>
        <v>66152.637348654214</v>
      </c>
      <c r="E69" s="301">
        <f>E68*E67</f>
        <v>54498.72608063036</v>
      </c>
      <c r="G69" s="301">
        <f t="shared" ref="G69" si="99">G68*G67</f>
        <v>38536.427102858674</v>
      </c>
      <c r="H69" s="301">
        <f>H68*H67</f>
        <v>53486.911708651503</v>
      </c>
      <c r="I69" s="301">
        <f t="shared" ref="I69" si="100">I68*I67</f>
        <v>87295.424674941198</v>
      </c>
      <c r="J69" s="301">
        <f>J68*J67</f>
        <v>66014.320987075902</v>
      </c>
      <c r="K69" s="301">
        <f t="shared" ref="K69" si="101">K68*K67</f>
        <v>90029.478369599994</v>
      </c>
      <c r="L69" s="301">
        <f>L68*L67</f>
        <v>142793.25200984249</v>
      </c>
      <c r="M69" s="301">
        <f>M68*M67</f>
        <v>60469.514915039996</v>
      </c>
      <c r="N69" s="301">
        <f t="shared" ref="N69" si="102">N68*N67</f>
        <v>191023.19761661135</v>
      </c>
      <c r="O69" s="301">
        <f>O68*O67</f>
        <v>58195.47822438072</v>
      </c>
      <c r="P69" s="301">
        <f t="shared" ref="P69:Q69" si="103">P68*P67</f>
        <v>45033.056106837903</v>
      </c>
      <c r="Q69" s="301">
        <f t="shared" si="103"/>
        <v>129778.92321428575</v>
      </c>
      <c r="R69" s="301">
        <f>R68*R67</f>
        <v>133798.5</v>
      </c>
      <c r="S69" s="301">
        <f>S68*S67</f>
        <v>42229.478260869568</v>
      </c>
      <c r="T69" s="301">
        <f t="shared" ref="T69:AA69" si="104">T68*T67</f>
        <v>57279.610079999991</v>
      </c>
      <c r="U69" s="301">
        <f t="shared" si="104"/>
        <v>10489.400161845033</v>
      </c>
      <c r="V69" s="301">
        <f t="shared" si="104"/>
        <v>74100.306863798905</v>
      </c>
      <c r="W69" s="301">
        <f t="shared" si="104"/>
        <v>53712.122737081401</v>
      </c>
      <c r="X69" s="301">
        <f t="shared" si="104"/>
        <v>44182.176382027101</v>
      </c>
      <c r="Y69" s="301">
        <f t="shared" si="104"/>
        <v>71590.590102791422</v>
      </c>
      <c r="Z69" s="301">
        <f t="shared" si="104"/>
        <v>42414.308699882989</v>
      </c>
      <c r="AA69" s="301">
        <f t="shared" si="104"/>
        <v>40428.014086582283</v>
      </c>
    </row>
    <row r="70" spans="1:27">
      <c r="A70" s="130" t="s">
        <v>266</v>
      </c>
      <c r="B70" s="115"/>
      <c r="C70" s="131">
        <f>C131</f>
        <v>0.96</v>
      </c>
      <c r="D70" s="131">
        <f>D131</f>
        <v>0.9</v>
      </c>
      <c r="E70" s="131">
        <f>E131</f>
        <v>0.96</v>
      </c>
      <c r="G70" s="131">
        <f t="shared" ref="G70" si="105">G131</f>
        <v>1.28</v>
      </c>
      <c r="H70" s="131">
        <f>H131</f>
        <v>1.02</v>
      </c>
      <c r="I70" s="131">
        <f t="shared" ref="I70" si="106">I131</f>
        <v>1.1200000000000001</v>
      </c>
      <c r="J70" s="131">
        <v>0.9</v>
      </c>
      <c r="K70" s="131">
        <f>K131</f>
        <v>1.08</v>
      </c>
      <c r="L70" s="131">
        <f>L131</f>
        <v>1.08</v>
      </c>
      <c r="M70" s="131">
        <f>M131</f>
        <v>1.18</v>
      </c>
      <c r="N70" s="131">
        <f>N131</f>
        <v>0.38</v>
      </c>
      <c r="O70" s="131">
        <f t="shared" ref="O70" si="107">O131</f>
        <v>1</v>
      </c>
      <c r="P70" s="131">
        <f>P131</f>
        <v>1.1000000000000001</v>
      </c>
      <c r="Q70" s="131">
        <v>0.85</v>
      </c>
      <c r="R70" s="131">
        <v>0.8</v>
      </c>
      <c r="S70" s="131">
        <v>0.7</v>
      </c>
      <c r="T70" s="131">
        <f>MROUND(T131,0.02)</f>
        <v>1.1200000000000001</v>
      </c>
      <c r="U70" s="131">
        <f>MROUND(U131,0.01)</f>
        <v>1.86</v>
      </c>
      <c r="V70" s="131">
        <f>MROUND(V131,0.02)</f>
        <v>1.1000000000000001</v>
      </c>
      <c r="W70" s="131">
        <f>MROUND(W131,0.02)</f>
        <v>0.8</v>
      </c>
      <c r="X70" s="131">
        <f>MROUND(X131,0.01)</f>
        <v>1.22</v>
      </c>
      <c r="Y70" s="131" t="e">
        <f>MROUND(Y131,0.02)</f>
        <v>#NUM!</v>
      </c>
      <c r="Z70" s="131">
        <f>MROUND(Z131,0.02)</f>
        <v>1.1200000000000001</v>
      </c>
      <c r="AA70" s="131">
        <f>MROUND(AA131,0.02)</f>
        <v>0.76</v>
      </c>
    </row>
    <row r="71" spans="1:27" ht="15">
      <c r="A71" s="132" t="s">
        <v>352</v>
      </c>
      <c r="B71" s="133"/>
      <c r="C71" s="301">
        <f>C70*C69</f>
        <v>49485.239019060384</v>
      </c>
      <c r="D71" s="301">
        <f>D70*D69</f>
        <v>59537.373613788797</v>
      </c>
      <c r="E71" s="301">
        <f>E70*E69</f>
        <v>52318.777037405147</v>
      </c>
      <c r="G71" s="301">
        <f t="shared" ref="G71" si="108">G70*G69</f>
        <v>49326.626691659105</v>
      </c>
      <c r="H71" s="301">
        <f>H70*H69</f>
        <v>54556.649942824537</v>
      </c>
      <c r="I71" s="301">
        <f t="shared" ref="I71" si="109">I70*I69</f>
        <v>97770.87563593415</v>
      </c>
      <c r="J71" s="301">
        <f>J70*J69</f>
        <v>59412.88888836831</v>
      </c>
      <c r="K71" s="301">
        <f t="shared" ref="K71" si="110">K70*K69</f>
        <v>97231.836639168003</v>
      </c>
      <c r="L71" s="301">
        <f>L70*L69</f>
        <v>154216.71217062991</v>
      </c>
      <c r="M71" s="301">
        <f>M70*M69</f>
        <v>71354.027599747191</v>
      </c>
      <c r="N71" s="301">
        <f t="shared" ref="N71" si="111">N70*N69</f>
        <v>72588.815094312318</v>
      </c>
      <c r="O71" s="301">
        <f>O70*O69</f>
        <v>58195.47822438072</v>
      </c>
      <c r="P71" s="301">
        <f t="shared" ref="P71:Q71" si="112">P70*P69</f>
        <v>49536.3617175217</v>
      </c>
      <c r="Q71" s="301">
        <f t="shared" si="112"/>
        <v>110312.08473214289</v>
      </c>
      <c r="R71" s="301">
        <f>R70*R69</f>
        <v>107038.8</v>
      </c>
      <c r="S71" s="301">
        <f>S70*S69</f>
        <v>29560.634782608697</v>
      </c>
      <c r="T71" s="301">
        <f t="shared" ref="T71:AA71" si="113">T70*T69</f>
        <v>64153.163289599994</v>
      </c>
      <c r="U71" s="301">
        <f t="shared" si="113"/>
        <v>19510.284301031763</v>
      </c>
      <c r="V71" s="301">
        <f t="shared" si="113"/>
        <v>81510.337550178796</v>
      </c>
      <c r="W71" s="301">
        <f t="shared" si="113"/>
        <v>42969.698189665127</v>
      </c>
      <c r="X71" s="301">
        <f t="shared" si="113"/>
        <v>53902.25518607306</v>
      </c>
      <c r="Y71" s="301" t="e">
        <f t="shared" si="113"/>
        <v>#NUM!</v>
      </c>
      <c r="Z71" s="301">
        <f t="shared" si="113"/>
        <v>47504.025743868951</v>
      </c>
      <c r="AA71" s="301">
        <f t="shared" si="113"/>
        <v>30725.290705802534</v>
      </c>
    </row>
    <row r="72" spans="1:27">
      <c r="A72" s="130" t="s">
        <v>489</v>
      </c>
      <c r="B72" s="115"/>
      <c r="C72" s="131">
        <v>1.02</v>
      </c>
      <c r="D72" s="131">
        <v>1.02</v>
      </c>
      <c r="E72" s="131">
        <v>1.02</v>
      </c>
      <c r="G72" s="131">
        <v>1.02</v>
      </c>
      <c r="H72" s="131">
        <v>1</v>
      </c>
      <c r="I72" s="131">
        <v>1</v>
      </c>
      <c r="J72" s="131">
        <v>1</v>
      </c>
      <c r="K72" s="131">
        <v>1.02</v>
      </c>
      <c r="L72" s="131">
        <v>0.85</v>
      </c>
      <c r="M72" s="131">
        <v>1.02</v>
      </c>
      <c r="N72" s="131">
        <v>1.02</v>
      </c>
      <c r="O72" s="131">
        <v>1</v>
      </c>
      <c r="P72" s="131">
        <v>1.02</v>
      </c>
      <c r="Q72" s="131">
        <v>1</v>
      </c>
      <c r="R72" s="131">
        <v>1</v>
      </c>
      <c r="S72" s="131">
        <v>1</v>
      </c>
      <c r="T72" s="131">
        <v>1</v>
      </c>
      <c r="U72" s="131">
        <v>1</v>
      </c>
      <c r="V72" s="131">
        <v>1.05</v>
      </c>
      <c r="W72" s="131">
        <v>1.02</v>
      </c>
      <c r="X72" s="131">
        <v>1.05</v>
      </c>
      <c r="Y72" s="131">
        <v>1.05</v>
      </c>
      <c r="Z72" s="131">
        <v>0.95</v>
      </c>
      <c r="AA72" s="131">
        <v>1.05</v>
      </c>
    </row>
    <row r="73" spans="1:27" ht="15">
      <c r="A73" s="132" t="s">
        <v>352</v>
      </c>
      <c r="B73" s="133"/>
      <c r="C73" s="301">
        <f>C72*C71</f>
        <v>50474.943799441593</v>
      </c>
      <c r="D73" s="301">
        <f>D72*D71</f>
        <v>60728.121086064573</v>
      </c>
      <c r="E73" s="301">
        <f>E72*E71</f>
        <v>53365.152578153247</v>
      </c>
      <c r="G73" s="301">
        <f t="shared" ref="G73" si="114">G72*G71</f>
        <v>50313.159225492287</v>
      </c>
      <c r="H73" s="301">
        <f>H72*H71</f>
        <v>54556.649942824537</v>
      </c>
      <c r="I73" s="301">
        <f t="shared" ref="I73" si="115">I72*I71</f>
        <v>97770.87563593415</v>
      </c>
      <c r="J73" s="301">
        <f>J72*J71</f>
        <v>59412.88888836831</v>
      </c>
      <c r="K73" s="301">
        <f t="shared" ref="K73" si="116">K72*K71</f>
        <v>99176.473371951361</v>
      </c>
      <c r="L73" s="301">
        <f>L72*L71</f>
        <v>131084.20534503541</v>
      </c>
      <c r="M73" s="301">
        <f>M72*M71</f>
        <v>72781.108151742141</v>
      </c>
      <c r="N73" s="301">
        <f t="shared" ref="N73" si="117">N72*N71</f>
        <v>74040.591396198564</v>
      </c>
      <c r="O73" s="301">
        <f>O72*O71</f>
        <v>58195.47822438072</v>
      </c>
      <c r="P73" s="301">
        <f t="shared" ref="P73:Q73" si="118">P72*P71</f>
        <v>50527.088951872138</v>
      </c>
      <c r="Q73" s="301">
        <f t="shared" si="118"/>
        <v>110312.08473214289</v>
      </c>
      <c r="R73" s="301">
        <f>R72*R71</f>
        <v>107038.8</v>
      </c>
      <c r="S73" s="301">
        <f>S72*S71</f>
        <v>29560.634782608697</v>
      </c>
      <c r="T73" s="301">
        <f t="shared" ref="T73:AA73" si="119">T72*T71</f>
        <v>64153.163289599994</v>
      </c>
      <c r="U73" s="301">
        <f t="shared" si="119"/>
        <v>19510.284301031763</v>
      </c>
      <c r="V73" s="301">
        <f t="shared" si="119"/>
        <v>85585.854427687736</v>
      </c>
      <c r="W73" s="301">
        <f t="shared" si="119"/>
        <v>43829.092153458427</v>
      </c>
      <c r="X73" s="301">
        <f t="shared" si="119"/>
        <v>56597.367945376718</v>
      </c>
      <c r="Y73" s="301" t="e">
        <f t="shared" si="119"/>
        <v>#NUM!</v>
      </c>
      <c r="Z73" s="301">
        <f t="shared" si="119"/>
        <v>45128.824456675502</v>
      </c>
      <c r="AA73" s="301">
        <f t="shared" si="119"/>
        <v>32261.555241092661</v>
      </c>
    </row>
    <row r="74" spans="1:27">
      <c r="A74" s="130" t="s">
        <v>268</v>
      </c>
      <c r="B74" s="115"/>
      <c r="C74" s="131">
        <v>0.95</v>
      </c>
      <c r="D74" s="131">
        <v>1</v>
      </c>
      <c r="E74" s="131">
        <v>1</v>
      </c>
      <c r="G74" s="131">
        <v>1</v>
      </c>
      <c r="H74" s="131">
        <v>0.98</v>
      </c>
      <c r="I74" s="131">
        <v>1</v>
      </c>
      <c r="J74" s="131">
        <v>0.95</v>
      </c>
      <c r="K74" s="131">
        <v>1</v>
      </c>
      <c r="L74" s="131">
        <v>1</v>
      </c>
      <c r="M74" s="131">
        <v>1.05</v>
      </c>
      <c r="N74" s="131">
        <v>1.05</v>
      </c>
      <c r="O74" s="131">
        <v>0.98</v>
      </c>
      <c r="P74" s="131">
        <v>1</v>
      </c>
      <c r="Q74" s="131">
        <v>0.98</v>
      </c>
      <c r="R74" s="131">
        <v>1</v>
      </c>
      <c r="S74" s="131">
        <v>1</v>
      </c>
      <c r="T74" s="131">
        <v>1</v>
      </c>
      <c r="U74" s="131">
        <v>1</v>
      </c>
      <c r="V74" s="131">
        <v>0.9</v>
      </c>
      <c r="W74" s="131">
        <v>1</v>
      </c>
      <c r="X74" s="131">
        <v>1</v>
      </c>
      <c r="Y74" s="131">
        <v>0.9</v>
      </c>
      <c r="Z74" s="131">
        <v>1</v>
      </c>
      <c r="AA74" s="131">
        <v>1</v>
      </c>
    </row>
    <row r="75" spans="1:27" ht="15">
      <c r="A75" s="132" t="s">
        <v>352</v>
      </c>
      <c r="B75" s="134"/>
      <c r="C75" s="301">
        <f>C74*C73</f>
        <v>47951.196609469509</v>
      </c>
      <c r="D75" s="301">
        <f>D74*D73</f>
        <v>60728.121086064573</v>
      </c>
      <c r="E75" s="301">
        <f>E74*E73</f>
        <v>53365.152578153247</v>
      </c>
      <c r="G75" s="301">
        <f t="shared" ref="G75" si="120">G74*G73</f>
        <v>50313.159225492287</v>
      </c>
      <c r="H75" s="301">
        <f>H74*H73</f>
        <v>53465.516943968047</v>
      </c>
      <c r="I75" s="301">
        <f t="shared" ref="I75" si="121">I74*I73</f>
        <v>97770.87563593415</v>
      </c>
      <c r="J75" s="301">
        <f>J74*J73</f>
        <v>56442.244443949894</v>
      </c>
      <c r="K75" s="301">
        <f t="shared" ref="K75" si="122">K74*K73</f>
        <v>99176.473371951361</v>
      </c>
      <c r="L75" s="301">
        <f>L74*L73</f>
        <v>131084.20534503541</v>
      </c>
      <c r="M75" s="301">
        <f>M74*M73</f>
        <v>76420.163559329245</v>
      </c>
      <c r="N75" s="301">
        <f t="shared" ref="N75" si="123">N74*N73</f>
        <v>77742.620966008501</v>
      </c>
      <c r="O75" s="301">
        <f>O74*O73</f>
        <v>57031.568659893106</v>
      </c>
      <c r="P75" s="301">
        <f t="shared" ref="P75:Q75" si="124">P74*P73</f>
        <v>50527.088951872138</v>
      </c>
      <c r="Q75" s="301">
        <f t="shared" si="124"/>
        <v>108105.84303750003</v>
      </c>
      <c r="R75" s="301">
        <f>R74*R73</f>
        <v>107038.8</v>
      </c>
      <c r="S75" s="301">
        <f>S74*S73</f>
        <v>29560.634782608697</v>
      </c>
      <c r="T75" s="301">
        <f t="shared" ref="T75:AA75" si="125">T74*T73</f>
        <v>64153.163289599994</v>
      </c>
      <c r="U75" s="301">
        <f t="shared" si="125"/>
        <v>19510.284301031763</v>
      </c>
      <c r="V75" s="301">
        <f t="shared" si="125"/>
        <v>77027.268984918963</v>
      </c>
      <c r="W75" s="301">
        <f t="shared" si="125"/>
        <v>43829.092153458427</v>
      </c>
      <c r="X75" s="301">
        <f t="shared" si="125"/>
        <v>56597.367945376718</v>
      </c>
      <c r="Y75" s="301" t="e">
        <f t="shared" si="125"/>
        <v>#NUM!</v>
      </c>
      <c r="Z75" s="301">
        <f t="shared" si="125"/>
        <v>45128.824456675502</v>
      </c>
      <c r="AA75" s="301">
        <f t="shared" si="125"/>
        <v>32261.555241092661</v>
      </c>
    </row>
    <row r="76" spans="1:27" ht="15">
      <c r="A76" s="132" t="s">
        <v>270</v>
      </c>
      <c r="B76" s="133"/>
      <c r="C76" s="301">
        <f t="shared" ref="C76" si="126">C75/долл</f>
        <v>548.32700525408245</v>
      </c>
      <c r="D76" s="301">
        <f>D75/долл</f>
        <v>694.4324881196635</v>
      </c>
      <c r="E76" s="301">
        <f>E75/долл</f>
        <v>610.23616441570323</v>
      </c>
      <c r="G76" s="301">
        <f t="shared" ref="G76:Q76" si="127">G75/долл</f>
        <v>575.33629760425708</v>
      </c>
      <c r="H76" s="301">
        <f t="shared" si="127"/>
        <v>611.38384155480901</v>
      </c>
      <c r="I76" s="301">
        <f t="shared" si="127"/>
        <v>1118.0203045847243</v>
      </c>
      <c r="J76" s="301">
        <f t="shared" si="127"/>
        <v>645.42303537964426</v>
      </c>
      <c r="K76" s="301">
        <f t="shared" si="127"/>
        <v>1134.0934633728</v>
      </c>
      <c r="L76" s="301">
        <f t="shared" si="127"/>
        <v>1498.9617535166999</v>
      </c>
      <c r="M76" s="301">
        <f t="shared" si="127"/>
        <v>873.87265362297592</v>
      </c>
      <c r="N76" s="301">
        <f t="shared" si="127"/>
        <v>888.99509395092628</v>
      </c>
      <c r="O76" s="301">
        <f t="shared" si="127"/>
        <v>652.16202012456381</v>
      </c>
      <c r="P76" s="301">
        <f t="shared" si="127"/>
        <v>577.78260665376945</v>
      </c>
      <c r="Q76" s="301">
        <f t="shared" si="127"/>
        <v>1236.2017500000004</v>
      </c>
      <c r="R76" s="301">
        <f>R75/долл</f>
        <v>1224</v>
      </c>
      <c r="S76" s="301">
        <f>S75/долл</f>
        <v>338.02898550724638</v>
      </c>
      <c r="T76" s="301">
        <f t="shared" ref="T76:AA76" si="128">T75/долл</f>
        <v>733.59820799999989</v>
      </c>
      <c r="U76" s="301">
        <f t="shared" si="128"/>
        <v>223.10216467732147</v>
      </c>
      <c r="V76" s="301">
        <f t="shared" si="128"/>
        <v>880.81496838100588</v>
      </c>
      <c r="W76" s="301">
        <f t="shared" si="128"/>
        <v>501.19030478511638</v>
      </c>
      <c r="X76" s="301">
        <f t="shared" si="128"/>
        <v>647.1968890266063</v>
      </c>
      <c r="Y76" s="301" t="e">
        <f t="shared" si="128"/>
        <v>#NUM!</v>
      </c>
      <c r="Z76" s="301">
        <f t="shared" si="128"/>
        <v>516.05288115123494</v>
      </c>
      <c r="AA76" s="301">
        <f t="shared" si="128"/>
        <v>368.91429663913846</v>
      </c>
    </row>
    <row r="77" spans="1:27">
      <c r="A77" s="119" t="s">
        <v>353</v>
      </c>
      <c r="B77" s="87" t="s">
        <v>159</v>
      </c>
      <c r="C77" s="135"/>
      <c r="D77" s="135"/>
      <c r="E77" s="135"/>
      <c r="G77" s="135"/>
      <c r="H77" s="135"/>
      <c r="I77" s="135"/>
      <c r="J77" s="135"/>
      <c r="K77" s="135"/>
      <c r="L77" s="135"/>
      <c r="M77" s="135"/>
      <c r="N77" s="135"/>
      <c r="O77" s="135"/>
      <c r="P77" s="135"/>
      <c r="Q77" s="135"/>
      <c r="R77" s="135"/>
      <c r="S77" s="135"/>
      <c r="T77" s="135"/>
      <c r="U77" s="135"/>
      <c r="V77" s="135"/>
      <c r="W77" s="135"/>
      <c r="X77" s="135"/>
      <c r="Y77" s="135"/>
      <c r="Z77" s="135"/>
      <c r="AA77" s="135"/>
    </row>
    <row r="78" spans="1:27" ht="15">
      <c r="A78" s="136" t="s">
        <v>272</v>
      </c>
      <c r="B78" s="115">
        <f>ROUND(AVERAGE(C75:E75),-1)</f>
        <v>54010</v>
      </c>
      <c r="C78" s="104"/>
      <c r="D78" s="104"/>
      <c r="E78" s="104"/>
      <c r="G78" s="104"/>
      <c r="H78" s="104"/>
      <c r="I78" s="104"/>
      <c r="J78" s="104"/>
      <c r="K78" s="104"/>
      <c r="L78" s="104"/>
      <c r="M78" s="104"/>
      <c r="N78" s="104"/>
      <c r="O78" s="104"/>
      <c r="P78" s="104"/>
      <c r="Q78" s="104"/>
      <c r="R78" s="104"/>
      <c r="S78" s="104"/>
      <c r="T78" s="104"/>
      <c r="U78" s="104"/>
      <c r="V78" s="104"/>
      <c r="W78" s="104"/>
      <c r="X78" s="104"/>
      <c r="Y78" s="104"/>
      <c r="Z78" s="104"/>
      <c r="AA78" s="104"/>
    </row>
    <row r="79" spans="1:27" ht="14.25" customHeight="1">
      <c r="A79" s="136" t="s">
        <v>273</v>
      </c>
      <c r="B79" s="115">
        <f>ROUND(B78/долл,2)</f>
        <v>617.61</v>
      </c>
      <c r="C79" s="104"/>
      <c r="D79" s="104"/>
      <c r="E79" s="104"/>
      <c r="G79" s="104"/>
      <c r="H79" s="104"/>
      <c r="I79" s="104"/>
      <c r="J79" s="104"/>
      <c r="K79" s="104"/>
      <c r="L79" s="104"/>
      <c r="M79" s="104"/>
      <c r="N79" s="104"/>
      <c r="O79" s="104"/>
      <c r="P79" s="104"/>
      <c r="Q79" s="104"/>
      <c r="R79" s="104"/>
      <c r="S79" s="104"/>
      <c r="T79" s="104"/>
      <c r="U79" s="104"/>
      <c r="V79" s="104"/>
      <c r="W79" s="104"/>
      <c r="X79" s="104"/>
      <c r="Y79" s="104"/>
      <c r="Z79" s="104"/>
      <c r="AA79" s="104"/>
    </row>
    <row r="80" spans="1:27">
      <c r="A80" s="132" t="s">
        <v>274</v>
      </c>
      <c r="B80" s="133">
        <f>ROUND(B78*B13,-3)</f>
        <v>922957000</v>
      </c>
      <c r="C80" s="104"/>
      <c r="D80" s="104"/>
      <c r="E80" s="104"/>
      <c r="G80" s="104"/>
      <c r="H80" s="104"/>
      <c r="I80" s="104"/>
      <c r="J80" s="104"/>
      <c r="K80" s="104"/>
      <c r="L80" s="104"/>
      <c r="M80" s="104"/>
      <c r="N80" s="104"/>
      <c r="O80" s="104"/>
      <c r="P80" s="104"/>
      <c r="Q80" s="104"/>
      <c r="R80" s="104"/>
      <c r="S80" s="104"/>
      <c r="T80" s="104"/>
      <c r="U80" s="104"/>
      <c r="V80" s="104"/>
      <c r="W80" s="104"/>
      <c r="X80" s="104"/>
      <c r="Y80" s="104"/>
      <c r="Z80" s="104"/>
      <c r="AA80" s="104"/>
    </row>
    <row r="81" spans="1:27">
      <c r="A81" s="132" t="s">
        <v>275</v>
      </c>
      <c r="B81" s="133">
        <f>ROUND(B80/долл,-2)</f>
        <v>10554100</v>
      </c>
      <c r="C81" s="303"/>
      <c r="D81" s="303"/>
      <c r="E81" s="303"/>
      <c r="G81" s="303"/>
      <c r="H81" s="303"/>
      <c r="I81" s="303"/>
      <c r="J81" s="303"/>
      <c r="K81" s="303"/>
      <c r="L81" s="303"/>
      <c r="M81" s="303"/>
      <c r="N81" s="303"/>
      <c r="O81" s="303"/>
      <c r="P81" s="303"/>
      <c r="Q81" s="303"/>
      <c r="R81" s="303"/>
      <c r="S81" s="303"/>
      <c r="T81" s="303"/>
      <c r="U81" s="303"/>
      <c r="V81" s="303"/>
      <c r="W81" s="303"/>
      <c r="X81" s="303"/>
      <c r="Y81" s="303"/>
      <c r="Z81" s="303"/>
      <c r="AA81" s="303"/>
    </row>
    <row r="82" spans="1:27">
      <c r="A82" s="137"/>
      <c r="B82" s="138"/>
      <c r="C82" s="304"/>
      <c r="D82" s="304"/>
      <c r="E82" s="304"/>
      <c r="G82" s="304"/>
      <c r="H82" s="304"/>
      <c r="I82" s="304"/>
      <c r="J82" s="304"/>
      <c r="K82" s="304"/>
      <c r="L82" s="304"/>
      <c r="M82" s="304"/>
      <c r="N82" s="304"/>
      <c r="O82" s="304"/>
      <c r="P82" s="304"/>
      <c r="Q82" s="304"/>
      <c r="R82" s="304"/>
      <c r="S82" s="304"/>
      <c r="T82" s="304"/>
      <c r="U82" s="304"/>
      <c r="V82" s="304"/>
      <c r="W82" s="304"/>
      <c r="X82" s="304"/>
      <c r="Y82" s="304"/>
      <c r="Z82" s="304"/>
      <c r="AA82" s="304"/>
    </row>
    <row r="83" spans="1:27">
      <c r="A83" s="137"/>
      <c r="B83" s="138"/>
      <c r="C83" s="304"/>
      <c r="D83" s="304"/>
      <c r="E83" s="304"/>
      <c r="G83" s="304"/>
      <c r="H83" s="304"/>
      <c r="I83" s="304"/>
      <c r="J83" s="304"/>
      <c r="K83" s="304"/>
      <c r="L83" s="304"/>
      <c r="M83" s="304"/>
      <c r="N83" s="304"/>
      <c r="O83" s="304"/>
      <c r="P83" s="304"/>
      <c r="Q83" s="304"/>
      <c r="R83" s="304"/>
      <c r="S83" s="304"/>
      <c r="T83" s="304"/>
      <c r="U83" s="304"/>
      <c r="V83" s="304"/>
      <c r="W83" s="304"/>
      <c r="X83" s="304"/>
      <c r="Y83" s="304"/>
      <c r="Z83" s="304"/>
      <c r="AA83" s="304"/>
    </row>
    <row r="84" spans="1:27">
      <c r="A84" s="137"/>
      <c r="B84" s="138"/>
      <c r="C84" s="304"/>
      <c r="D84" s="304"/>
      <c r="E84" s="304"/>
      <c r="G84" s="304"/>
      <c r="H84" s="304"/>
      <c r="I84" s="304"/>
      <c r="J84" s="304"/>
      <c r="K84" s="304"/>
      <c r="L84" s="304"/>
      <c r="M84" s="304"/>
      <c r="N84" s="304"/>
      <c r="O84" s="304"/>
      <c r="P84" s="304"/>
      <c r="Q84" s="304"/>
      <c r="R84" s="304"/>
      <c r="S84" s="304"/>
      <c r="T84" s="304"/>
      <c r="U84" s="304"/>
      <c r="V84" s="304"/>
      <c r="W84" s="304"/>
      <c r="X84" s="304"/>
      <c r="Y84" s="304"/>
      <c r="Z84" s="304"/>
      <c r="AA84" s="304"/>
    </row>
    <row r="85" spans="1:27">
      <c r="A85" s="137"/>
      <c r="B85" s="138"/>
      <c r="C85" s="304"/>
      <c r="D85" s="304"/>
      <c r="E85" s="304"/>
      <c r="G85" s="304"/>
      <c r="H85" s="304"/>
      <c r="I85" s="304"/>
      <c r="J85" s="304"/>
      <c r="K85" s="304"/>
      <c r="L85" s="304"/>
      <c r="M85" s="304"/>
      <c r="N85" s="304"/>
      <c r="O85" s="304"/>
      <c r="P85" s="304"/>
      <c r="Q85" s="304"/>
      <c r="R85" s="304"/>
      <c r="S85" s="304"/>
      <c r="T85" s="304"/>
      <c r="U85" s="304"/>
      <c r="V85" s="304"/>
      <c r="W85" s="304"/>
      <c r="X85" s="304"/>
      <c r="Y85" s="304"/>
      <c r="Z85" s="304"/>
      <c r="AA85" s="304"/>
    </row>
    <row r="86" spans="1:27">
      <c r="A86" s="313" t="str">
        <f>A13</f>
        <v>Общая площадь построек, м2, из них</v>
      </c>
      <c r="B86" s="314">
        <f>SUM(B87:B95)</f>
        <v>17088.634999999998</v>
      </c>
      <c r="C86" s="314">
        <f t="shared" ref="C86" si="129">SUM(C87:C95)</f>
        <v>6996</v>
      </c>
      <c r="D86" s="314">
        <f>SUM(D87:D95)</f>
        <v>1407</v>
      </c>
      <c r="E86" s="314">
        <f>SUM(E87:E95)</f>
        <v>1800</v>
      </c>
      <c r="G86" s="314">
        <f>SUM(G87:G95)</f>
        <v>1000</v>
      </c>
      <c r="H86" s="314">
        <f>SUM(H87:H95)</f>
        <v>5015.6000000000004</v>
      </c>
      <c r="I86" s="314">
        <f t="shared" ref="I86" si="130">SUM(I87:I95)</f>
        <v>717</v>
      </c>
      <c r="J86" s="314">
        <f>SUM(J87:J95)</f>
        <v>2476</v>
      </c>
      <c r="K86" s="314">
        <f t="shared" ref="K86" si="131">SUM(K87:K95)</f>
        <v>3000</v>
      </c>
      <c r="L86" s="314">
        <f>SUM(L87:L95)</f>
        <v>1400</v>
      </c>
      <c r="M86" s="314">
        <f>SUM(M87:M95)</f>
        <v>330</v>
      </c>
      <c r="N86" s="314">
        <f t="shared" ref="N86" si="132">SUM(N87:N95)</f>
        <v>450</v>
      </c>
      <c r="O86" s="314">
        <f>SUM(O87:O95)</f>
        <v>1370</v>
      </c>
      <c r="P86" s="314">
        <f>SUM(P87:P95)</f>
        <v>2060</v>
      </c>
      <c r="Q86" s="314">
        <f t="shared" ref="Q86:R86" si="133">SUM(Q87:Q95)</f>
        <v>1400</v>
      </c>
      <c r="R86" s="314">
        <f t="shared" si="133"/>
        <v>1500</v>
      </c>
      <c r="S86" s="314">
        <f t="shared" ref="S86:AA89" si="134">S13</f>
        <v>1380</v>
      </c>
      <c r="T86" s="314">
        <f t="shared" si="134"/>
        <v>500</v>
      </c>
      <c r="U86" s="314">
        <f t="shared" si="134"/>
        <v>56350.2</v>
      </c>
      <c r="V86" s="314">
        <f t="shared" si="134"/>
        <v>537</v>
      </c>
      <c r="W86" s="314">
        <f t="shared" si="134"/>
        <v>4300</v>
      </c>
      <c r="X86" s="314">
        <f t="shared" si="134"/>
        <v>800</v>
      </c>
      <c r="Y86" s="314">
        <f t="shared" si="134"/>
        <v>985.87999999999988</v>
      </c>
      <c r="Z86" s="314">
        <f t="shared" si="134"/>
        <v>2060</v>
      </c>
      <c r="AA86" s="314">
        <f t="shared" si="134"/>
        <v>731.91650000000004</v>
      </c>
    </row>
    <row r="87" spans="1:27">
      <c r="A87" s="315" t="str">
        <f>A14</f>
        <v>произв класс 4</v>
      </c>
      <c r="B87" s="316">
        <f>B14</f>
        <v>216.57999999999998</v>
      </c>
      <c r="C87" s="316">
        <f>C14</f>
        <v>1112.2</v>
      </c>
      <c r="D87" s="316">
        <f>D14</f>
        <v>122</v>
      </c>
      <c r="E87" s="316">
        <f>E14</f>
        <v>0</v>
      </c>
      <c r="G87" s="316">
        <f t="shared" ref="G87:R89" si="135">G14</f>
        <v>300</v>
      </c>
      <c r="H87" s="316">
        <f t="shared" si="135"/>
        <v>0</v>
      </c>
      <c r="I87" s="316">
        <f t="shared" si="135"/>
        <v>717</v>
      </c>
      <c r="J87" s="316">
        <f t="shared" si="135"/>
        <v>74.800000000000011</v>
      </c>
      <c r="K87" s="316">
        <f t="shared" si="135"/>
        <v>2000</v>
      </c>
      <c r="L87" s="316">
        <f t="shared" si="135"/>
        <v>1400</v>
      </c>
      <c r="M87" s="316">
        <f t="shared" si="135"/>
        <v>330</v>
      </c>
      <c r="N87" s="316">
        <f t="shared" si="135"/>
        <v>450</v>
      </c>
      <c r="O87" s="316">
        <f t="shared" si="135"/>
        <v>0</v>
      </c>
      <c r="P87" s="316">
        <f t="shared" si="135"/>
        <v>1000</v>
      </c>
      <c r="Q87" s="316">
        <f t="shared" si="135"/>
        <v>1400</v>
      </c>
      <c r="R87" s="316">
        <f t="shared" si="135"/>
        <v>1500</v>
      </c>
      <c r="S87" s="316">
        <f t="shared" si="134"/>
        <v>1380</v>
      </c>
      <c r="T87" s="316">
        <f t="shared" si="134"/>
        <v>58.5</v>
      </c>
      <c r="U87" s="316">
        <f t="shared" si="134"/>
        <v>55238</v>
      </c>
      <c r="V87" s="316">
        <f t="shared" si="134"/>
        <v>537</v>
      </c>
      <c r="W87" s="316">
        <f t="shared" si="134"/>
        <v>300</v>
      </c>
      <c r="X87" s="316">
        <f t="shared" si="134"/>
        <v>100</v>
      </c>
      <c r="Y87" s="316">
        <f t="shared" si="134"/>
        <v>944.4</v>
      </c>
      <c r="Z87" s="316">
        <f t="shared" si="134"/>
        <v>1000</v>
      </c>
      <c r="AA87" s="316">
        <f t="shared" si="134"/>
        <v>12.4</v>
      </c>
    </row>
    <row r="88" spans="1:27">
      <c r="A88" s="315" t="str">
        <f t="shared" ref="A88:E95" si="136">A15</f>
        <v>произв класс 3</v>
      </c>
      <c r="B88" s="316">
        <f t="shared" si="136"/>
        <v>11689.699999999999</v>
      </c>
      <c r="C88" s="316">
        <f t="shared" si="136"/>
        <v>5523.8</v>
      </c>
      <c r="D88" s="316">
        <f t="shared" si="136"/>
        <v>700</v>
      </c>
      <c r="E88" s="316">
        <f t="shared" si="136"/>
        <v>1776.9</v>
      </c>
      <c r="G88" s="316">
        <f t="shared" si="135"/>
        <v>700</v>
      </c>
      <c r="H88" s="316">
        <f t="shared" si="135"/>
        <v>5015.6000000000004</v>
      </c>
      <c r="I88" s="316">
        <f t="shared" si="135"/>
        <v>0</v>
      </c>
      <c r="J88" s="316">
        <f t="shared" si="135"/>
        <v>1561.2</v>
      </c>
      <c r="K88" s="316">
        <f t="shared" si="135"/>
        <v>1000</v>
      </c>
      <c r="L88" s="316">
        <f t="shared" si="135"/>
        <v>0</v>
      </c>
      <c r="M88" s="316">
        <f t="shared" si="135"/>
        <v>0</v>
      </c>
      <c r="N88" s="316">
        <f t="shared" si="135"/>
        <v>0</v>
      </c>
      <c r="O88" s="316">
        <f t="shared" si="135"/>
        <v>1370</v>
      </c>
      <c r="P88" s="316">
        <f t="shared" si="135"/>
        <v>1060</v>
      </c>
      <c r="Q88" s="316">
        <f t="shared" si="135"/>
        <v>0</v>
      </c>
      <c r="R88" s="316">
        <f t="shared" si="135"/>
        <v>0</v>
      </c>
      <c r="S88" s="316">
        <f t="shared" si="134"/>
        <v>0</v>
      </c>
      <c r="T88" s="316">
        <f t="shared" si="134"/>
        <v>348</v>
      </c>
      <c r="U88" s="316">
        <f t="shared" si="134"/>
        <v>1112.2</v>
      </c>
      <c r="V88" s="316">
        <f t="shared" si="134"/>
        <v>0</v>
      </c>
      <c r="W88" s="316">
        <f t="shared" si="134"/>
        <v>4000</v>
      </c>
      <c r="X88" s="316">
        <f t="shared" si="134"/>
        <v>700</v>
      </c>
      <c r="Y88" s="316">
        <f t="shared" si="134"/>
        <v>31.680000000000003</v>
      </c>
      <c r="Z88" s="316">
        <f t="shared" si="134"/>
        <v>1060</v>
      </c>
      <c r="AA88" s="316">
        <f t="shared" si="134"/>
        <v>436.6</v>
      </c>
    </row>
    <row r="89" spans="1:27">
      <c r="A89" s="315" t="str">
        <f t="shared" si="136"/>
        <v>произв класс 2</v>
      </c>
      <c r="B89" s="316">
        <f t="shared" si="136"/>
        <v>0</v>
      </c>
      <c r="C89" s="316">
        <f t="shared" si="136"/>
        <v>0</v>
      </c>
      <c r="D89" s="316">
        <f t="shared" si="136"/>
        <v>0</v>
      </c>
      <c r="E89" s="316">
        <f t="shared" si="136"/>
        <v>0</v>
      </c>
      <c r="G89" s="316">
        <f t="shared" si="135"/>
        <v>0</v>
      </c>
      <c r="H89" s="316">
        <f t="shared" si="135"/>
        <v>0</v>
      </c>
      <c r="I89" s="316">
        <f t="shared" si="135"/>
        <v>0</v>
      </c>
      <c r="J89" s="316">
        <f t="shared" si="135"/>
        <v>840</v>
      </c>
      <c r="K89" s="316">
        <f t="shared" si="135"/>
        <v>0</v>
      </c>
      <c r="L89" s="316">
        <f t="shared" si="135"/>
        <v>0</v>
      </c>
      <c r="M89" s="316">
        <f t="shared" si="135"/>
        <v>0</v>
      </c>
      <c r="N89" s="316">
        <f t="shared" si="135"/>
        <v>0</v>
      </c>
      <c r="O89" s="316">
        <f t="shared" si="135"/>
        <v>0</v>
      </c>
      <c r="P89" s="316">
        <f t="shared" si="135"/>
        <v>0</v>
      </c>
      <c r="Q89" s="316">
        <f t="shared" si="135"/>
        <v>0</v>
      </c>
      <c r="R89" s="316">
        <f t="shared" si="135"/>
        <v>0</v>
      </c>
      <c r="S89" s="316">
        <f t="shared" si="134"/>
        <v>0</v>
      </c>
      <c r="T89" s="316">
        <f t="shared" si="134"/>
        <v>93.5</v>
      </c>
      <c r="U89" s="316">
        <f t="shared" si="134"/>
        <v>0</v>
      </c>
      <c r="V89" s="316">
        <f t="shared" si="134"/>
        <v>0</v>
      </c>
      <c r="W89" s="316">
        <f t="shared" si="134"/>
        <v>0</v>
      </c>
      <c r="X89" s="316">
        <f t="shared" si="134"/>
        <v>0</v>
      </c>
      <c r="Y89" s="316">
        <f t="shared" si="134"/>
        <v>9.8000000000000007</v>
      </c>
      <c r="Z89" s="316">
        <f t="shared" si="134"/>
        <v>0</v>
      </c>
      <c r="AA89" s="316">
        <f t="shared" si="134"/>
        <v>282.91649999999998</v>
      </c>
    </row>
    <row r="90" spans="1:27">
      <c r="A90" s="315" t="str">
        <f t="shared" si="136"/>
        <v>произв класс 1</v>
      </c>
      <c r="B90" s="316">
        <f t="shared" si="136"/>
        <v>0</v>
      </c>
      <c r="C90" s="316">
        <f t="shared" si="136"/>
        <v>0</v>
      </c>
      <c r="D90" s="316">
        <f t="shared" si="136"/>
        <v>0</v>
      </c>
      <c r="E90" s="316">
        <f t="shared" si="136"/>
        <v>0</v>
      </c>
      <c r="G90" s="316"/>
      <c r="H90" s="316"/>
      <c r="I90" s="316"/>
      <c r="J90" s="316"/>
      <c r="K90" s="316"/>
      <c r="L90" s="316"/>
      <c r="M90" s="316"/>
      <c r="N90" s="316"/>
      <c r="O90" s="316"/>
      <c r="P90" s="316"/>
      <c r="Q90" s="316"/>
      <c r="R90" s="316"/>
      <c r="S90" s="316"/>
      <c r="T90" s="316"/>
      <c r="U90" s="316"/>
      <c r="V90" s="316"/>
      <c r="W90" s="316"/>
      <c r="X90" s="316"/>
      <c r="Y90" s="316"/>
      <c r="Z90" s="316"/>
      <c r="AA90" s="316"/>
    </row>
    <row r="91" spans="1:27">
      <c r="A91" s="315" t="str">
        <f t="shared" si="136"/>
        <v>гражд класс 4</v>
      </c>
      <c r="B91" s="316">
        <f t="shared" si="136"/>
        <v>59.79</v>
      </c>
      <c r="C91" s="316">
        <f t="shared" si="136"/>
        <v>0</v>
      </c>
      <c r="D91" s="316">
        <f t="shared" si="136"/>
        <v>500</v>
      </c>
      <c r="E91" s="316">
        <f t="shared" si="136"/>
        <v>23.1</v>
      </c>
      <c r="G91" s="316"/>
      <c r="H91" s="316"/>
      <c r="I91" s="316"/>
      <c r="J91" s="316"/>
      <c r="K91" s="316"/>
      <c r="L91" s="316"/>
      <c r="M91" s="316"/>
      <c r="N91" s="316"/>
      <c r="O91" s="316"/>
      <c r="P91" s="316"/>
      <c r="Q91" s="316"/>
      <c r="R91" s="316"/>
      <c r="S91" s="316"/>
      <c r="T91" s="316"/>
      <c r="U91" s="316"/>
      <c r="V91" s="316"/>
      <c r="W91" s="316"/>
      <c r="X91" s="316"/>
      <c r="Y91" s="316"/>
      <c r="Z91" s="316"/>
      <c r="AA91" s="316"/>
    </row>
    <row r="92" spans="1:27">
      <c r="A92" s="315" t="str">
        <f t="shared" si="136"/>
        <v>гражд класс 3</v>
      </c>
      <c r="B92" s="316">
        <f t="shared" si="136"/>
        <v>4524.2999999999993</v>
      </c>
      <c r="C92" s="316">
        <f t="shared" si="136"/>
        <v>360</v>
      </c>
      <c r="D92" s="316">
        <f t="shared" si="136"/>
        <v>0</v>
      </c>
      <c r="E92" s="316">
        <f t="shared" si="136"/>
        <v>0</v>
      </c>
      <c r="G92" s="316"/>
      <c r="H92" s="316"/>
      <c r="I92" s="316"/>
      <c r="J92" s="316"/>
      <c r="K92" s="316"/>
      <c r="L92" s="316"/>
      <c r="M92" s="316"/>
      <c r="N92" s="316"/>
      <c r="O92" s="316"/>
      <c r="P92" s="316"/>
      <c r="Q92" s="316"/>
      <c r="R92" s="316"/>
      <c r="S92" s="316"/>
      <c r="T92" s="316"/>
      <c r="U92" s="316"/>
      <c r="V92" s="316"/>
      <c r="W92" s="316"/>
      <c r="X92" s="316"/>
      <c r="Y92" s="316"/>
      <c r="Z92" s="316"/>
      <c r="AA92" s="316"/>
    </row>
    <row r="93" spans="1:27">
      <c r="A93" s="315" t="str">
        <f t="shared" si="136"/>
        <v>гражд класс 2</v>
      </c>
      <c r="B93" s="316">
        <f t="shared" si="136"/>
        <v>0</v>
      </c>
      <c r="C93" s="316">
        <f t="shared" si="136"/>
        <v>0</v>
      </c>
      <c r="D93" s="316">
        <f t="shared" si="136"/>
        <v>0</v>
      </c>
      <c r="E93" s="316">
        <f t="shared" si="136"/>
        <v>0</v>
      </c>
      <c r="G93" s="316"/>
      <c r="H93" s="316"/>
      <c r="I93" s="316"/>
      <c r="J93" s="316"/>
      <c r="K93" s="316"/>
      <c r="L93" s="316"/>
      <c r="M93" s="316"/>
      <c r="N93" s="316"/>
      <c r="O93" s="316"/>
      <c r="P93" s="316"/>
      <c r="Q93" s="316"/>
      <c r="R93" s="316"/>
      <c r="S93" s="316"/>
      <c r="T93" s="316"/>
      <c r="U93" s="316"/>
      <c r="V93" s="316"/>
      <c r="W93" s="316"/>
      <c r="X93" s="316"/>
      <c r="Y93" s="316"/>
      <c r="Z93" s="316"/>
      <c r="AA93" s="316"/>
    </row>
    <row r="94" spans="1:27">
      <c r="A94" s="315" t="str">
        <f t="shared" si="136"/>
        <v>гражд класс 1</v>
      </c>
      <c r="B94" s="316">
        <f t="shared" si="136"/>
        <v>0</v>
      </c>
      <c r="C94" s="316">
        <f t="shared" si="136"/>
        <v>0</v>
      </c>
      <c r="D94" s="316">
        <f t="shared" si="136"/>
        <v>0</v>
      </c>
      <c r="E94" s="316">
        <f t="shared" si="136"/>
        <v>0</v>
      </c>
      <c r="G94" s="316"/>
      <c r="H94" s="316"/>
      <c r="I94" s="316"/>
      <c r="J94" s="316"/>
      <c r="K94" s="316"/>
      <c r="L94" s="316"/>
      <c r="M94" s="316"/>
      <c r="N94" s="316"/>
      <c r="O94" s="316"/>
      <c r="P94" s="316"/>
      <c r="Q94" s="316"/>
      <c r="R94" s="316"/>
      <c r="S94" s="316"/>
      <c r="T94" s="316"/>
      <c r="U94" s="316"/>
      <c r="V94" s="316"/>
      <c r="W94" s="316"/>
      <c r="X94" s="316"/>
      <c r="Y94" s="316"/>
      <c r="Z94" s="316"/>
      <c r="AA94" s="316"/>
    </row>
    <row r="95" spans="1:27" s="294" customFormat="1">
      <c r="A95" s="315" t="str">
        <f t="shared" si="136"/>
        <v>прочие</v>
      </c>
      <c r="B95" s="316">
        <f t="shared" si="136"/>
        <v>598.26499999999999</v>
      </c>
      <c r="C95" s="316">
        <f t="shared" si="136"/>
        <v>0</v>
      </c>
      <c r="D95" s="316">
        <f t="shared" si="136"/>
        <v>85</v>
      </c>
      <c r="E95" s="316">
        <f t="shared" si="136"/>
        <v>0</v>
      </c>
      <c r="G95" s="315">
        <f t="shared" ref="G95:AA95" si="137">G22</f>
        <v>0</v>
      </c>
      <c r="H95" s="315">
        <f t="shared" si="137"/>
        <v>0</v>
      </c>
      <c r="I95" s="315">
        <f t="shared" si="137"/>
        <v>0</v>
      </c>
      <c r="J95" s="315">
        <f t="shared" si="137"/>
        <v>0</v>
      </c>
      <c r="K95" s="315">
        <f t="shared" si="137"/>
        <v>0</v>
      </c>
      <c r="L95" s="315">
        <f t="shared" si="137"/>
        <v>0</v>
      </c>
      <c r="M95" s="315">
        <f t="shared" si="137"/>
        <v>0</v>
      </c>
      <c r="N95" s="315">
        <f t="shared" si="137"/>
        <v>0</v>
      </c>
      <c r="O95" s="315">
        <f t="shared" si="137"/>
        <v>0</v>
      </c>
      <c r="P95" s="315">
        <f t="shared" si="137"/>
        <v>0</v>
      </c>
      <c r="Q95" s="315">
        <f t="shared" si="137"/>
        <v>0</v>
      </c>
      <c r="R95" s="315">
        <f t="shared" si="137"/>
        <v>0</v>
      </c>
      <c r="S95" s="315">
        <f t="shared" si="137"/>
        <v>0</v>
      </c>
      <c r="T95" s="315">
        <f t="shared" si="137"/>
        <v>0</v>
      </c>
      <c r="U95" s="315">
        <f t="shared" si="137"/>
        <v>0</v>
      </c>
      <c r="V95" s="315">
        <f t="shared" si="137"/>
        <v>0</v>
      </c>
      <c r="W95" s="315">
        <f t="shared" si="137"/>
        <v>0</v>
      </c>
      <c r="X95" s="315">
        <f t="shared" si="137"/>
        <v>0</v>
      </c>
      <c r="Y95" s="315">
        <f t="shared" si="137"/>
        <v>0</v>
      </c>
      <c r="Z95" s="315">
        <f t="shared" si="137"/>
        <v>0</v>
      </c>
      <c r="AA95" s="315">
        <f t="shared" si="137"/>
        <v>0</v>
      </c>
    </row>
    <row r="96" spans="1:27">
      <c r="B96" s="278"/>
      <c r="C96" s="278"/>
      <c r="D96" s="278"/>
      <c r="E96" s="278"/>
      <c r="G96" s="278"/>
      <c r="H96" s="278"/>
      <c r="I96" s="278"/>
      <c r="J96" s="278"/>
      <c r="K96" s="278"/>
      <c r="L96" s="278"/>
      <c r="M96" s="278"/>
      <c r="N96" s="278"/>
      <c r="O96" s="278"/>
      <c r="P96" s="278"/>
      <c r="Q96" s="278"/>
      <c r="R96" s="278"/>
      <c r="S96" s="278"/>
      <c r="T96" s="278"/>
      <c r="U96" s="278"/>
      <c r="V96" s="278"/>
      <c r="W96" s="278"/>
      <c r="X96" s="278"/>
      <c r="Y96" s="278"/>
      <c r="Z96" s="278"/>
      <c r="AA96" s="278"/>
    </row>
    <row r="97" spans="1:27">
      <c r="A97" s="317" t="s">
        <v>277</v>
      </c>
      <c r="B97" s="317"/>
      <c r="C97" s="317"/>
      <c r="D97" s="317"/>
      <c r="E97" s="317"/>
      <c r="G97" s="317"/>
      <c r="H97" s="317"/>
      <c r="I97" s="317"/>
      <c r="J97" s="317"/>
      <c r="K97" s="317"/>
      <c r="L97" s="317"/>
      <c r="M97" s="317"/>
      <c r="N97" s="317"/>
      <c r="O97" s="317"/>
      <c r="P97" s="317"/>
      <c r="Q97" s="317"/>
      <c r="R97" s="317"/>
      <c r="S97" s="317"/>
      <c r="T97" s="317"/>
      <c r="U97" s="317"/>
      <c r="V97" s="317"/>
      <c r="W97" s="317"/>
      <c r="X97" s="317"/>
      <c r="Y97" s="317"/>
      <c r="Z97" s="317"/>
      <c r="AA97" s="317"/>
    </row>
    <row r="98" spans="1:27">
      <c r="A98" s="318">
        <f>'1.1 Алыкулова'!A107</f>
        <v>0.33</v>
      </c>
      <c r="B98" s="318">
        <f>B87/B$86</f>
        <v>1.267392041552763E-2</v>
      </c>
      <c r="C98" s="318">
        <f>C87/C$86</f>
        <v>0.15897655803316182</v>
      </c>
      <c r="D98" s="318">
        <f>D87/D$86</f>
        <v>8.6709310589907607E-2</v>
      </c>
      <c r="E98" s="318">
        <f>E87/E$86</f>
        <v>0</v>
      </c>
      <c r="G98" s="318">
        <f t="shared" ref="G98:AA100" si="138">G87/G$86</f>
        <v>0.3</v>
      </c>
      <c r="H98" s="318">
        <f t="shared" si="138"/>
        <v>0</v>
      </c>
      <c r="I98" s="318">
        <f t="shared" si="138"/>
        <v>1</v>
      </c>
      <c r="J98" s="318">
        <f t="shared" si="138"/>
        <v>3.0210016155088858E-2</v>
      </c>
      <c r="K98" s="318">
        <f t="shared" si="138"/>
        <v>0.66666666666666663</v>
      </c>
      <c r="L98" s="318">
        <f t="shared" si="138"/>
        <v>1</v>
      </c>
      <c r="M98" s="318">
        <f t="shared" si="138"/>
        <v>1</v>
      </c>
      <c r="N98" s="318">
        <f t="shared" si="138"/>
        <v>1</v>
      </c>
      <c r="O98" s="318">
        <f t="shared" si="138"/>
        <v>0</v>
      </c>
      <c r="P98" s="318">
        <f t="shared" si="138"/>
        <v>0.4854368932038835</v>
      </c>
      <c r="Q98" s="318">
        <f t="shared" si="138"/>
        <v>1</v>
      </c>
      <c r="R98" s="318">
        <f t="shared" si="138"/>
        <v>1</v>
      </c>
      <c r="S98" s="318">
        <f t="shared" si="138"/>
        <v>1</v>
      </c>
      <c r="T98" s="318">
        <f t="shared" si="138"/>
        <v>0.11700000000000001</v>
      </c>
      <c r="U98" s="318">
        <f t="shared" si="138"/>
        <v>0.98026271424058842</v>
      </c>
      <c r="V98" s="318">
        <f t="shared" si="138"/>
        <v>1</v>
      </c>
      <c r="W98" s="318">
        <f t="shared" si="138"/>
        <v>6.9767441860465115E-2</v>
      </c>
      <c r="X98" s="318">
        <f t="shared" si="138"/>
        <v>0.125</v>
      </c>
      <c r="Y98" s="318">
        <f t="shared" si="138"/>
        <v>0.95792591390432924</v>
      </c>
      <c r="Z98" s="318">
        <f t="shared" si="138"/>
        <v>0.4854368932038835</v>
      </c>
      <c r="AA98" s="318">
        <f t="shared" si="138"/>
        <v>1.6941823281754136E-2</v>
      </c>
    </row>
    <row r="99" spans="1:27">
      <c r="A99" s="318">
        <f>'1.1 Алыкулова'!A108</f>
        <v>0.55000000000000004</v>
      </c>
      <c r="B99" s="318">
        <f t="shared" ref="B99:E106" si="139">B88/B$86</f>
        <v>0.68406282889183367</v>
      </c>
      <c r="C99" s="318">
        <f t="shared" si="139"/>
        <v>0.78956546598056032</v>
      </c>
      <c r="D99" s="318">
        <f t="shared" si="139"/>
        <v>0.49751243781094528</v>
      </c>
      <c r="E99" s="318">
        <f t="shared" si="139"/>
        <v>0.98716666666666675</v>
      </c>
      <c r="G99" s="318">
        <f t="shared" si="138"/>
        <v>0.7</v>
      </c>
      <c r="H99" s="318">
        <f t="shared" si="138"/>
        <v>1</v>
      </c>
      <c r="I99" s="318">
        <f t="shared" si="138"/>
        <v>0</v>
      </c>
      <c r="J99" s="318">
        <f t="shared" si="138"/>
        <v>0.63053311793214861</v>
      </c>
      <c r="K99" s="318">
        <f t="shared" si="138"/>
        <v>0.33333333333333331</v>
      </c>
      <c r="L99" s="318">
        <f t="shared" si="138"/>
        <v>0</v>
      </c>
      <c r="M99" s="318">
        <f t="shared" si="138"/>
        <v>0</v>
      </c>
      <c r="N99" s="318">
        <f t="shared" si="138"/>
        <v>0</v>
      </c>
      <c r="O99" s="318">
        <f t="shared" si="138"/>
        <v>1</v>
      </c>
      <c r="P99" s="318">
        <f t="shared" si="138"/>
        <v>0.5145631067961165</v>
      </c>
      <c r="Q99" s="318">
        <f t="shared" si="138"/>
        <v>0</v>
      </c>
      <c r="R99" s="318">
        <f t="shared" si="138"/>
        <v>0</v>
      </c>
      <c r="S99" s="318">
        <f t="shared" si="138"/>
        <v>0</v>
      </c>
      <c r="T99" s="318">
        <f t="shared" si="138"/>
        <v>0.69599999999999995</v>
      </c>
      <c r="U99" s="318">
        <f t="shared" si="138"/>
        <v>1.973728575941168E-2</v>
      </c>
      <c r="V99" s="318">
        <f t="shared" si="138"/>
        <v>0</v>
      </c>
      <c r="W99" s="318">
        <f t="shared" si="138"/>
        <v>0.93023255813953487</v>
      </c>
      <c r="X99" s="318">
        <f t="shared" si="138"/>
        <v>0.875</v>
      </c>
      <c r="Y99" s="318">
        <f t="shared" si="138"/>
        <v>3.2133728242788179E-2</v>
      </c>
      <c r="Z99" s="318">
        <f t="shared" si="138"/>
        <v>0.5145631067961165</v>
      </c>
      <c r="AA99" s="318">
        <f t="shared" si="138"/>
        <v>0.59651613264627867</v>
      </c>
    </row>
    <row r="100" spans="1:27">
      <c r="A100" s="318">
        <f>'1.1 Алыкулова'!A109</f>
        <v>0.77</v>
      </c>
      <c r="B100" s="318">
        <f t="shared" si="139"/>
        <v>0</v>
      </c>
      <c r="C100" s="318">
        <f t="shared" si="139"/>
        <v>0</v>
      </c>
      <c r="D100" s="318">
        <f t="shared" si="139"/>
        <v>0</v>
      </c>
      <c r="E100" s="318">
        <f t="shared" si="139"/>
        <v>0</v>
      </c>
      <c r="G100" s="318">
        <f t="shared" si="138"/>
        <v>0</v>
      </c>
      <c r="H100" s="318">
        <f t="shared" si="138"/>
        <v>0</v>
      </c>
      <c r="I100" s="318">
        <f t="shared" si="138"/>
        <v>0</v>
      </c>
      <c r="J100" s="318">
        <f t="shared" si="138"/>
        <v>0.3392568659127625</v>
      </c>
      <c r="K100" s="318">
        <f t="shared" si="138"/>
        <v>0</v>
      </c>
      <c r="L100" s="318">
        <f t="shared" si="138"/>
        <v>0</v>
      </c>
      <c r="M100" s="318">
        <f t="shared" si="138"/>
        <v>0</v>
      </c>
      <c r="N100" s="318">
        <f t="shared" si="138"/>
        <v>0</v>
      </c>
      <c r="O100" s="318">
        <f t="shared" si="138"/>
        <v>0</v>
      </c>
      <c r="P100" s="318">
        <f t="shared" si="138"/>
        <v>0</v>
      </c>
      <c r="Q100" s="318">
        <f t="shared" si="138"/>
        <v>0</v>
      </c>
      <c r="R100" s="318">
        <f t="shared" si="138"/>
        <v>0</v>
      </c>
      <c r="S100" s="318">
        <f t="shared" si="138"/>
        <v>0</v>
      </c>
      <c r="T100" s="318">
        <f t="shared" si="138"/>
        <v>0.187</v>
      </c>
      <c r="U100" s="318">
        <f t="shared" si="138"/>
        <v>0</v>
      </c>
      <c r="V100" s="318">
        <f t="shared" si="138"/>
        <v>0</v>
      </c>
      <c r="W100" s="318">
        <f t="shared" si="138"/>
        <v>0</v>
      </c>
      <c r="X100" s="318">
        <f t="shared" si="138"/>
        <v>0</v>
      </c>
      <c r="Y100" s="318">
        <f t="shared" si="138"/>
        <v>9.9403578528827058E-3</v>
      </c>
      <c r="Z100" s="318">
        <f t="shared" si="138"/>
        <v>0</v>
      </c>
      <c r="AA100" s="318">
        <f t="shared" si="138"/>
        <v>0.38654204407196718</v>
      </c>
    </row>
    <row r="101" spans="1:27">
      <c r="A101" s="318">
        <f>'1.1 Алыкулова'!A110</f>
        <v>1</v>
      </c>
      <c r="B101" s="318">
        <f t="shared" si="139"/>
        <v>0</v>
      </c>
      <c r="C101" s="318">
        <f t="shared" si="139"/>
        <v>0</v>
      </c>
      <c r="D101" s="318">
        <f t="shared" si="139"/>
        <v>0</v>
      </c>
      <c r="E101" s="318">
        <f t="shared" si="139"/>
        <v>0</v>
      </c>
      <c r="G101" s="318"/>
      <c r="H101" s="318"/>
      <c r="I101" s="318"/>
      <c r="J101" s="318"/>
      <c r="K101" s="318"/>
      <c r="L101" s="318"/>
      <c r="M101" s="318"/>
      <c r="N101" s="318"/>
      <c r="O101" s="318"/>
      <c r="P101" s="318"/>
      <c r="Q101" s="318"/>
      <c r="R101" s="318"/>
      <c r="S101" s="318"/>
      <c r="T101" s="318"/>
      <c r="U101" s="318"/>
      <c r="V101" s="318"/>
      <c r="W101" s="318"/>
      <c r="X101" s="318"/>
      <c r="Y101" s="318"/>
      <c r="Z101" s="318"/>
      <c r="AA101" s="318"/>
    </row>
    <row r="102" spans="1:27">
      <c r="A102" s="318">
        <f>'1.1 Алыкулова'!A111</f>
        <v>0.33</v>
      </c>
      <c r="B102" s="318">
        <f t="shared" si="139"/>
        <v>3.4988166111570647E-3</v>
      </c>
      <c r="C102" s="318">
        <f t="shared" si="139"/>
        <v>0</v>
      </c>
      <c r="D102" s="318">
        <f t="shared" si="139"/>
        <v>0.35536602700781805</v>
      </c>
      <c r="E102" s="318">
        <f t="shared" si="139"/>
        <v>1.2833333333333334E-2</v>
      </c>
      <c r="G102" s="318"/>
      <c r="H102" s="318"/>
      <c r="I102" s="318"/>
      <c r="J102" s="318"/>
      <c r="K102" s="318"/>
      <c r="L102" s="318"/>
      <c r="M102" s="318"/>
      <c r="N102" s="318"/>
      <c r="O102" s="318"/>
      <c r="P102" s="318"/>
      <c r="Q102" s="318"/>
      <c r="R102" s="318"/>
      <c r="S102" s="318"/>
      <c r="T102" s="318"/>
      <c r="U102" s="318"/>
      <c r="V102" s="318"/>
      <c r="W102" s="318"/>
      <c r="X102" s="318"/>
      <c r="Y102" s="318"/>
      <c r="Z102" s="318"/>
      <c r="AA102" s="318"/>
    </row>
    <row r="103" spans="1:27">
      <c r="A103" s="318">
        <f>'1.1 Алыкулова'!A112</f>
        <v>0.55000000000000004</v>
      </c>
      <c r="B103" s="318">
        <f t="shared" si="139"/>
        <v>0.26475490874490559</v>
      </c>
      <c r="C103" s="318">
        <f t="shared" si="139"/>
        <v>5.1457975986277875E-2</v>
      </c>
      <c r="D103" s="318">
        <f t="shared" si="139"/>
        <v>0</v>
      </c>
      <c r="E103" s="318">
        <f t="shared" si="139"/>
        <v>0</v>
      </c>
      <c r="G103" s="318"/>
      <c r="H103" s="318"/>
      <c r="I103" s="318"/>
      <c r="J103" s="318"/>
      <c r="K103" s="318"/>
      <c r="L103" s="318"/>
      <c r="M103" s="318"/>
      <c r="N103" s="318"/>
      <c r="O103" s="318"/>
      <c r="P103" s="318"/>
      <c r="Q103" s="318"/>
      <c r="R103" s="318"/>
      <c r="S103" s="318"/>
      <c r="T103" s="318"/>
      <c r="U103" s="318"/>
      <c r="V103" s="318"/>
      <c r="W103" s="318"/>
      <c r="X103" s="318"/>
      <c r="Y103" s="318"/>
      <c r="Z103" s="318"/>
      <c r="AA103" s="318"/>
    </row>
    <row r="104" spans="1:27">
      <c r="A104" s="318">
        <f>'1.1 Алыкулова'!A113</f>
        <v>0.77</v>
      </c>
      <c r="B104" s="318">
        <f t="shared" si="139"/>
        <v>0</v>
      </c>
      <c r="C104" s="318">
        <f t="shared" si="139"/>
        <v>0</v>
      </c>
      <c r="D104" s="318">
        <f t="shared" si="139"/>
        <v>0</v>
      </c>
      <c r="E104" s="318">
        <f t="shared" si="139"/>
        <v>0</v>
      </c>
      <c r="G104" s="318"/>
      <c r="H104" s="318"/>
      <c r="I104" s="318"/>
      <c r="J104" s="318"/>
      <c r="K104" s="318"/>
      <c r="L104" s="318"/>
      <c r="M104" s="318"/>
      <c r="N104" s="318"/>
      <c r="O104" s="318"/>
      <c r="P104" s="318"/>
      <c r="Q104" s="318"/>
      <c r="R104" s="318"/>
      <c r="S104" s="318"/>
      <c r="T104" s="318"/>
      <c r="U104" s="318"/>
      <c r="V104" s="318"/>
      <c r="W104" s="318"/>
      <c r="X104" s="318"/>
      <c r="Y104" s="318"/>
      <c r="Z104" s="318"/>
      <c r="AA104" s="318"/>
    </row>
    <row r="105" spans="1:27">
      <c r="A105" s="318">
        <f>'1.1 Алыкулова'!A114</f>
        <v>1</v>
      </c>
      <c r="B105" s="318">
        <f t="shared" si="139"/>
        <v>0</v>
      </c>
      <c r="C105" s="318">
        <f t="shared" si="139"/>
        <v>0</v>
      </c>
      <c r="D105" s="318">
        <f t="shared" si="139"/>
        <v>0</v>
      </c>
      <c r="E105" s="318">
        <f t="shared" si="139"/>
        <v>0</v>
      </c>
      <c r="G105" s="318"/>
      <c r="H105" s="318"/>
      <c r="I105" s="318"/>
      <c r="J105" s="318"/>
      <c r="K105" s="318"/>
      <c r="L105" s="318"/>
      <c r="M105" s="318"/>
      <c r="N105" s="318"/>
      <c r="O105" s="318"/>
      <c r="P105" s="318"/>
      <c r="Q105" s="318"/>
      <c r="R105" s="318"/>
      <c r="S105" s="318"/>
      <c r="T105" s="318"/>
      <c r="U105" s="318"/>
      <c r="V105" s="318"/>
      <c r="W105" s="318"/>
      <c r="X105" s="318"/>
      <c r="Y105" s="318"/>
      <c r="Z105" s="318"/>
      <c r="AA105" s="318"/>
    </row>
    <row r="106" spans="1:27">
      <c r="A106" s="318">
        <f>'1.1 Алыкулова'!A115</f>
        <v>0.05</v>
      </c>
      <c r="B106" s="318">
        <f t="shared" si="139"/>
        <v>3.5009525336576038E-2</v>
      </c>
      <c r="C106" s="318">
        <f t="shared" si="139"/>
        <v>0</v>
      </c>
      <c r="D106" s="318">
        <f t="shared" si="139"/>
        <v>6.041222459132907E-2</v>
      </c>
      <c r="E106" s="318">
        <f t="shared" si="139"/>
        <v>0</v>
      </c>
      <c r="G106" s="318">
        <f t="shared" ref="G106:Q106" si="140">G95/G$86</f>
        <v>0</v>
      </c>
      <c r="H106" s="318">
        <f t="shared" si="140"/>
        <v>0</v>
      </c>
      <c r="I106" s="318">
        <f t="shared" si="140"/>
        <v>0</v>
      </c>
      <c r="J106" s="318">
        <f t="shared" si="140"/>
        <v>0</v>
      </c>
      <c r="K106" s="318">
        <f t="shared" si="140"/>
        <v>0</v>
      </c>
      <c r="L106" s="318">
        <f t="shared" si="140"/>
        <v>0</v>
      </c>
      <c r="M106" s="318">
        <f t="shared" si="140"/>
        <v>0</v>
      </c>
      <c r="N106" s="318">
        <f t="shared" si="140"/>
        <v>0</v>
      </c>
      <c r="O106" s="318">
        <f t="shared" si="140"/>
        <v>0</v>
      </c>
      <c r="P106" s="318">
        <f t="shared" si="140"/>
        <v>0</v>
      </c>
      <c r="Q106" s="318">
        <f t="shared" si="140"/>
        <v>0</v>
      </c>
      <c r="R106" s="318">
        <f>R95/R$86</f>
        <v>0</v>
      </c>
      <c r="S106" s="318">
        <f t="shared" ref="S106:U106" si="141">S95/S$86</f>
        <v>0</v>
      </c>
      <c r="T106" s="318">
        <f t="shared" si="141"/>
        <v>0</v>
      </c>
      <c r="U106" s="318">
        <f t="shared" si="141"/>
        <v>0</v>
      </c>
      <c r="V106" s="318">
        <f>V95/V$86</f>
        <v>0</v>
      </c>
      <c r="W106" s="318">
        <f t="shared" ref="W106:X106" si="142">W95/W$86</f>
        <v>0</v>
      </c>
      <c r="X106" s="318">
        <f t="shared" si="142"/>
        <v>0</v>
      </c>
      <c r="Y106" s="318">
        <f>Y95/Y$86</f>
        <v>0</v>
      </c>
      <c r="Z106" s="318">
        <f t="shared" ref="Z106:AA106" si="143">Z95/Z$86</f>
        <v>0</v>
      </c>
      <c r="AA106" s="318">
        <f t="shared" si="143"/>
        <v>0</v>
      </c>
    </row>
    <row r="107" spans="1:27">
      <c r="B107" s="281"/>
      <c r="C107" s="278"/>
      <c r="D107" s="278"/>
      <c r="E107" s="278"/>
      <c r="G107" s="278"/>
      <c r="H107" s="278"/>
      <c r="I107" s="278"/>
      <c r="J107" s="278"/>
      <c r="K107" s="278"/>
      <c r="L107" s="278"/>
      <c r="M107" s="278"/>
      <c r="N107" s="278"/>
      <c r="O107" s="278"/>
      <c r="P107" s="278"/>
      <c r="Q107" s="278"/>
      <c r="R107" s="278"/>
      <c r="S107" s="278"/>
      <c r="T107" s="278"/>
      <c r="U107" s="278"/>
      <c r="V107" s="278"/>
      <c r="W107" s="278"/>
      <c r="X107" s="278"/>
      <c r="Y107" s="278"/>
      <c r="Z107" s="278"/>
      <c r="AA107" s="278"/>
    </row>
    <row r="108" spans="1:27" ht="15">
      <c r="A108" s="346" t="s">
        <v>278</v>
      </c>
      <c r="B108" s="281"/>
      <c r="C108" s="278"/>
      <c r="D108" s="278"/>
      <c r="E108" s="278"/>
      <c r="G108" s="278"/>
      <c r="H108" s="278"/>
      <c r="I108" s="278"/>
      <c r="J108" s="278"/>
      <c r="K108" s="278"/>
      <c r="L108" s="278"/>
      <c r="M108" s="278"/>
      <c r="N108" s="278"/>
      <c r="O108" s="278"/>
      <c r="P108" s="278"/>
      <c r="Q108" s="278"/>
      <c r="R108" s="278"/>
      <c r="S108" s="278"/>
      <c r="T108" s="278"/>
      <c r="U108" s="278"/>
      <c r="V108" s="278"/>
      <c r="W108" s="278"/>
      <c r="X108" s="278"/>
      <c r="Y108" s="278"/>
      <c r="Z108" s="278"/>
      <c r="AA108" s="278"/>
    </row>
    <row r="109" spans="1:27" ht="12.75" customHeight="1">
      <c r="A109" s="320"/>
      <c r="B109" s="319">
        <f>$A98*B98</f>
        <v>4.1823937371241182E-3</v>
      </c>
      <c r="C109" s="319">
        <f>$A98*C98</f>
        <v>5.2462264150943405E-2</v>
      </c>
      <c r="D109" s="319">
        <f>$A98*D98</f>
        <v>2.8614072494669511E-2</v>
      </c>
      <c r="E109" s="319">
        <f>$A98*E98</f>
        <v>0</v>
      </c>
      <c r="G109" s="319">
        <f t="shared" ref="G109:AA111" si="144">$A98*G98</f>
        <v>9.9000000000000005E-2</v>
      </c>
      <c r="H109" s="319">
        <f t="shared" si="144"/>
        <v>0</v>
      </c>
      <c r="I109" s="319">
        <f t="shared" si="144"/>
        <v>0.33</v>
      </c>
      <c r="J109" s="319">
        <f t="shared" si="144"/>
        <v>9.969305331179323E-3</v>
      </c>
      <c r="K109" s="319">
        <f t="shared" si="144"/>
        <v>0.22</v>
      </c>
      <c r="L109" s="319">
        <f t="shared" si="144"/>
        <v>0.33</v>
      </c>
      <c r="M109" s="319">
        <f t="shared" si="144"/>
        <v>0.33</v>
      </c>
      <c r="N109" s="319">
        <f t="shared" si="144"/>
        <v>0.33</v>
      </c>
      <c r="O109" s="319">
        <f t="shared" si="144"/>
        <v>0</v>
      </c>
      <c r="P109" s="319">
        <f t="shared" si="144"/>
        <v>0.16019417475728157</v>
      </c>
      <c r="Q109" s="319">
        <f t="shared" si="144"/>
        <v>0.33</v>
      </c>
      <c r="R109" s="319">
        <f t="shared" si="144"/>
        <v>0.33</v>
      </c>
      <c r="S109" s="319">
        <f t="shared" si="144"/>
        <v>0.33</v>
      </c>
      <c r="T109" s="319">
        <f t="shared" si="144"/>
        <v>3.8610000000000005E-2</v>
      </c>
      <c r="U109" s="319">
        <f t="shared" si="144"/>
        <v>0.3234866956993942</v>
      </c>
      <c r="V109" s="319">
        <f t="shared" si="144"/>
        <v>0.33</v>
      </c>
      <c r="W109" s="319">
        <f t="shared" si="144"/>
        <v>2.3023255813953491E-2</v>
      </c>
      <c r="X109" s="319">
        <f t="shared" si="144"/>
        <v>4.1250000000000002E-2</v>
      </c>
      <c r="Y109" s="319">
        <f t="shared" si="144"/>
        <v>0.31611555158842869</v>
      </c>
      <c r="Z109" s="319">
        <f t="shared" si="144"/>
        <v>0.16019417475728157</v>
      </c>
      <c r="AA109" s="319">
        <f t="shared" si="144"/>
        <v>5.5908016829788647E-3</v>
      </c>
    </row>
    <row r="110" spans="1:27" ht="12.75" customHeight="1">
      <c r="A110" s="320"/>
      <c r="B110" s="319">
        <f t="shared" ref="B110:E117" si="145">$A99*B99</f>
        <v>0.37623455589050853</v>
      </c>
      <c r="C110" s="319">
        <f t="shared" si="145"/>
        <v>0.43426100628930819</v>
      </c>
      <c r="D110" s="319">
        <f t="shared" si="145"/>
        <v>0.27363184079601993</v>
      </c>
      <c r="E110" s="319">
        <f t="shared" si="145"/>
        <v>0.54294166666666677</v>
      </c>
      <c r="G110" s="319">
        <f t="shared" si="144"/>
        <v>0.38500000000000001</v>
      </c>
      <c r="H110" s="319">
        <f t="shared" si="144"/>
        <v>0.55000000000000004</v>
      </c>
      <c r="I110" s="319">
        <f t="shared" si="144"/>
        <v>0</v>
      </c>
      <c r="J110" s="319">
        <f t="shared" si="144"/>
        <v>0.34679321486268178</v>
      </c>
      <c r="K110" s="319">
        <f t="shared" si="144"/>
        <v>0.18333333333333335</v>
      </c>
      <c r="L110" s="319">
        <f t="shared" si="144"/>
        <v>0</v>
      </c>
      <c r="M110" s="319">
        <f t="shared" si="144"/>
        <v>0</v>
      </c>
      <c r="N110" s="319">
        <f t="shared" si="144"/>
        <v>0</v>
      </c>
      <c r="O110" s="319">
        <f t="shared" si="144"/>
        <v>0.55000000000000004</v>
      </c>
      <c r="P110" s="319">
        <f t="shared" si="144"/>
        <v>0.28300970873786407</v>
      </c>
      <c r="Q110" s="319">
        <f t="shared" si="144"/>
        <v>0</v>
      </c>
      <c r="R110" s="319">
        <f t="shared" si="144"/>
        <v>0</v>
      </c>
      <c r="S110" s="319">
        <f t="shared" si="144"/>
        <v>0</v>
      </c>
      <c r="T110" s="319">
        <f t="shared" si="144"/>
        <v>0.38280000000000003</v>
      </c>
      <c r="U110" s="319">
        <f t="shared" si="144"/>
        <v>1.0855507167676425E-2</v>
      </c>
      <c r="V110" s="319">
        <f t="shared" si="144"/>
        <v>0</v>
      </c>
      <c r="W110" s="319">
        <f t="shared" si="144"/>
        <v>0.51162790697674421</v>
      </c>
      <c r="X110" s="319">
        <f t="shared" si="144"/>
        <v>0.48125000000000007</v>
      </c>
      <c r="Y110" s="319">
        <f t="shared" si="144"/>
        <v>1.7673550533533498E-2</v>
      </c>
      <c r="Z110" s="319">
        <f t="shared" si="144"/>
        <v>0.28300970873786407</v>
      </c>
      <c r="AA110" s="319">
        <f t="shared" si="144"/>
        <v>0.32808387295545327</v>
      </c>
    </row>
    <row r="111" spans="1:27" ht="12.75" customHeight="1">
      <c r="A111" s="320"/>
      <c r="B111" s="319">
        <f t="shared" si="145"/>
        <v>0</v>
      </c>
      <c r="C111" s="319">
        <f t="shared" si="145"/>
        <v>0</v>
      </c>
      <c r="D111" s="319">
        <f t="shared" si="145"/>
        <v>0</v>
      </c>
      <c r="E111" s="319">
        <f t="shared" si="145"/>
        <v>0</v>
      </c>
      <c r="G111" s="319">
        <f t="shared" si="144"/>
        <v>0</v>
      </c>
      <c r="H111" s="319">
        <f t="shared" si="144"/>
        <v>0</v>
      </c>
      <c r="I111" s="319">
        <f t="shared" si="144"/>
        <v>0</v>
      </c>
      <c r="J111" s="319">
        <f t="shared" si="144"/>
        <v>0.26122778675282715</v>
      </c>
      <c r="K111" s="319">
        <f t="shared" si="144"/>
        <v>0</v>
      </c>
      <c r="L111" s="319">
        <f t="shared" si="144"/>
        <v>0</v>
      </c>
      <c r="M111" s="319">
        <f t="shared" si="144"/>
        <v>0</v>
      </c>
      <c r="N111" s="319">
        <f t="shared" si="144"/>
        <v>0</v>
      </c>
      <c r="O111" s="319">
        <f t="shared" si="144"/>
        <v>0</v>
      </c>
      <c r="P111" s="319">
        <f t="shared" si="144"/>
        <v>0</v>
      </c>
      <c r="Q111" s="319">
        <f t="shared" si="144"/>
        <v>0</v>
      </c>
      <c r="R111" s="319">
        <f t="shared" si="144"/>
        <v>0</v>
      </c>
      <c r="S111" s="319">
        <f t="shared" si="144"/>
        <v>0</v>
      </c>
      <c r="T111" s="319">
        <f t="shared" si="144"/>
        <v>0.14399000000000001</v>
      </c>
      <c r="U111" s="319">
        <f t="shared" si="144"/>
        <v>0</v>
      </c>
      <c r="V111" s="319">
        <f t="shared" si="144"/>
        <v>0</v>
      </c>
      <c r="W111" s="319">
        <f t="shared" si="144"/>
        <v>0</v>
      </c>
      <c r="X111" s="319">
        <f t="shared" si="144"/>
        <v>0</v>
      </c>
      <c r="Y111" s="319">
        <f t="shared" si="144"/>
        <v>7.654075546719684E-3</v>
      </c>
      <c r="Z111" s="319">
        <f t="shared" si="144"/>
        <v>0</v>
      </c>
      <c r="AA111" s="319">
        <f t="shared" si="144"/>
        <v>0.29763737393541473</v>
      </c>
    </row>
    <row r="112" spans="1:27" ht="12.75" customHeight="1">
      <c r="A112" s="320"/>
      <c r="B112" s="319">
        <f t="shared" si="145"/>
        <v>0</v>
      </c>
      <c r="C112" s="319">
        <f t="shared" si="145"/>
        <v>0</v>
      </c>
      <c r="D112" s="319">
        <f t="shared" si="145"/>
        <v>0</v>
      </c>
      <c r="E112" s="319">
        <f t="shared" si="145"/>
        <v>0</v>
      </c>
      <c r="G112" s="319"/>
      <c r="H112" s="319"/>
      <c r="I112" s="319"/>
      <c r="J112" s="319"/>
      <c r="K112" s="319"/>
      <c r="L112" s="319"/>
      <c r="M112" s="319"/>
      <c r="N112" s="319"/>
      <c r="O112" s="319"/>
      <c r="P112" s="319"/>
      <c r="Q112" s="319"/>
      <c r="R112" s="319"/>
      <c r="S112" s="319"/>
      <c r="T112" s="319"/>
      <c r="U112" s="319"/>
      <c r="V112" s="319"/>
      <c r="W112" s="319"/>
      <c r="X112" s="319"/>
      <c r="Y112" s="319"/>
      <c r="Z112" s="319"/>
      <c r="AA112" s="319"/>
    </row>
    <row r="113" spans="1:27" ht="12.75" customHeight="1">
      <c r="A113" s="320"/>
      <c r="B113" s="319">
        <f t="shared" si="145"/>
        <v>1.1546094816818314E-3</v>
      </c>
      <c r="C113" s="319">
        <f t="shared" si="145"/>
        <v>0</v>
      </c>
      <c r="D113" s="319">
        <f t="shared" si="145"/>
        <v>0.11727078891257996</v>
      </c>
      <c r="E113" s="319">
        <f t="shared" si="145"/>
        <v>4.235E-3</v>
      </c>
      <c r="G113" s="319"/>
      <c r="H113" s="319"/>
      <c r="I113" s="319"/>
      <c r="J113" s="319"/>
      <c r="K113" s="319"/>
      <c r="L113" s="319"/>
      <c r="M113" s="319"/>
      <c r="N113" s="319"/>
      <c r="O113" s="319"/>
      <c r="P113" s="319"/>
      <c r="Q113" s="319"/>
      <c r="R113" s="319"/>
      <c r="S113" s="319"/>
      <c r="T113" s="319"/>
      <c r="U113" s="319"/>
      <c r="V113" s="319"/>
      <c r="W113" s="319"/>
      <c r="X113" s="319"/>
      <c r="Y113" s="319"/>
      <c r="Z113" s="319"/>
      <c r="AA113" s="319"/>
    </row>
    <row r="114" spans="1:27" ht="12.75" customHeight="1">
      <c r="A114" s="320"/>
      <c r="B114" s="319">
        <f t="shared" si="145"/>
        <v>0.14561519980969809</v>
      </c>
      <c r="C114" s="319">
        <f t="shared" si="145"/>
        <v>2.8301886792452834E-2</v>
      </c>
      <c r="D114" s="319">
        <f t="shared" si="145"/>
        <v>0</v>
      </c>
      <c r="E114" s="319">
        <f t="shared" si="145"/>
        <v>0</v>
      </c>
      <c r="G114" s="319"/>
      <c r="H114" s="319"/>
      <c r="I114" s="319"/>
      <c r="J114" s="319"/>
      <c r="K114" s="319"/>
      <c r="L114" s="319"/>
      <c r="M114" s="319"/>
      <c r="N114" s="319"/>
      <c r="O114" s="319"/>
      <c r="P114" s="319"/>
      <c r="Q114" s="319"/>
      <c r="R114" s="319"/>
      <c r="S114" s="319"/>
      <c r="T114" s="319"/>
      <c r="U114" s="319"/>
      <c r="V114" s="319"/>
      <c r="W114" s="319"/>
      <c r="X114" s="319"/>
      <c r="Y114" s="319"/>
      <c r="Z114" s="319"/>
      <c r="AA114" s="319"/>
    </row>
    <row r="115" spans="1:27" ht="12.75" customHeight="1">
      <c r="A115" s="320"/>
      <c r="B115" s="319">
        <f t="shared" si="145"/>
        <v>0</v>
      </c>
      <c r="C115" s="319">
        <f t="shared" si="145"/>
        <v>0</v>
      </c>
      <c r="D115" s="319">
        <f t="shared" si="145"/>
        <v>0</v>
      </c>
      <c r="E115" s="319">
        <f t="shared" si="145"/>
        <v>0</v>
      </c>
      <c r="G115" s="319"/>
      <c r="H115" s="319"/>
      <c r="I115" s="319"/>
      <c r="J115" s="319"/>
      <c r="K115" s="319"/>
      <c r="L115" s="319"/>
      <c r="M115" s="319"/>
      <c r="N115" s="319"/>
      <c r="O115" s="319"/>
      <c r="P115" s="319"/>
      <c r="Q115" s="319"/>
      <c r="R115" s="319"/>
      <c r="S115" s="319"/>
      <c r="T115" s="319"/>
      <c r="U115" s="319"/>
      <c r="V115" s="319"/>
      <c r="W115" s="319"/>
      <c r="X115" s="319"/>
      <c r="Y115" s="319"/>
      <c r="Z115" s="319"/>
      <c r="AA115" s="319"/>
    </row>
    <row r="116" spans="1:27" ht="12.75" customHeight="1">
      <c r="A116" s="320"/>
      <c r="B116" s="319">
        <f t="shared" si="145"/>
        <v>0</v>
      </c>
      <c r="C116" s="319">
        <f t="shared" si="145"/>
        <v>0</v>
      </c>
      <c r="D116" s="319">
        <f t="shared" si="145"/>
        <v>0</v>
      </c>
      <c r="E116" s="319">
        <f t="shared" si="145"/>
        <v>0</v>
      </c>
      <c r="G116" s="319"/>
      <c r="H116" s="319"/>
      <c r="I116" s="319"/>
      <c r="J116" s="319"/>
      <c r="K116" s="319"/>
      <c r="L116" s="319"/>
      <c r="M116" s="319"/>
      <c r="N116" s="319"/>
      <c r="O116" s="319"/>
      <c r="P116" s="319"/>
      <c r="Q116" s="319"/>
      <c r="R116" s="319"/>
      <c r="S116" s="319"/>
      <c r="T116" s="319"/>
      <c r="U116" s="319"/>
      <c r="V116" s="319"/>
      <c r="W116" s="319"/>
      <c r="X116" s="319"/>
      <c r="Y116" s="319"/>
      <c r="Z116" s="319"/>
      <c r="AA116" s="319"/>
    </row>
    <row r="117" spans="1:27" ht="12.75" customHeight="1">
      <c r="A117" s="320"/>
      <c r="B117" s="319">
        <f t="shared" si="145"/>
        <v>1.7504762668288021E-3</v>
      </c>
      <c r="C117" s="319">
        <f t="shared" si="145"/>
        <v>0</v>
      </c>
      <c r="D117" s="319">
        <f t="shared" si="145"/>
        <v>3.0206112295664538E-3</v>
      </c>
      <c r="E117" s="319">
        <f t="shared" si="145"/>
        <v>0</v>
      </c>
      <c r="G117" s="319">
        <f t="shared" ref="G117:AA117" si="146">$A106*G106</f>
        <v>0</v>
      </c>
      <c r="H117" s="319">
        <f t="shared" si="146"/>
        <v>0</v>
      </c>
      <c r="I117" s="319">
        <f t="shared" si="146"/>
        <v>0</v>
      </c>
      <c r="J117" s="319">
        <f t="shared" si="146"/>
        <v>0</v>
      </c>
      <c r="K117" s="319">
        <f t="shared" si="146"/>
        <v>0</v>
      </c>
      <c r="L117" s="319">
        <f t="shared" si="146"/>
        <v>0</v>
      </c>
      <c r="M117" s="319">
        <f t="shared" si="146"/>
        <v>0</v>
      </c>
      <c r="N117" s="319">
        <f t="shared" si="146"/>
        <v>0</v>
      </c>
      <c r="O117" s="319">
        <f t="shared" si="146"/>
        <v>0</v>
      </c>
      <c r="P117" s="319">
        <f t="shared" si="146"/>
        <v>0</v>
      </c>
      <c r="Q117" s="319">
        <f t="shared" si="146"/>
        <v>0</v>
      </c>
      <c r="R117" s="319">
        <f t="shared" si="146"/>
        <v>0</v>
      </c>
      <c r="S117" s="319">
        <f t="shared" si="146"/>
        <v>0</v>
      </c>
      <c r="T117" s="319">
        <f t="shared" si="146"/>
        <v>0</v>
      </c>
      <c r="U117" s="319">
        <f t="shared" si="146"/>
        <v>0</v>
      </c>
      <c r="V117" s="319">
        <f t="shared" si="146"/>
        <v>0</v>
      </c>
      <c r="W117" s="319">
        <f t="shared" si="146"/>
        <v>0</v>
      </c>
      <c r="X117" s="319">
        <f t="shared" si="146"/>
        <v>0</v>
      </c>
      <c r="Y117" s="319">
        <f t="shared" si="146"/>
        <v>0</v>
      </c>
      <c r="Z117" s="319">
        <f t="shared" si="146"/>
        <v>0</v>
      </c>
      <c r="AA117" s="319">
        <f t="shared" si="146"/>
        <v>0</v>
      </c>
    </row>
    <row r="118" spans="1:27">
      <c r="A118" s="320" t="s">
        <v>279</v>
      </c>
      <c r="B118" s="321">
        <f t="shared" ref="B118:C118" si="147">SUM(B109:B117)</f>
        <v>0.52893723518584135</v>
      </c>
      <c r="C118" s="321">
        <f t="shared" si="147"/>
        <v>0.51502515723270448</v>
      </c>
      <c r="D118" s="321">
        <f>SUM(D109:D117)</f>
        <v>0.42253731343283585</v>
      </c>
      <c r="E118" s="321">
        <f>SUM(E109:E117)</f>
        <v>0.54717666666666676</v>
      </c>
      <c r="G118" s="321">
        <f>SUM(G109:G117)</f>
        <v>0.48399999999999999</v>
      </c>
      <c r="H118" s="321">
        <f>SUM(H109:H117)</f>
        <v>0.55000000000000004</v>
      </c>
      <c r="I118" s="321">
        <f t="shared" ref="I118:K118" si="148">SUM(I109:I117)</f>
        <v>0.33</v>
      </c>
      <c r="J118" s="321">
        <f t="shared" si="148"/>
        <v>0.61799030694668833</v>
      </c>
      <c r="K118" s="321">
        <f t="shared" si="148"/>
        <v>0.40333333333333332</v>
      </c>
      <c r="L118" s="321">
        <f>SUM(L109:L117)</f>
        <v>0.33</v>
      </c>
      <c r="M118" s="321">
        <f>SUM(M109:M117)</f>
        <v>0.33</v>
      </c>
      <c r="N118" s="321">
        <f t="shared" ref="N118:O118" si="149">SUM(N109:N117)</f>
        <v>0.33</v>
      </c>
      <c r="O118" s="321">
        <f t="shared" si="149"/>
        <v>0.55000000000000004</v>
      </c>
      <c r="P118" s="321">
        <f>SUM(P109:P117)</f>
        <v>0.44320388349514561</v>
      </c>
      <c r="Q118" s="321">
        <f t="shared" ref="Q118:Y118" si="150">SUM(Q109:Q117)</f>
        <v>0.33</v>
      </c>
      <c r="R118" s="321">
        <f t="shared" si="150"/>
        <v>0.33</v>
      </c>
      <c r="S118" s="321">
        <f t="shared" si="150"/>
        <v>0.33</v>
      </c>
      <c r="T118" s="321">
        <f t="shared" si="150"/>
        <v>0.56540000000000012</v>
      </c>
      <c r="U118" s="321">
        <f t="shared" si="150"/>
        <v>0.33434220286707061</v>
      </c>
      <c r="V118" s="321">
        <f t="shared" si="150"/>
        <v>0.33</v>
      </c>
      <c r="W118" s="321">
        <f t="shared" si="150"/>
        <v>0.53465116279069769</v>
      </c>
      <c r="X118" s="321">
        <f t="shared" si="150"/>
        <v>0.52250000000000008</v>
      </c>
      <c r="Y118" s="321">
        <f t="shared" si="150"/>
        <v>0.34144317766868187</v>
      </c>
      <c r="Z118" s="321">
        <f>SUM(Z109:Z117)</f>
        <v>0.44320388349514561</v>
      </c>
      <c r="AA118" s="321">
        <f>SUM(AA109:AA117)</f>
        <v>0.63131204857384682</v>
      </c>
    </row>
    <row r="119" spans="1:27">
      <c r="A119" s="322" t="s">
        <v>280</v>
      </c>
      <c r="B119" s="323"/>
      <c r="C119" s="324">
        <f t="shared" ref="C119" si="151">$B$118/C118</f>
        <v>1.0270124240685412</v>
      </c>
      <c r="D119" s="324">
        <f>$B$118/D118</f>
        <v>1.2518118953532804</v>
      </c>
      <c r="E119" s="324">
        <f>$B$118/E118</f>
        <v>0.96666628423332124</v>
      </c>
      <c r="G119" s="324">
        <f t="shared" ref="G119:Q119" si="152">$B$118/G118</f>
        <v>1.0928455272434738</v>
      </c>
      <c r="H119" s="324">
        <f t="shared" si="152"/>
        <v>0.9617040639742569</v>
      </c>
      <c r="I119" s="324">
        <f t="shared" si="152"/>
        <v>1.6028401066237616</v>
      </c>
      <c r="J119" s="324">
        <f t="shared" si="152"/>
        <v>0.8558989182195551</v>
      </c>
      <c r="K119" s="324">
        <f t="shared" si="152"/>
        <v>1.3114146326921687</v>
      </c>
      <c r="L119" s="324">
        <f t="shared" si="152"/>
        <v>1.6028401066237616</v>
      </c>
      <c r="M119" s="324">
        <f t="shared" si="152"/>
        <v>1.6028401066237616</v>
      </c>
      <c r="N119" s="324">
        <f t="shared" si="152"/>
        <v>1.6028401066237616</v>
      </c>
      <c r="O119" s="324">
        <f t="shared" si="152"/>
        <v>0.9617040639742569</v>
      </c>
      <c r="P119" s="324">
        <f t="shared" si="152"/>
        <v>1.1934399830041984</v>
      </c>
      <c r="Q119" s="324">
        <f t="shared" si="152"/>
        <v>1.6028401066237616</v>
      </c>
      <c r="R119" s="324">
        <f>$B$118/R118</f>
        <v>1.6028401066237616</v>
      </c>
      <c r="S119" s="324">
        <f>$B$118/S118</f>
        <v>1.6028401066237616</v>
      </c>
      <c r="T119" s="324">
        <f t="shared" ref="T119:AA119" si="153">$B$118/T118</f>
        <v>0.93550978985822641</v>
      </c>
      <c r="U119" s="324">
        <f t="shared" si="153"/>
        <v>1.5820235395055369</v>
      </c>
      <c r="V119" s="324">
        <f t="shared" si="153"/>
        <v>1.6028401066237616</v>
      </c>
      <c r="W119" s="324">
        <f t="shared" si="153"/>
        <v>0.98931279308356579</v>
      </c>
      <c r="X119" s="324">
        <f t="shared" si="153"/>
        <v>1.0123200673413231</v>
      </c>
      <c r="Y119" s="324">
        <f t="shared" si="153"/>
        <v>1.5491222838228551</v>
      </c>
      <c r="Z119" s="324">
        <f t="shared" si="153"/>
        <v>1.1934399830041984</v>
      </c>
      <c r="AA119" s="324">
        <f t="shared" si="153"/>
        <v>0.83783801747602737</v>
      </c>
    </row>
    <row r="120" spans="1:27">
      <c r="A120" s="320" t="s">
        <v>281</v>
      </c>
      <c r="B120" s="325">
        <f>$B$125*B27</f>
        <v>8916578.1818181816</v>
      </c>
      <c r="C120" s="325">
        <f>$B$125*C27</f>
        <v>4068229.0909090908</v>
      </c>
      <c r="D120" s="325">
        <f>$B$125*D27</f>
        <v>967090.90909090918</v>
      </c>
      <c r="E120" s="325">
        <f>$B$125*E27</f>
        <v>1031563.6363636364</v>
      </c>
      <c r="G120" s="325">
        <f t="shared" ref="G120:AA120" si="154">$B$125*G27</f>
        <v>161181.81818181818</v>
      </c>
      <c r="H120" s="325">
        <f t="shared" si="154"/>
        <v>2421918</v>
      </c>
      <c r="I120" s="325">
        <f t="shared" si="154"/>
        <v>128945.45454545454</v>
      </c>
      <c r="J120" s="325">
        <f t="shared" si="154"/>
        <v>1934181.8181818184</v>
      </c>
      <c r="K120" s="325">
        <f t="shared" si="154"/>
        <v>967090.90909090918</v>
      </c>
      <c r="L120" s="325">
        <f t="shared" si="154"/>
        <v>225654.54545454547</v>
      </c>
      <c r="M120" s="325">
        <f t="shared" si="154"/>
        <v>48354.545454545456</v>
      </c>
      <c r="N120" s="325">
        <f t="shared" si="154"/>
        <v>1131496.3636363638</v>
      </c>
      <c r="O120" s="325">
        <f t="shared" si="154"/>
        <v>709200</v>
      </c>
      <c r="P120" s="325">
        <f t="shared" si="154"/>
        <v>773672.72727272729</v>
      </c>
      <c r="Q120" s="325">
        <f t="shared" si="154"/>
        <v>1934181.8181818184</v>
      </c>
      <c r="R120" s="325">
        <f t="shared" si="154"/>
        <v>1611818.1818181819</v>
      </c>
      <c r="S120" s="325">
        <f t="shared" si="154"/>
        <v>451309.09090909094</v>
      </c>
      <c r="T120" s="325">
        <f t="shared" si="154"/>
        <v>145063.63636363638</v>
      </c>
      <c r="U120" s="325">
        <f t="shared" si="154"/>
        <v>3868363.6363636367</v>
      </c>
      <c r="V120" s="325">
        <f t="shared" si="154"/>
        <v>145063.63636363638</v>
      </c>
      <c r="W120" s="325">
        <f t="shared" si="154"/>
        <v>3352581.8181818184</v>
      </c>
      <c r="X120" s="325">
        <f t="shared" si="154"/>
        <v>161181.81818181818</v>
      </c>
      <c r="Y120" s="325">
        <f t="shared" si="154"/>
        <v>1622133.8181818181</v>
      </c>
      <c r="Z120" s="325">
        <f t="shared" si="154"/>
        <v>773672.72727272729</v>
      </c>
      <c r="AA120" s="325">
        <f t="shared" si="154"/>
        <v>548018.18181818188</v>
      </c>
    </row>
    <row r="121" spans="1:27">
      <c r="A121" s="322" t="s">
        <v>282</v>
      </c>
      <c r="B121" s="326"/>
      <c r="C121" s="327">
        <f>1-C120/C35</f>
        <v>0.43496818181818186</v>
      </c>
      <c r="D121" s="327">
        <f>1-D120/D35</f>
        <v>0.35527272727272718</v>
      </c>
      <c r="E121" s="327">
        <f>1-E120/E35</f>
        <v>0.31229090909090906</v>
      </c>
      <c r="G121" s="327">
        <f t="shared" ref="G121:AA121" si="155">1-G120/G35</f>
        <v>0.752027972027972</v>
      </c>
      <c r="H121" s="327">
        <f t="shared" si="155"/>
        <v>3.1232799999999949E-2</v>
      </c>
      <c r="I121" s="327">
        <f t="shared" si="155"/>
        <v>0.85592686642965976</v>
      </c>
      <c r="J121" s="327">
        <f t="shared" si="155"/>
        <v>0.28363636363636358</v>
      </c>
      <c r="K121" s="327">
        <f t="shared" si="155"/>
        <v>0.76974025974025972</v>
      </c>
      <c r="L121" s="327">
        <f t="shared" si="155"/>
        <v>0.90973818181818178</v>
      </c>
      <c r="M121" s="327">
        <f t="shared" si="155"/>
        <v>0.78020661157024795</v>
      </c>
      <c r="N121" s="327">
        <f t="shared" si="155"/>
        <v>0.12874692874692861</v>
      </c>
      <c r="O121" s="327">
        <f t="shared" si="155"/>
        <v>6.6842105263157925E-2</v>
      </c>
      <c r="P121" s="327">
        <f t="shared" si="155"/>
        <v>0.3552727272727273</v>
      </c>
      <c r="Q121" s="327">
        <f t="shared" si="155"/>
        <v>0.28363636363636358</v>
      </c>
      <c r="R121" s="327">
        <f t="shared" si="155"/>
        <v>0.46272727272727265</v>
      </c>
      <c r="S121" s="327">
        <f t="shared" si="155"/>
        <v>0.46904812834224596</v>
      </c>
      <c r="T121" s="327">
        <f t="shared" si="155"/>
        <v>0.61825358851674639</v>
      </c>
      <c r="U121" s="327">
        <f t="shared" si="155"/>
        <v>0.35527272727272718</v>
      </c>
      <c r="V121" s="327">
        <f t="shared" si="155"/>
        <v>0.61825358851674639</v>
      </c>
      <c r="W121" s="327">
        <f t="shared" si="155"/>
        <v>-0.1175272727272727</v>
      </c>
      <c r="X121" s="327">
        <f t="shared" si="155"/>
        <v>0.67763636363636359</v>
      </c>
      <c r="Y121" s="327">
        <f t="shared" si="155"/>
        <v>-0.35177818181818177</v>
      </c>
      <c r="Z121" s="327">
        <f t="shared" si="155"/>
        <v>0.3552727272727273</v>
      </c>
      <c r="AA121" s="327">
        <f t="shared" si="155"/>
        <v>-0.24549586776859522</v>
      </c>
    </row>
    <row r="122" spans="1:27" ht="15.75">
      <c r="A122" s="328" t="s">
        <v>283</v>
      </c>
      <c r="B122" s="329"/>
      <c r="C122" s="330">
        <f t="shared" ref="C122" si="156">1-(1-C119)*C121</f>
        <v>1.0117495449835952</v>
      </c>
      <c r="D122" s="330">
        <f>1-(1-D119)*D121</f>
        <v>1.0894618988218745</v>
      </c>
      <c r="E122" s="330">
        <f>1-(1-E119)*E121</f>
        <v>0.98959018359984596</v>
      </c>
      <c r="G122" s="330">
        <f t="shared" ref="G122:Q122" si="157">1-(1-G119)*G121</f>
        <v>1.0698224335647775</v>
      </c>
      <c r="H122" s="330">
        <f t="shared" si="157"/>
        <v>0.99880391068929519</v>
      </c>
      <c r="I122" s="330">
        <f t="shared" si="157"/>
        <v>1.5159870434205982</v>
      </c>
      <c r="J122" s="330">
        <f t="shared" si="157"/>
        <v>0.95912769316772839</v>
      </c>
      <c r="K122" s="330">
        <f t="shared" si="157"/>
        <v>1.2397083802553874</v>
      </c>
      <c r="L122" s="330">
        <f t="shared" si="157"/>
        <v>1.5484266625269798</v>
      </c>
      <c r="M122" s="330">
        <f t="shared" si="157"/>
        <v>1.4703398369075722</v>
      </c>
      <c r="N122" s="330">
        <f t="shared" si="157"/>
        <v>1.0776138122532803</v>
      </c>
      <c r="O122" s="330">
        <f t="shared" si="157"/>
        <v>0.99744021901301616</v>
      </c>
      <c r="P122" s="330">
        <f t="shared" si="157"/>
        <v>1.0687239503254915</v>
      </c>
      <c r="Q122" s="330">
        <f t="shared" si="157"/>
        <v>1.1709873756969214</v>
      </c>
      <c r="R122" s="330">
        <f>1-(1-R119)*R121</f>
        <v>1.2789505584286314</v>
      </c>
      <c r="S122" s="330">
        <f>1-(1-S119)*S121</f>
        <v>1.2827610237015155</v>
      </c>
      <c r="T122" s="330">
        <f t="shared" ref="T122:AA122" si="158">1-(1-T119)*T121</f>
        <v>0.96012869615564944</v>
      </c>
      <c r="U122" s="330">
        <f t="shared" si="158"/>
        <v>1.206777090217058</v>
      </c>
      <c r="V122" s="330">
        <f t="shared" si="158"/>
        <v>1.3727080592219587</v>
      </c>
      <c r="W122" s="330">
        <f t="shared" si="158"/>
        <v>1.0012560382819606</v>
      </c>
      <c r="X122" s="330">
        <f t="shared" si="158"/>
        <v>1.0083485256329292</v>
      </c>
      <c r="Y122" s="330">
        <f t="shared" si="158"/>
        <v>0.80683076140094845</v>
      </c>
      <c r="Z122" s="330">
        <f t="shared" si="158"/>
        <v>1.0687239503254915</v>
      </c>
      <c r="AA122" s="330">
        <f t="shared" si="158"/>
        <v>1.0398100966187984</v>
      </c>
    </row>
    <row r="124" spans="1:27">
      <c r="A124" s="331" t="s">
        <v>284</v>
      </c>
      <c r="B124" s="318">
        <f>B27/B13</f>
        <v>1.6186196264359325</v>
      </c>
      <c r="C124" s="318">
        <f>C27/C13</f>
        <v>1.8038879359634077</v>
      </c>
      <c r="D124" s="318">
        <f>D27/D13</f>
        <v>2.1321961620469083</v>
      </c>
      <c r="E124" s="318">
        <f>E27/E13</f>
        <v>1.7777777777777777</v>
      </c>
      <c r="G124" s="318">
        <f t="shared" ref="G124:AA124" si="159">G27/G13</f>
        <v>0.5</v>
      </c>
      <c r="H124" s="318">
        <f t="shared" si="159"/>
        <v>1.4979264694154237</v>
      </c>
      <c r="I124" s="318">
        <f t="shared" si="159"/>
        <v>0.55788005578800559</v>
      </c>
      <c r="J124" s="318">
        <f t="shared" si="159"/>
        <v>2.4232633279483036</v>
      </c>
      <c r="K124" s="318">
        <f t="shared" si="159"/>
        <v>1</v>
      </c>
      <c r="L124" s="318">
        <f t="shared" si="159"/>
        <v>0.5</v>
      </c>
      <c r="M124" s="318">
        <f t="shared" si="159"/>
        <v>0.45454545454545453</v>
      </c>
      <c r="N124" s="318">
        <f t="shared" si="159"/>
        <v>7.8</v>
      </c>
      <c r="O124" s="318">
        <f t="shared" si="159"/>
        <v>1.6058394160583942</v>
      </c>
      <c r="P124" s="318">
        <f t="shared" si="159"/>
        <v>1.1650485436893203</v>
      </c>
      <c r="Q124" s="318">
        <f t="shared" si="159"/>
        <v>4.2857142857142856</v>
      </c>
      <c r="R124" s="318">
        <f t="shared" si="159"/>
        <v>3.3333333333333335</v>
      </c>
      <c r="S124" s="318">
        <f t="shared" si="159"/>
        <v>1.0144927536231885</v>
      </c>
      <c r="T124" s="318">
        <f t="shared" si="159"/>
        <v>0.9</v>
      </c>
      <c r="U124" s="318">
        <f t="shared" si="159"/>
        <v>0.21295399129018178</v>
      </c>
      <c r="V124" s="318">
        <f t="shared" si="159"/>
        <v>0.83798882681564246</v>
      </c>
      <c r="W124" s="318">
        <f t="shared" si="159"/>
        <v>2.4186046511627906</v>
      </c>
      <c r="X124" s="318">
        <f t="shared" si="159"/>
        <v>0.625</v>
      </c>
      <c r="Y124" s="318">
        <f t="shared" si="159"/>
        <v>5.1040694607863033</v>
      </c>
      <c r="Z124" s="318">
        <f t="shared" si="159"/>
        <v>1.1650485436893203</v>
      </c>
      <c r="AA124" s="318">
        <f t="shared" si="159"/>
        <v>2.3226693208856473</v>
      </c>
    </row>
    <row r="125" spans="1:27" ht="20.25">
      <c r="A125" s="332" t="s">
        <v>285</v>
      </c>
      <c r="B125" s="333">
        <v>322.36363636363637</v>
      </c>
      <c r="C125" s="318">
        <f t="shared" ref="C125" si="160">$B$124-C124</f>
        <v>-0.18526830952747519</v>
      </c>
      <c r="D125" s="318">
        <f>$B$124-D124</f>
        <v>-0.51357653561097583</v>
      </c>
      <c r="E125" s="318">
        <f>$B$124-E124</f>
        <v>-0.15915815134184519</v>
      </c>
      <c r="G125" s="318">
        <f t="shared" ref="G125:Q125" si="161">$B$124-G124</f>
        <v>1.1186196264359325</v>
      </c>
      <c r="H125" s="318">
        <f t="shared" si="161"/>
        <v>0.12069315702050876</v>
      </c>
      <c r="I125" s="318">
        <f t="shared" si="161"/>
        <v>1.060739570647927</v>
      </c>
      <c r="J125" s="318">
        <f t="shared" si="161"/>
        <v>-0.80464370151237108</v>
      </c>
      <c r="K125" s="318">
        <f t="shared" si="161"/>
        <v>0.61861962643593249</v>
      </c>
      <c r="L125" s="318">
        <f t="shared" si="161"/>
        <v>1.1186196264359325</v>
      </c>
      <c r="M125" s="318">
        <f t="shared" si="161"/>
        <v>1.1640741718904779</v>
      </c>
      <c r="N125" s="318">
        <f t="shared" si="161"/>
        <v>-6.1813803735640676</v>
      </c>
      <c r="O125" s="318">
        <f t="shared" si="161"/>
        <v>1.2780210377538292E-2</v>
      </c>
      <c r="P125" s="318">
        <f t="shared" si="161"/>
        <v>0.45357108274661218</v>
      </c>
      <c r="Q125" s="318">
        <f t="shared" si="161"/>
        <v>-2.6670946592783533</v>
      </c>
      <c r="R125" s="318">
        <f>$B$124-R124</f>
        <v>-1.714713706897401</v>
      </c>
      <c r="S125" s="318">
        <f>$B$124-S124</f>
        <v>0.60412687281274402</v>
      </c>
      <c r="T125" s="318">
        <f t="shared" ref="T125:AA125" si="162">$B$124-T124</f>
        <v>0.71861962643593247</v>
      </c>
      <c r="U125" s="318">
        <f t="shared" si="162"/>
        <v>1.4056656351457506</v>
      </c>
      <c r="V125" s="318">
        <f t="shared" si="162"/>
        <v>0.78063079962029003</v>
      </c>
      <c r="W125" s="318">
        <f t="shared" si="162"/>
        <v>-0.79998502472685806</v>
      </c>
      <c r="X125" s="318">
        <f t="shared" si="162"/>
        <v>0.99361962643593249</v>
      </c>
      <c r="Y125" s="318">
        <f t="shared" si="162"/>
        <v>-3.485449834350371</v>
      </c>
      <c r="Z125" s="318">
        <f t="shared" si="162"/>
        <v>0.45357108274661218</v>
      </c>
      <c r="AA125" s="318">
        <f t="shared" si="162"/>
        <v>-0.70404969444971477</v>
      </c>
    </row>
    <row r="126" spans="1:27">
      <c r="A126" s="334"/>
      <c r="B126" s="334"/>
      <c r="C126" s="318">
        <f t="shared" ref="C126" si="163">$B$125*C125</f>
        <v>-59.723765962220639</v>
      </c>
      <c r="D126" s="318">
        <f>$B$125*D125</f>
        <v>-165.55839957059277</v>
      </c>
      <c r="E126" s="318">
        <f>$B$125*E125</f>
        <v>-51.306800423471188</v>
      </c>
      <c r="G126" s="318">
        <f t="shared" ref="G126:Q126" si="164">$B$125*G125</f>
        <v>360.60229048561968</v>
      </c>
      <c r="H126" s="318">
        <f t="shared" si="164"/>
        <v>38.907084981338549</v>
      </c>
      <c r="I126" s="318">
        <f t="shared" si="164"/>
        <v>341.94386522886811</v>
      </c>
      <c r="J126" s="318">
        <f t="shared" si="164"/>
        <v>-259.38786959662434</v>
      </c>
      <c r="K126" s="318">
        <f t="shared" si="164"/>
        <v>199.42047230380152</v>
      </c>
      <c r="L126" s="318">
        <f t="shared" si="164"/>
        <v>360.60229048561968</v>
      </c>
      <c r="M126" s="318">
        <f t="shared" si="164"/>
        <v>375.25518304760317</v>
      </c>
      <c r="N126" s="318">
        <f t="shared" si="164"/>
        <v>-1992.6522549689259</v>
      </c>
      <c r="O126" s="318">
        <f t="shared" si="164"/>
        <v>4.1198750907955262</v>
      </c>
      <c r="P126" s="318">
        <f t="shared" si="164"/>
        <v>146.21482358358972</v>
      </c>
      <c r="Q126" s="318">
        <f t="shared" si="164"/>
        <v>-859.77433289100372</v>
      </c>
      <c r="R126" s="318">
        <f>$B$125*R125</f>
        <v>-552.76134587801675</v>
      </c>
      <c r="S126" s="318">
        <f>$B$125*S125</f>
        <v>194.74853554490821</v>
      </c>
      <c r="T126" s="318">
        <f t="shared" ref="T126:AA126" si="165">$B$125*T125</f>
        <v>231.65683594016514</v>
      </c>
      <c r="U126" s="318">
        <f t="shared" si="165"/>
        <v>453.13548565698471</v>
      </c>
      <c r="V126" s="318">
        <f t="shared" si="165"/>
        <v>251.64698322304986</v>
      </c>
      <c r="W126" s="318">
        <f t="shared" si="165"/>
        <v>-257.88608160740353</v>
      </c>
      <c r="X126" s="318">
        <f t="shared" si="165"/>
        <v>320.30683594016517</v>
      </c>
      <c r="Y126" s="318">
        <f t="shared" si="165"/>
        <v>-1123.5822829642198</v>
      </c>
      <c r="Z126" s="318">
        <f t="shared" si="165"/>
        <v>146.21482358358972</v>
      </c>
      <c r="AA126" s="318">
        <f t="shared" si="165"/>
        <v>-226.96001968351715</v>
      </c>
    </row>
    <row r="127" spans="1:27">
      <c r="A127" s="334"/>
      <c r="B127" s="334"/>
      <c r="C127" s="325">
        <f t="shared" ref="C127" si="166">C126*долл</f>
        <v>-5222.8433333961948</v>
      </c>
      <c r="D127" s="325">
        <f>D126*долл</f>
        <v>-14478.082042448337</v>
      </c>
      <c r="E127" s="325">
        <f>E126*долл</f>
        <v>-4486.7796970325553</v>
      </c>
      <c r="G127" s="325">
        <f t="shared" ref="G127:Q127" si="167">G126*долл</f>
        <v>31534.670302967443</v>
      </c>
      <c r="H127" s="325">
        <f t="shared" si="167"/>
        <v>3402.4245816180564</v>
      </c>
      <c r="I127" s="325">
        <f t="shared" si="167"/>
        <v>29902.991014264517</v>
      </c>
      <c r="J127" s="325">
        <f t="shared" si="167"/>
        <v>-22683.4691962248</v>
      </c>
      <c r="K127" s="325">
        <f t="shared" si="167"/>
        <v>17439.320302967444</v>
      </c>
      <c r="L127" s="325">
        <f t="shared" si="167"/>
        <v>31534.670302967443</v>
      </c>
      <c r="M127" s="325">
        <f t="shared" si="167"/>
        <v>32816.065757512901</v>
      </c>
      <c r="N127" s="325">
        <f t="shared" si="167"/>
        <v>-174257.43969703259</v>
      </c>
      <c r="O127" s="325">
        <f t="shared" si="167"/>
        <v>360.28307669006875</v>
      </c>
      <c r="P127" s="325">
        <f t="shared" si="167"/>
        <v>12786.486322384921</v>
      </c>
      <c r="Q127" s="325">
        <f t="shared" si="167"/>
        <v>-75187.26541131828</v>
      </c>
      <c r="R127" s="325">
        <f>R126*долл</f>
        <v>-48338.97969703257</v>
      </c>
      <c r="S127" s="325">
        <f>S126*долл</f>
        <v>17030.759433402225</v>
      </c>
      <c r="T127" s="325">
        <f t="shared" ref="T127:AA127" si="168">T126*долл</f>
        <v>20258.39030296744</v>
      </c>
      <c r="U127" s="325">
        <f t="shared" si="168"/>
        <v>39626.698220703314</v>
      </c>
      <c r="V127" s="325">
        <f t="shared" si="168"/>
        <v>22006.528682855711</v>
      </c>
      <c r="W127" s="325">
        <f t="shared" si="168"/>
        <v>-22552.137836567439</v>
      </c>
      <c r="X127" s="325">
        <f t="shared" si="168"/>
        <v>28010.832802967445</v>
      </c>
      <c r="Y127" s="325">
        <f t="shared" si="168"/>
        <v>-98257.270645221026</v>
      </c>
      <c r="Z127" s="325">
        <f t="shared" si="168"/>
        <v>12786.486322384921</v>
      </c>
      <c r="AA127" s="325">
        <f t="shared" si="168"/>
        <v>-19847.653721323575</v>
      </c>
    </row>
    <row r="128" spans="1:27">
      <c r="A128" s="334"/>
      <c r="B128" s="334"/>
      <c r="C128" s="326">
        <f>1+C127/C69</f>
        <v>0.8986782786250842</v>
      </c>
      <c r="D128" s="326">
        <f>1+D127/D69</f>
        <v>0.7811412723253599</v>
      </c>
      <c r="E128" s="326">
        <f>1+E127/E69</f>
        <v>0.91767184263363499</v>
      </c>
      <c r="G128" s="326">
        <f t="shared" ref="G128:AA128" si="169">1+G127/G69</f>
        <v>1.818308096357697</v>
      </c>
      <c r="H128" s="326">
        <f t="shared" si="169"/>
        <v>1.0636122833217854</v>
      </c>
      <c r="I128" s="326">
        <f t="shared" si="169"/>
        <v>1.3425493503882155</v>
      </c>
      <c r="J128" s="326">
        <f t="shared" si="169"/>
        <v>0.65638563182880105</v>
      </c>
      <c r="K128" s="326">
        <f t="shared" si="169"/>
        <v>1.1937067793659031</v>
      </c>
      <c r="L128" s="326">
        <f t="shared" si="169"/>
        <v>1.2208414603569209</v>
      </c>
      <c r="M128" s="326">
        <f t="shared" si="169"/>
        <v>1.5426877626456843</v>
      </c>
      <c r="N128" s="326">
        <f t="shared" si="169"/>
        <v>8.7768177523800395E-2</v>
      </c>
      <c r="O128" s="326">
        <f t="shared" si="169"/>
        <v>1.006190911866055</v>
      </c>
      <c r="P128" s="326">
        <f t="shared" si="169"/>
        <v>1.2839355670654427</v>
      </c>
      <c r="Q128" s="326">
        <f t="shared" si="169"/>
        <v>0.42065118472918683</v>
      </c>
      <c r="R128" s="326">
        <f t="shared" si="169"/>
        <v>0.63871807458953156</v>
      </c>
      <c r="S128" s="326">
        <f t="shared" si="169"/>
        <v>1.4032907848919167</v>
      </c>
      <c r="T128" s="326">
        <f t="shared" si="169"/>
        <v>1.3536754226272387</v>
      </c>
      <c r="U128" s="326">
        <f t="shared" si="169"/>
        <v>4.7777849647537121</v>
      </c>
      <c r="V128" s="326">
        <f t="shared" si="169"/>
        <v>1.2969829628817209</v>
      </c>
      <c r="W128" s="326">
        <f t="shared" si="169"/>
        <v>0.58012946263622434</v>
      </c>
      <c r="X128" s="326">
        <f t="shared" si="169"/>
        <v>1.6339849028886224</v>
      </c>
      <c r="Y128" s="326">
        <f t="shared" si="169"/>
        <v>-0.37248862600714649</v>
      </c>
      <c r="Z128" s="326">
        <f t="shared" si="169"/>
        <v>1.3014663379959837</v>
      </c>
      <c r="AA128" s="326">
        <f t="shared" si="169"/>
        <v>0.50906186787169339</v>
      </c>
    </row>
    <row r="129" spans="1:27">
      <c r="A129" s="335"/>
      <c r="B129" s="336"/>
      <c r="C129" s="337"/>
      <c r="D129" s="337"/>
      <c r="E129" s="337"/>
      <c r="G129" s="337"/>
      <c r="H129" s="337"/>
      <c r="I129" s="337"/>
      <c r="J129" s="337"/>
      <c r="K129" s="337"/>
      <c r="L129" s="337"/>
      <c r="M129" s="337"/>
      <c r="N129" s="337"/>
      <c r="O129" s="337"/>
      <c r="P129" s="337"/>
      <c r="Q129" s="337"/>
      <c r="R129" s="337"/>
      <c r="S129" s="337"/>
      <c r="T129" s="337"/>
      <c r="U129" s="337"/>
      <c r="V129" s="337"/>
      <c r="W129" s="337"/>
      <c r="X129" s="337"/>
      <c r="Y129" s="337"/>
      <c r="Z129" s="337"/>
      <c r="AA129" s="337"/>
    </row>
    <row r="130" spans="1:27" ht="18">
      <c r="A130" s="338" t="s">
        <v>286</v>
      </c>
      <c r="B130" s="339">
        <v>0.02</v>
      </c>
      <c r="C130" s="340">
        <f>C127/C69</f>
        <v>-0.10132172137491577</v>
      </c>
      <c r="D130" s="340">
        <f>D127/D69</f>
        <v>-0.21885872767464007</v>
      </c>
      <c r="E130" s="340">
        <f>E127/E69</f>
        <v>-8.2328157366364979E-2</v>
      </c>
      <c r="G130" s="340">
        <f t="shared" ref="G130:AA130" si="170">G127/G69</f>
        <v>0.81830809635769708</v>
      </c>
      <c r="H130" s="340">
        <f t="shared" si="170"/>
        <v>6.3612283321785326E-2</v>
      </c>
      <c r="I130" s="340">
        <f t="shared" si="170"/>
        <v>0.3425493503882156</v>
      </c>
      <c r="J130" s="340">
        <f t="shared" si="170"/>
        <v>-0.34361436817119889</v>
      </c>
      <c r="K130" s="340">
        <f t="shared" si="170"/>
        <v>0.19370677936590303</v>
      </c>
      <c r="L130" s="340">
        <f t="shared" si="170"/>
        <v>0.22084146035692087</v>
      </c>
      <c r="M130" s="340">
        <f t="shared" si="170"/>
        <v>0.54268776264568441</v>
      </c>
      <c r="N130" s="340">
        <f t="shared" si="170"/>
        <v>-0.91223182247619961</v>
      </c>
      <c r="O130" s="340">
        <f t="shared" si="170"/>
        <v>6.1909118660550821E-3</v>
      </c>
      <c r="P130" s="340">
        <f t="shared" si="170"/>
        <v>0.28393556706544276</v>
      </c>
      <c r="Q130" s="340">
        <f t="shared" si="170"/>
        <v>-0.57934881527081317</v>
      </c>
      <c r="R130" s="340">
        <f t="shared" si="170"/>
        <v>-0.3612819254104685</v>
      </c>
      <c r="S130" s="340">
        <f t="shared" si="170"/>
        <v>0.40329078489191678</v>
      </c>
      <c r="T130" s="340">
        <f t="shared" si="170"/>
        <v>0.35367542262723872</v>
      </c>
      <c r="U130" s="340">
        <f t="shared" si="170"/>
        <v>3.7777849647537116</v>
      </c>
      <c r="V130" s="340">
        <f t="shared" si="170"/>
        <v>0.29698296288172077</v>
      </c>
      <c r="W130" s="340">
        <f t="shared" si="170"/>
        <v>-0.41987053736377561</v>
      </c>
      <c r="X130" s="340">
        <f t="shared" si="170"/>
        <v>0.63398490288862253</v>
      </c>
      <c r="Y130" s="340">
        <f t="shared" si="170"/>
        <v>-1.3724886260071465</v>
      </c>
      <c r="Z130" s="340">
        <f t="shared" si="170"/>
        <v>0.30146633799598377</v>
      </c>
      <c r="AA130" s="340">
        <f t="shared" si="170"/>
        <v>-0.49093813212830667</v>
      </c>
    </row>
    <row r="131" spans="1:27" ht="20.25">
      <c r="A131" s="341" t="s">
        <v>493</v>
      </c>
      <c r="B131" s="342">
        <v>0.4</v>
      </c>
      <c r="C131" s="343">
        <f t="shared" ref="C131" si="171">MROUND((1+C130)^$B$131,$B$130)</f>
        <v>0.96</v>
      </c>
      <c r="D131" s="343">
        <f>MROUND((1+D130)^$B$131,$B$130)</f>
        <v>0.9</v>
      </c>
      <c r="E131" s="343">
        <f>MROUND((1+E130)^$B$131,$B$130)</f>
        <v>0.96</v>
      </c>
      <c r="G131" s="343">
        <f t="shared" ref="G131:Q131" si="172">MROUND((1+G130)^$B$131,$B$130)</f>
        <v>1.28</v>
      </c>
      <c r="H131" s="343">
        <f t="shared" si="172"/>
        <v>1.02</v>
      </c>
      <c r="I131" s="343">
        <f t="shared" si="172"/>
        <v>1.1200000000000001</v>
      </c>
      <c r="J131" s="343">
        <f t="shared" si="172"/>
        <v>0.84</v>
      </c>
      <c r="K131" s="343">
        <f t="shared" si="172"/>
        <v>1.08</v>
      </c>
      <c r="L131" s="343">
        <f t="shared" si="172"/>
        <v>1.08</v>
      </c>
      <c r="M131" s="343">
        <f t="shared" si="172"/>
        <v>1.18</v>
      </c>
      <c r="N131" s="343">
        <f t="shared" si="172"/>
        <v>0.38</v>
      </c>
      <c r="O131" s="343">
        <f t="shared" si="172"/>
        <v>1</v>
      </c>
      <c r="P131" s="343">
        <f t="shared" si="172"/>
        <v>1.1000000000000001</v>
      </c>
      <c r="Q131" s="343">
        <f t="shared" si="172"/>
        <v>0.70000000000000007</v>
      </c>
      <c r="R131" s="343">
        <f>MROUND((1+R130)^$B$131,$B$130)</f>
        <v>0.84</v>
      </c>
      <c r="S131" s="343">
        <f>MROUND((1+S130)^$B$131,$B$130)</f>
        <v>1.1400000000000001</v>
      </c>
      <c r="T131" s="343">
        <f t="shared" ref="T131:AA131" si="173">MROUND((1+T130)^$B$131,$B$130)</f>
        <v>1.1200000000000001</v>
      </c>
      <c r="U131" s="343">
        <f t="shared" si="173"/>
        <v>1.86</v>
      </c>
      <c r="V131" s="343">
        <f t="shared" si="173"/>
        <v>1.1000000000000001</v>
      </c>
      <c r="W131" s="343">
        <f t="shared" si="173"/>
        <v>0.8</v>
      </c>
      <c r="X131" s="343">
        <f t="shared" si="173"/>
        <v>1.22</v>
      </c>
      <c r="Y131" s="343" t="e">
        <f t="shared" si="173"/>
        <v>#NUM!</v>
      </c>
      <c r="Z131" s="343">
        <f t="shared" si="173"/>
        <v>1.1200000000000001</v>
      </c>
      <c r="AA131" s="343">
        <f t="shared" si="173"/>
        <v>0.76</v>
      </c>
    </row>
    <row r="132" spans="1:27" ht="15.75">
      <c r="A132" s="256" t="s">
        <v>287</v>
      </c>
      <c r="B132" s="257">
        <v>0</v>
      </c>
    </row>
    <row r="133" spans="1:27" ht="15.75">
      <c r="A133" s="258" t="s">
        <v>289</v>
      </c>
      <c r="B133" s="259">
        <v>0.3</v>
      </c>
    </row>
    <row r="134" spans="1:27" ht="15.75">
      <c r="A134" s="258" t="s">
        <v>291</v>
      </c>
      <c r="B134" s="259">
        <v>0.5</v>
      </c>
    </row>
    <row r="135" spans="1:27" ht="15.75">
      <c r="A135" s="258" t="s">
        <v>293</v>
      </c>
      <c r="B135" s="259">
        <v>0.7</v>
      </c>
    </row>
    <row r="136" spans="1:27" ht="15.75">
      <c r="A136" s="256" t="s">
        <v>295</v>
      </c>
      <c r="B136" s="257">
        <v>1</v>
      </c>
    </row>
    <row r="137" spans="1:27" ht="15.75">
      <c r="A137" s="257">
        <v>0</v>
      </c>
      <c r="B137" s="344" t="s">
        <v>359</v>
      </c>
    </row>
    <row r="138" spans="1:27" ht="15.75">
      <c r="A138" s="259">
        <v>0.3</v>
      </c>
      <c r="B138" s="345" t="s">
        <v>360</v>
      </c>
    </row>
    <row r="139" spans="1:27" ht="15.75">
      <c r="A139" s="259">
        <v>0.5</v>
      </c>
      <c r="B139" s="345" t="s">
        <v>361</v>
      </c>
    </row>
    <row r="140" spans="1:27" ht="15.75">
      <c r="A140" s="259">
        <v>0.7</v>
      </c>
      <c r="B140" s="345" t="s">
        <v>362</v>
      </c>
    </row>
    <row r="141" spans="1:27" ht="15.75">
      <c r="A141" s="257">
        <v>1</v>
      </c>
      <c r="B141" s="344" t="s">
        <v>363</v>
      </c>
    </row>
  </sheetData>
  <hyperlinks>
    <hyperlink ref="Z4" r:id="rId1" xr:uid="{CDB2C8F5-97AD-4073-8EAF-131B1E91BCBB}"/>
    <hyperlink ref="AA4" r:id="rId2" xr:uid="{EFD000AF-4A4C-43C4-89F7-74CF400D798C}"/>
    <hyperlink ref="S4" r:id="rId3" xr:uid="{616A8945-6CA7-420E-B2B5-6310D36602BF}"/>
    <hyperlink ref="J4" r:id="rId4" xr:uid="{4FD312E2-37AB-423C-A4AC-0FD06A693576}"/>
    <hyperlink ref="R4" r:id="rId5" xr:uid="{4277F2CA-FEFB-4657-B398-AB280AC035C5}"/>
    <hyperlink ref="P4" r:id="rId6" xr:uid="{9F80FDA0-3B73-41E6-8B10-706D4482362A}"/>
    <hyperlink ref="H4" r:id="rId7" xr:uid="{D9F919F4-92FA-48A4-BCD1-1A559CA25550}"/>
    <hyperlink ref="O4" r:id="rId8" xr:uid="{0439AFFC-A093-4C06-B01B-64D312E85831}"/>
    <hyperlink ref="C4" r:id="rId9" xr:uid="{B567281F-C4FD-4C82-86F1-B40CF9EB8958}"/>
    <hyperlink ref="G4" r:id="rId10" xr:uid="{B969EFBE-BEF1-45CE-B7B1-9E66D55CE7DE}"/>
    <hyperlink ref="I4" r:id="rId11" xr:uid="{F995CC62-DAF3-4940-9A51-02DE5E2CAF78}"/>
    <hyperlink ref="D4" r:id="rId12" xr:uid="{CA096B4B-5D6C-40FF-B217-2BDCF9BD8836}"/>
    <hyperlink ref="E3" r:id="rId13" xr:uid="{C2318ED8-E4B7-48B6-AFED-3B2DC3FD6883}"/>
    <hyperlink ref="E2" r:id="rId14" xr:uid="{FB98A666-5255-42F3-9D6D-738A66C34582}"/>
    <hyperlink ref="E4" r:id="rId15" xr:uid="{C72DAE94-F086-40BE-A537-A7CD45491F2E}"/>
  </hyperlinks>
  <pageMargins left="0.7" right="0.7" top="0.75" bottom="0.75" header="0.3" footer="0.3"/>
  <pageSetup paperSize="9" orientation="portrait" verticalDpi="300" r:id="rId16"/>
  <legacyDrawing r:id="rId1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446C-E5D3-40BF-87C8-BAF060B60370}">
  <sheetPr>
    <tabColor theme="8" tint="0.39997558519241921"/>
  </sheetPr>
  <dimension ref="A1:AA141"/>
  <sheetViews>
    <sheetView topLeftCell="A18" zoomScale="85" zoomScaleNormal="85" workbookViewId="0">
      <selection activeCell="C24" sqref="C24"/>
    </sheetView>
  </sheetViews>
  <sheetFormatPr defaultRowHeight="12.75" outlineLevelRow="1"/>
  <cols>
    <col min="1" max="1" width="50.125" style="260" bestFit="1" customWidth="1"/>
    <col min="2" max="5" width="39.75" style="260" customWidth="1"/>
    <col min="6" max="6" width="9" style="76"/>
    <col min="7" max="7" width="38.625" style="260" customWidth="1"/>
    <col min="8" max="8" width="34.125" style="260" customWidth="1"/>
    <col min="9" max="9" width="38.625" style="260" customWidth="1"/>
    <col min="10" max="10" width="30.5" style="260" customWidth="1"/>
    <col min="11" max="16" width="34.125" style="260" customWidth="1"/>
    <col min="17" max="18" width="32.875" style="260" customWidth="1"/>
    <col min="19" max="27" width="30.5" style="260" customWidth="1"/>
    <col min="28" max="216" width="9" style="260"/>
    <col min="217" max="217" width="41.25" style="260" customWidth="1"/>
    <col min="218" max="218" width="22.375" style="260" customWidth="1"/>
    <col min="219" max="222" width="17.875" style="260" customWidth="1"/>
    <col min="223" max="223" width="16.25" style="260" customWidth="1"/>
    <col min="224" max="225" width="17.875" style="260" customWidth="1"/>
    <col min="226" max="16384" width="9" style="260"/>
  </cols>
  <sheetData>
    <row r="1" spans="1:27">
      <c r="E1" s="260" t="s">
        <v>368</v>
      </c>
      <c r="H1" s="278"/>
    </row>
    <row r="2" spans="1:27">
      <c r="C2" s="279"/>
      <c r="E2" s="280" t="s">
        <v>369</v>
      </c>
      <c r="G2" s="260" t="s">
        <v>370</v>
      </c>
      <c r="H2" s="278"/>
      <c r="J2" s="279" t="s">
        <v>371</v>
      </c>
      <c r="P2" s="279"/>
      <c r="Q2" s="279"/>
      <c r="T2" s="279"/>
      <c r="W2" s="279"/>
    </row>
    <row r="3" spans="1:27" ht="13.5">
      <c r="B3" s="281"/>
      <c r="C3" s="279" t="s">
        <v>315</v>
      </c>
      <c r="D3" s="279" t="s">
        <v>323</v>
      </c>
      <c r="E3" s="86" t="s">
        <v>142</v>
      </c>
      <c r="G3" s="279" t="s">
        <v>314</v>
      </c>
      <c r="H3" s="278"/>
      <c r="I3" s="279" t="s">
        <v>320</v>
      </c>
      <c r="J3" s="260" t="s">
        <v>316</v>
      </c>
      <c r="K3" s="279" t="s">
        <v>318</v>
      </c>
      <c r="L3" s="279" t="s">
        <v>317</v>
      </c>
      <c r="M3" s="279" t="s">
        <v>321</v>
      </c>
      <c r="N3" s="279" t="s">
        <v>322</v>
      </c>
      <c r="P3" s="76" t="s">
        <v>372</v>
      </c>
      <c r="Q3" s="260" t="s">
        <v>124</v>
      </c>
      <c r="R3" s="260" t="s">
        <v>126</v>
      </c>
      <c r="S3" s="282"/>
      <c r="T3" s="260" t="s">
        <v>123</v>
      </c>
      <c r="U3" s="282"/>
      <c r="X3" s="282"/>
    </row>
    <row r="4" spans="1:27" ht="18" customHeight="1">
      <c r="A4" s="283"/>
      <c r="B4" s="281"/>
      <c r="C4" s="200" t="s">
        <v>152</v>
      </c>
      <c r="D4" s="86" t="s">
        <v>325</v>
      </c>
      <c r="E4" s="86" t="s">
        <v>157</v>
      </c>
      <c r="G4" s="200" t="s">
        <v>373</v>
      </c>
      <c r="H4" s="284" t="s">
        <v>374</v>
      </c>
      <c r="I4" s="200" t="s">
        <v>375</v>
      </c>
      <c r="J4" s="200" t="s">
        <v>324</v>
      </c>
      <c r="K4" s="200" t="s">
        <v>376</v>
      </c>
      <c r="L4" s="200" t="s">
        <v>377</v>
      </c>
      <c r="M4" s="200" t="s">
        <v>378</v>
      </c>
      <c r="N4" s="200" t="s">
        <v>379</v>
      </c>
      <c r="O4" s="86" t="s">
        <v>380</v>
      </c>
      <c r="P4" s="200" t="s">
        <v>381</v>
      </c>
      <c r="Q4" s="200"/>
      <c r="R4" s="200" t="s">
        <v>382</v>
      </c>
      <c r="S4" s="200" t="s">
        <v>383</v>
      </c>
      <c r="T4" s="200"/>
      <c r="U4" s="282"/>
      <c r="V4" s="200"/>
      <c r="W4" s="200"/>
      <c r="X4" s="282"/>
      <c r="Y4" s="200"/>
      <c r="Z4" s="280" t="s">
        <v>381</v>
      </c>
      <c r="AA4" s="86" t="s">
        <v>384</v>
      </c>
    </row>
    <row r="5" spans="1:27">
      <c r="A5" s="87" t="s">
        <v>158</v>
      </c>
      <c r="B5" s="87" t="s">
        <v>159</v>
      </c>
      <c r="C5" s="87" t="s">
        <v>123</v>
      </c>
      <c r="D5" s="87" t="s">
        <v>124</v>
      </c>
      <c r="E5" s="87" t="s">
        <v>126</v>
      </c>
      <c r="G5" s="87" t="s">
        <v>124</v>
      </c>
      <c r="H5" s="87" t="s">
        <v>126</v>
      </c>
      <c r="I5" s="87" t="s">
        <v>126</v>
      </c>
      <c r="J5" s="87" t="s">
        <v>127</v>
      </c>
      <c r="K5" s="87" t="s">
        <v>124</v>
      </c>
      <c r="L5" s="87" t="s">
        <v>127</v>
      </c>
      <c r="M5" s="87" t="s">
        <v>124</v>
      </c>
      <c r="N5" s="87" t="s">
        <v>124</v>
      </c>
      <c r="O5" s="87" t="s">
        <v>127</v>
      </c>
      <c r="P5" s="87" t="s">
        <v>124</v>
      </c>
      <c r="Q5" s="87" t="s">
        <v>124</v>
      </c>
      <c r="R5" s="87" t="s">
        <v>126</v>
      </c>
      <c r="S5" s="87" t="s">
        <v>124</v>
      </c>
      <c r="T5" s="87" t="s">
        <v>123</v>
      </c>
      <c r="U5" s="87" t="s">
        <v>124</v>
      </c>
      <c r="V5" s="87" t="s">
        <v>126</v>
      </c>
      <c r="W5" s="87" t="s">
        <v>123</v>
      </c>
      <c r="X5" s="87" t="s">
        <v>124</v>
      </c>
      <c r="Y5" s="87" t="s">
        <v>126</v>
      </c>
      <c r="Z5" s="87" t="s">
        <v>124</v>
      </c>
      <c r="AA5" s="87" t="s">
        <v>126</v>
      </c>
    </row>
    <row r="6" spans="1:27">
      <c r="A6" s="88" t="s">
        <v>160</v>
      </c>
      <c r="B6" s="89" t="e">
        <f>дата_оц</f>
        <v>#NAME?</v>
      </c>
      <c r="C6" s="89" t="e">
        <f t="shared" ref="C6:Q6" si="0">дата_оц</f>
        <v>#NAME?</v>
      </c>
      <c r="D6" s="89" t="e">
        <f t="shared" si="0"/>
        <v>#NAME?</v>
      </c>
      <c r="E6" s="89" t="e">
        <f>дата_оц</f>
        <v>#NAME?</v>
      </c>
      <c r="G6" s="89" t="e">
        <f t="shared" si="0"/>
        <v>#NAME?</v>
      </c>
      <c r="H6" s="89" t="e">
        <f>дата_оц</f>
        <v>#NAME?</v>
      </c>
      <c r="I6" s="89" t="e">
        <f t="shared" si="0"/>
        <v>#NAME?</v>
      </c>
      <c r="J6" s="89" t="e">
        <f t="shared" si="0"/>
        <v>#NAME?</v>
      </c>
      <c r="K6" s="89" t="e">
        <f t="shared" si="0"/>
        <v>#NAME?</v>
      </c>
      <c r="L6" s="89" t="e">
        <f t="shared" si="0"/>
        <v>#NAME?</v>
      </c>
      <c r="M6" s="89" t="e">
        <f t="shared" si="0"/>
        <v>#NAME?</v>
      </c>
      <c r="N6" s="89" t="e">
        <f t="shared" si="0"/>
        <v>#NAME?</v>
      </c>
      <c r="O6" s="89" t="e">
        <f>дата_оц</f>
        <v>#NAME?</v>
      </c>
      <c r="P6" s="89" t="e">
        <f t="shared" si="0"/>
        <v>#NAME?</v>
      </c>
      <c r="Q6" s="89" t="e">
        <f t="shared" si="0"/>
        <v>#NAME?</v>
      </c>
      <c r="R6" s="89" t="e">
        <f>дата_оц</f>
        <v>#NAME?</v>
      </c>
      <c r="S6" s="89" t="e">
        <f>дата_оц</f>
        <v>#NAME?</v>
      </c>
      <c r="T6" s="89" t="e">
        <f t="shared" ref="T6" si="1">дата_оц</f>
        <v>#NAME?</v>
      </c>
      <c r="U6" s="89" t="e">
        <f>дата_оц</f>
        <v>#NAME?</v>
      </c>
      <c r="V6" s="89" t="e">
        <f>дата_оц</f>
        <v>#NAME?</v>
      </c>
      <c r="W6" s="89" t="e">
        <f t="shared" ref="W6" si="2">дата_оц</f>
        <v>#NAME?</v>
      </c>
      <c r="X6" s="89" t="e">
        <f>дата_оц</f>
        <v>#NAME?</v>
      </c>
      <c r="Y6" s="89" t="e">
        <f>дата_оц</f>
        <v>#NAME?</v>
      </c>
      <c r="Z6" s="89" t="e">
        <f>дата_оц</f>
        <v>#NAME?</v>
      </c>
      <c r="AA6" s="89" t="e">
        <f>дата_оц</f>
        <v>#NAME?</v>
      </c>
    </row>
    <row r="7" spans="1:27">
      <c r="A7" s="88" t="s">
        <v>161</v>
      </c>
      <c r="B7" s="90"/>
      <c r="C7" s="91" t="s">
        <v>163</v>
      </c>
      <c r="D7" s="98" t="s">
        <v>329</v>
      </c>
      <c r="E7" s="93" t="s">
        <v>385</v>
      </c>
      <c r="G7" s="92" t="s">
        <v>386</v>
      </c>
      <c r="H7" s="91" t="s">
        <v>387</v>
      </c>
      <c r="I7" s="92" t="s">
        <v>388</v>
      </c>
      <c r="J7" s="97" t="s">
        <v>328</v>
      </c>
      <c r="K7" s="92" t="s">
        <v>389</v>
      </c>
      <c r="L7" s="92" t="s">
        <v>390</v>
      </c>
      <c r="M7" s="92" t="s">
        <v>391</v>
      </c>
      <c r="N7" s="92" t="s">
        <v>392</v>
      </c>
      <c r="O7" s="91" t="s">
        <v>393</v>
      </c>
      <c r="P7" s="91" t="s">
        <v>394</v>
      </c>
      <c r="Q7" s="118" t="s">
        <v>395</v>
      </c>
      <c r="R7" s="98" t="s">
        <v>396</v>
      </c>
      <c r="S7" s="118" t="s">
        <v>397</v>
      </c>
      <c r="T7" s="201" t="s">
        <v>398</v>
      </c>
      <c r="U7" s="118" t="s">
        <v>163</v>
      </c>
      <c r="V7" s="98" t="s">
        <v>399</v>
      </c>
      <c r="W7" s="98" t="s">
        <v>400</v>
      </c>
      <c r="X7" s="92" t="s">
        <v>386</v>
      </c>
      <c r="Y7" s="92" t="s">
        <v>401</v>
      </c>
      <c r="Z7" s="98" t="s">
        <v>394</v>
      </c>
      <c r="AA7" s="98" t="s">
        <v>402</v>
      </c>
    </row>
    <row r="8" spans="1:27">
      <c r="A8" s="88" t="s">
        <v>169</v>
      </c>
      <c r="B8" s="94" t="s">
        <v>170</v>
      </c>
      <c r="C8" s="94" t="s">
        <v>170</v>
      </c>
      <c r="D8" s="94" t="s">
        <v>170</v>
      </c>
      <c r="E8" s="94" t="s">
        <v>170</v>
      </c>
      <c r="G8" s="94" t="s">
        <v>170</v>
      </c>
      <c r="H8" s="94" t="s">
        <v>170</v>
      </c>
      <c r="I8" s="94" t="s">
        <v>170</v>
      </c>
      <c r="J8" s="94" t="s">
        <v>170</v>
      </c>
      <c r="K8" s="94" t="s">
        <v>170</v>
      </c>
      <c r="L8" s="94" t="s">
        <v>170</v>
      </c>
      <c r="M8" s="94" t="s">
        <v>170</v>
      </c>
      <c r="N8" s="94" t="s">
        <v>170</v>
      </c>
      <c r="O8" s="94" t="s">
        <v>170</v>
      </c>
      <c r="P8" s="93" t="s">
        <v>170</v>
      </c>
      <c r="Q8" s="94" t="s">
        <v>170</v>
      </c>
      <c r="R8" s="94" t="s">
        <v>170</v>
      </c>
      <c r="S8" s="94" t="s">
        <v>170</v>
      </c>
      <c r="T8" s="94" t="s">
        <v>170</v>
      </c>
      <c r="U8" s="94" t="s">
        <v>170</v>
      </c>
      <c r="V8" s="94" t="s">
        <v>170</v>
      </c>
      <c r="W8" s="94" t="s">
        <v>170</v>
      </c>
      <c r="X8" s="94" t="s">
        <v>170</v>
      </c>
      <c r="Y8" s="94" t="s">
        <v>170</v>
      </c>
      <c r="Z8" s="94" t="s">
        <v>170</v>
      </c>
      <c r="AA8" s="94" t="s">
        <v>170</v>
      </c>
    </row>
    <row r="9" spans="1:27" ht="38.25">
      <c r="A9" s="88" t="s">
        <v>172</v>
      </c>
      <c r="B9" s="93" t="s">
        <v>494</v>
      </c>
      <c r="C9" s="98" t="s">
        <v>174</v>
      </c>
      <c r="D9" s="97" t="s">
        <v>333</v>
      </c>
      <c r="E9" s="99" t="s">
        <v>179</v>
      </c>
      <c r="G9" s="96" t="s">
        <v>403</v>
      </c>
      <c r="H9" s="97" t="s">
        <v>404</v>
      </c>
      <c r="I9" s="96" t="s">
        <v>405</v>
      </c>
      <c r="J9" s="202" t="s">
        <v>307</v>
      </c>
      <c r="K9" s="96" t="s">
        <v>406</v>
      </c>
      <c r="L9" s="96" t="s">
        <v>407</v>
      </c>
      <c r="M9" s="96" t="s">
        <v>408</v>
      </c>
      <c r="N9" s="96" t="s">
        <v>409</v>
      </c>
      <c r="O9" s="98" t="s">
        <v>410</v>
      </c>
      <c r="P9" s="98" t="s">
        <v>411</v>
      </c>
      <c r="Q9" s="101" t="s">
        <v>412</v>
      </c>
      <c r="R9" s="96" t="s">
        <v>413</v>
      </c>
      <c r="S9" s="101" t="s">
        <v>414</v>
      </c>
      <c r="T9" s="97" t="s">
        <v>415</v>
      </c>
      <c r="U9" s="101" t="s">
        <v>416</v>
      </c>
      <c r="V9" s="285" t="s">
        <v>417</v>
      </c>
      <c r="W9" s="98" t="s">
        <v>418</v>
      </c>
      <c r="X9" s="96" t="s">
        <v>403</v>
      </c>
      <c r="Y9" s="96" t="s">
        <v>417</v>
      </c>
      <c r="Z9" s="98" t="s">
        <v>411</v>
      </c>
      <c r="AA9" s="93" t="s">
        <v>419</v>
      </c>
    </row>
    <row r="10" spans="1:27" ht="25.5">
      <c r="A10" s="88" t="s">
        <v>180</v>
      </c>
      <c r="B10" s="101" t="s">
        <v>428</v>
      </c>
      <c r="C10" s="93" t="s">
        <v>181</v>
      </c>
      <c r="D10" s="93" t="s">
        <v>336</v>
      </c>
      <c r="E10" s="99" t="s">
        <v>185</v>
      </c>
      <c r="G10" s="286" t="s">
        <v>420</v>
      </c>
      <c r="H10" s="93" t="s">
        <v>421</v>
      </c>
      <c r="I10" s="286" t="s">
        <v>422</v>
      </c>
      <c r="J10" s="203" t="s">
        <v>181</v>
      </c>
      <c r="K10" s="286" t="s">
        <v>423</v>
      </c>
      <c r="L10" s="286" t="s">
        <v>424</v>
      </c>
      <c r="M10" s="286" t="s">
        <v>425</v>
      </c>
      <c r="N10" s="286" t="s">
        <v>426</v>
      </c>
      <c r="O10" s="286" t="s">
        <v>181</v>
      </c>
      <c r="P10" s="286" t="s">
        <v>427</v>
      </c>
      <c r="Q10" s="101" t="s">
        <v>181</v>
      </c>
      <c r="R10" s="286" t="s">
        <v>181</v>
      </c>
      <c r="S10" s="101" t="s">
        <v>181</v>
      </c>
      <c r="T10" s="93" t="s">
        <v>428</v>
      </c>
      <c r="U10" s="101" t="s">
        <v>181</v>
      </c>
      <c r="V10" s="286" t="s">
        <v>181</v>
      </c>
      <c r="W10" s="286" t="s">
        <v>336</v>
      </c>
      <c r="X10" s="286" t="s">
        <v>181</v>
      </c>
      <c r="Y10" s="286" t="s">
        <v>181</v>
      </c>
      <c r="Z10" s="286" t="s">
        <v>427</v>
      </c>
      <c r="AA10" s="286" t="s">
        <v>429</v>
      </c>
    </row>
    <row r="11" spans="1:27" hidden="1">
      <c r="A11" s="88" t="s">
        <v>338</v>
      </c>
      <c r="B11" s="206"/>
      <c r="C11" s="287" t="s">
        <v>181</v>
      </c>
      <c r="D11" s="287"/>
      <c r="E11" s="287"/>
      <c r="G11" s="287"/>
      <c r="H11" s="287"/>
      <c r="I11" s="287"/>
      <c r="J11" s="287" t="s">
        <v>181</v>
      </c>
      <c r="K11" s="287"/>
      <c r="L11" s="287"/>
      <c r="M11" s="288"/>
      <c r="N11" s="287"/>
      <c r="O11" s="287"/>
      <c r="P11" s="287" t="s">
        <v>181</v>
      </c>
      <c r="Q11" s="287" t="s">
        <v>181</v>
      </c>
      <c r="R11" s="288"/>
      <c r="S11" s="288" t="s">
        <v>181</v>
      </c>
      <c r="T11" s="289" t="s">
        <v>181</v>
      </c>
      <c r="U11" s="288" t="s">
        <v>181</v>
      </c>
      <c r="V11" s="101"/>
      <c r="W11" s="289" t="s">
        <v>181</v>
      </c>
      <c r="X11" s="101" t="s">
        <v>181</v>
      </c>
      <c r="Y11" s="101"/>
      <c r="Z11" s="101" t="s">
        <v>181</v>
      </c>
      <c r="AA11" s="101" t="s">
        <v>181</v>
      </c>
    </row>
    <row r="12" spans="1:27" ht="25.5">
      <c r="A12" s="88" t="s">
        <v>430</v>
      </c>
      <c r="B12" s="94" t="s">
        <v>495</v>
      </c>
      <c r="C12" s="93" t="s">
        <v>187</v>
      </c>
      <c r="D12" s="94" t="s">
        <v>187</v>
      </c>
      <c r="E12" s="102" t="s">
        <v>187</v>
      </c>
      <c r="G12" s="94" t="s">
        <v>187</v>
      </c>
      <c r="H12" s="94" t="s">
        <v>431</v>
      </c>
      <c r="I12" s="94" t="s">
        <v>432</v>
      </c>
      <c r="J12" s="94" t="s">
        <v>187</v>
      </c>
      <c r="K12" s="94" t="s">
        <v>339</v>
      </c>
      <c r="L12" s="94" t="s">
        <v>433</v>
      </c>
      <c r="M12" s="94" t="s">
        <v>434</v>
      </c>
      <c r="N12" s="94" t="s">
        <v>435</v>
      </c>
      <c r="O12" s="94" t="s">
        <v>340</v>
      </c>
      <c r="P12" s="91" t="s">
        <v>340</v>
      </c>
      <c r="Q12" s="94" t="s">
        <v>436</v>
      </c>
      <c r="R12" s="94" t="s">
        <v>437</v>
      </c>
      <c r="S12" s="94" t="s">
        <v>438</v>
      </c>
      <c r="T12" s="94" t="s">
        <v>439</v>
      </c>
      <c r="U12" s="94" t="s">
        <v>187</v>
      </c>
      <c r="V12" s="94" t="s">
        <v>187</v>
      </c>
      <c r="W12" s="94" t="s">
        <v>187</v>
      </c>
      <c r="X12" s="94" t="s">
        <v>187</v>
      </c>
      <c r="Y12" s="94" t="s">
        <v>440</v>
      </c>
      <c r="Z12" s="91" t="s">
        <v>340</v>
      </c>
      <c r="AA12" s="94" t="s">
        <v>441</v>
      </c>
    </row>
    <row r="13" spans="1:27" ht="15">
      <c r="A13" s="88" t="s">
        <v>341</v>
      </c>
      <c r="B13" s="103">
        <f t="shared" ref="B13:C13" si="3">SUM(B14:B22)</f>
        <v>17088.634999999998</v>
      </c>
      <c r="C13" s="103">
        <f t="shared" si="3"/>
        <v>6996</v>
      </c>
      <c r="D13" s="103">
        <f>SUM(D14:D22)</f>
        <v>1407</v>
      </c>
      <c r="E13" s="103">
        <f>SUM(E14:E22)</f>
        <v>1800</v>
      </c>
      <c r="G13" s="103">
        <f t="shared" ref="G13:AA13" si="4">SUM(G14:G22)</f>
        <v>1000</v>
      </c>
      <c r="H13" s="103">
        <f t="shared" si="4"/>
        <v>5015.6000000000004</v>
      </c>
      <c r="I13" s="103">
        <f t="shared" si="4"/>
        <v>717</v>
      </c>
      <c r="J13" s="103">
        <f t="shared" si="4"/>
        <v>2476</v>
      </c>
      <c r="K13" s="103">
        <f t="shared" si="4"/>
        <v>3000</v>
      </c>
      <c r="L13" s="103">
        <f t="shared" si="4"/>
        <v>1400</v>
      </c>
      <c r="M13" s="103">
        <f t="shared" si="4"/>
        <v>330</v>
      </c>
      <c r="N13" s="103">
        <f t="shared" si="4"/>
        <v>450</v>
      </c>
      <c r="O13" s="103">
        <f t="shared" si="4"/>
        <v>1370</v>
      </c>
      <c r="P13" s="103">
        <f t="shared" si="4"/>
        <v>2060</v>
      </c>
      <c r="Q13" s="103">
        <f t="shared" si="4"/>
        <v>1400</v>
      </c>
      <c r="R13" s="103">
        <f t="shared" si="4"/>
        <v>1500</v>
      </c>
      <c r="S13" s="103">
        <f t="shared" si="4"/>
        <v>1380</v>
      </c>
      <c r="T13" s="103">
        <f t="shared" si="4"/>
        <v>500</v>
      </c>
      <c r="U13" s="103">
        <f t="shared" si="4"/>
        <v>56350.2</v>
      </c>
      <c r="V13" s="103">
        <f t="shared" si="4"/>
        <v>537</v>
      </c>
      <c r="W13" s="103">
        <f t="shared" si="4"/>
        <v>4300</v>
      </c>
      <c r="X13" s="103">
        <f t="shared" si="4"/>
        <v>800</v>
      </c>
      <c r="Y13" s="103">
        <f t="shared" si="4"/>
        <v>985.87999999999988</v>
      </c>
      <c r="Z13" s="103">
        <f t="shared" si="4"/>
        <v>2060</v>
      </c>
      <c r="AA13" s="103">
        <f t="shared" si="4"/>
        <v>731.91650000000004</v>
      </c>
    </row>
    <row r="14" spans="1:27">
      <c r="A14" s="347" t="str">
        <f>Выжимка!B32</f>
        <v>произв класс 4</v>
      </c>
      <c r="B14" s="106">
        <f>Выжимка!E3</f>
        <v>216.57999999999998</v>
      </c>
      <c r="C14" s="106">
        <f>Выжимка!H3</f>
        <v>1112.2</v>
      </c>
      <c r="D14" s="106">
        <f>Выжимка!M3</f>
        <v>122</v>
      </c>
      <c r="E14" s="106">
        <f>Выжимка!N3</f>
        <v>0</v>
      </c>
      <c r="G14" s="106">
        <v>300</v>
      </c>
      <c r="H14" s="106">
        <v>0</v>
      </c>
      <c r="I14" s="106">
        <v>717</v>
      </c>
      <c r="J14" s="106">
        <f>13+15.6+32.7+13.5</f>
        <v>74.800000000000011</v>
      </c>
      <c r="K14" s="106">
        <v>2000</v>
      </c>
      <c r="L14" s="106">
        <v>1400</v>
      </c>
      <c r="M14" s="106">
        <v>330</v>
      </c>
      <c r="N14" s="106">
        <v>450</v>
      </c>
      <c r="O14" s="106">
        <v>0</v>
      </c>
      <c r="P14" s="106">
        <v>1000</v>
      </c>
      <c r="Q14" s="106">
        <v>1400</v>
      </c>
      <c r="R14" s="106">
        <v>1500</v>
      </c>
      <c r="S14" s="106">
        <v>1380</v>
      </c>
      <c r="T14" s="106">
        <v>58.5</v>
      </c>
      <c r="U14" s="106">
        <v>55238</v>
      </c>
      <c r="V14" s="106">
        <v>537</v>
      </c>
      <c r="W14" s="106">
        <v>300</v>
      </c>
      <c r="X14" s="106">
        <v>100</v>
      </c>
      <c r="Y14" s="106">
        <v>944.4</v>
      </c>
      <c r="Z14" s="106">
        <v>1000</v>
      </c>
      <c r="AA14" s="106">
        <v>12.4</v>
      </c>
    </row>
    <row r="15" spans="1:27">
      <c r="A15" s="347" t="str">
        <f>Выжимка!B33</f>
        <v>произв класс 3</v>
      </c>
      <c r="B15" s="106">
        <f>Выжимка!E4</f>
        <v>11689.699999999999</v>
      </c>
      <c r="C15" s="106">
        <f>Выжимка!H4</f>
        <v>5523.8</v>
      </c>
      <c r="D15" s="106">
        <f>Выжимка!M4</f>
        <v>700</v>
      </c>
      <c r="E15" s="106">
        <f>Выжимка!N4</f>
        <v>1776.9</v>
      </c>
      <c r="G15" s="106">
        <v>700</v>
      </c>
      <c r="H15" s="106">
        <v>5015.6000000000004</v>
      </c>
      <c r="I15" s="106">
        <v>0</v>
      </c>
      <c r="J15" s="106">
        <f>1636-J14</f>
        <v>1561.2</v>
      </c>
      <c r="K15" s="106">
        <v>1000</v>
      </c>
      <c r="L15" s="106">
        <v>0</v>
      </c>
      <c r="M15" s="106">
        <v>0</v>
      </c>
      <c r="N15" s="106">
        <v>0</v>
      </c>
      <c r="O15" s="106">
        <v>1370</v>
      </c>
      <c r="P15" s="106">
        <v>1060</v>
      </c>
      <c r="Q15" s="106">
        <v>0</v>
      </c>
      <c r="R15" s="106">
        <v>0</v>
      </c>
      <c r="S15" s="106">
        <v>0</v>
      </c>
      <c r="T15" s="106">
        <v>348</v>
      </c>
      <c r="U15" s="106">
        <v>1112.2</v>
      </c>
      <c r="V15" s="106">
        <v>0</v>
      </c>
      <c r="W15" s="106">
        <v>4000</v>
      </c>
      <c r="X15" s="106">
        <v>700</v>
      </c>
      <c r="Y15" s="106">
        <v>31.680000000000003</v>
      </c>
      <c r="Z15" s="106">
        <v>1060</v>
      </c>
      <c r="AA15" s="106">
        <v>436.6</v>
      </c>
    </row>
    <row r="16" spans="1:27">
      <c r="A16" s="347" t="str">
        <f>Выжимка!B34</f>
        <v>произв класс 2</v>
      </c>
      <c r="B16" s="106">
        <f>Выжимка!E5</f>
        <v>0</v>
      </c>
      <c r="C16" s="106">
        <f>Выжимка!H5</f>
        <v>0</v>
      </c>
      <c r="D16" s="106">
        <f>Выжимка!M5</f>
        <v>0</v>
      </c>
      <c r="E16" s="106">
        <f>Выжимка!N5</f>
        <v>0</v>
      </c>
      <c r="G16" s="106">
        <v>0</v>
      </c>
      <c r="H16" s="106">
        <v>0</v>
      </c>
      <c r="I16" s="106">
        <v>0</v>
      </c>
      <c r="J16" s="106">
        <v>840</v>
      </c>
      <c r="K16" s="106">
        <v>0</v>
      </c>
      <c r="L16" s="106">
        <v>0</v>
      </c>
      <c r="M16" s="106">
        <v>0</v>
      </c>
      <c r="N16" s="106">
        <v>0</v>
      </c>
      <c r="O16" s="106">
        <v>0</v>
      </c>
      <c r="P16" s="106">
        <v>0</v>
      </c>
      <c r="Q16" s="106">
        <v>0</v>
      </c>
      <c r="R16" s="106">
        <v>0</v>
      </c>
      <c r="S16" s="106">
        <v>0</v>
      </c>
      <c r="T16" s="106">
        <v>93.5</v>
      </c>
      <c r="U16" s="106">
        <v>0</v>
      </c>
      <c r="V16" s="106">
        <v>0</v>
      </c>
      <c r="W16" s="106">
        <v>0</v>
      </c>
      <c r="X16" s="106">
        <v>0</v>
      </c>
      <c r="Y16" s="106">
        <v>9.8000000000000007</v>
      </c>
      <c r="Z16" s="106">
        <v>0</v>
      </c>
      <c r="AA16" s="106">
        <v>282.91649999999998</v>
      </c>
    </row>
    <row r="17" spans="1:27">
      <c r="A17" s="347" t="str">
        <f>Выжимка!B35</f>
        <v>произв класс 1</v>
      </c>
      <c r="B17" s="106">
        <f>Выжимка!E6</f>
        <v>0</v>
      </c>
      <c r="C17" s="106">
        <f>Выжимка!H6</f>
        <v>0</v>
      </c>
      <c r="D17" s="106">
        <f>Выжимка!M6</f>
        <v>0</v>
      </c>
      <c r="E17" s="106">
        <f>Выжимка!N6</f>
        <v>0</v>
      </c>
      <c r="G17" s="106"/>
      <c r="H17" s="106"/>
      <c r="I17" s="106"/>
      <c r="J17" s="106"/>
      <c r="K17" s="106"/>
      <c r="L17" s="106"/>
      <c r="M17" s="106"/>
      <c r="N17" s="106"/>
      <c r="O17" s="106"/>
      <c r="P17" s="106"/>
      <c r="Q17" s="106"/>
      <c r="R17" s="106"/>
      <c r="S17" s="106"/>
      <c r="T17" s="106"/>
      <c r="U17" s="106"/>
      <c r="V17" s="106"/>
      <c r="W17" s="106"/>
      <c r="X17" s="106"/>
      <c r="Y17" s="106"/>
      <c r="Z17" s="106"/>
      <c r="AA17" s="106"/>
    </row>
    <row r="18" spans="1:27">
      <c r="A18" s="347" t="str">
        <f>Выжимка!B36</f>
        <v>гражд класс 4</v>
      </c>
      <c r="B18" s="106">
        <f>Выжимка!E7</f>
        <v>59.79</v>
      </c>
      <c r="C18" s="106">
        <f>Выжимка!H7</f>
        <v>0</v>
      </c>
      <c r="D18" s="106">
        <f>Выжимка!M7</f>
        <v>500</v>
      </c>
      <c r="E18" s="106">
        <f>Выжимка!N7</f>
        <v>23.1</v>
      </c>
      <c r="G18" s="106"/>
      <c r="H18" s="106"/>
      <c r="I18" s="106"/>
      <c r="J18" s="106"/>
      <c r="K18" s="106"/>
      <c r="L18" s="106"/>
      <c r="M18" s="106"/>
      <c r="N18" s="106"/>
      <c r="O18" s="106"/>
      <c r="P18" s="106"/>
      <c r="Q18" s="106"/>
      <c r="R18" s="106"/>
      <c r="S18" s="106"/>
      <c r="T18" s="106"/>
      <c r="U18" s="106"/>
      <c r="V18" s="106"/>
      <c r="W18" s="106"/>
      <c r="X18" s="106"/>
      <c r="Y18" s="106"/>
      <c r="Z18" s="106"/>
      <c r="AA18" s="106"/>
    </row>
    <row r="19" spans="1:27">
      <c r="A19" s="347" t="str">
        <f>Выжимка!B37</f>
        <v>гражд класс 3</v>
      </c>
      <c r="B19" s="106">
        <f>Выжимка!E8</f>
        <v>4524.2999999999993</v>
      </c>
      <c r="C19" s="106">
        <f>Выжимка!H8</f>
        <v>360</v>
      </c>
      <c r="D19" s="106">
        <f>Выжимка!M8</f>
        <v>0</v>
      </c>
      <c r="E19" s="106">
        <f>Выжимка!N8</f>
        <v>0</v>
      </c>
      <c r="G19" s="106"/>
      <c r="H19" s="106"/>
      <c r="I19" s="106"/>
      <c r="J19" s="106"/>
      <c r="K19" s="106"/>
      <c r="L19" s="106"/>
      <c r="M19" s="106"/>
      <c r="N19" s="106"/>
      <c r="O19" s="106"/>
      <c r="P19" s="106"/>
      <c r="Q19" s="106"/>
      <c r="R19" s="106"/>
      <c r="S19" s="106"/>
      <c r="T19" s="106"/>
      <c r="U19" s="106"/>
      <c r="V19" s="106"/>
      <c r="W19" s="106"/>
      <c r="X19" s="106"/>
      <c r="Y19" s="106"/>
      <c r="Z19" s="106"/>
      <c r="AA19" s="106"/>
    </row>
    <row r="20" spans="1:27">
      <c r="A20" s="347" t="str">
        <f>Выжимка!B38</f>
        <v>гражд класс 2</v>
      </c>
      <c r="B20" s="106">
        <f>Выжимка!E9</f>
        <v>0</v>
      </c>
      <c r="C20" s="106">
        <f>Выжимка!H9</f>
        <v>0</v>
      </c>
      <c r="D20" s="106">
        <f>Выжимка!M9</f>
        <v>0</v>
      </c>
      <c r="E20" s="106">
        <f>Выжимка!N9</f>
        <v>0</v>
      </c>
      <c r="G20" s="106"/>
      <c r="H20" s="106"/>
      <c r="I20" s="106"/>
      <c r="J20" s="106"/>
      <c r="K20" s="106"/>
      <c r="L20" s="106"/>
      <c r="M20" s="106"/>
      <c r="N20" s="106"/>
      <c r="O20" s="106"/>
      <c r="P20" s="106"/>
      <c r="Q20" s="106"/>
      <c r="R20" s="106"/>
      <c r="S20" s="106"/>
      <c r="T20" s="106"/>
      <c r="U20" s="106"/>
      <c r="V20" s="106"/>
      <c r="W20" s="106"/>
      <c r="X20" s="106"/>
      <c r="Y20" s="106"/>
      <c r="Z20" s="106"/>
      <c r="AA20" s="106"/>
    </row>
    <row r="21" spans="1:27">
      <c r="A21" s="347" t="str">
        <f>Выжимка!B39</f>
        <v>гражд класс 1</v>
      </c>
      <c r="B21" s="106">
        <f>Выжимка!E10</f>
        <v>0</v>
      </c>
      <c r="C21" s="106">
        <f>Выжимка!H10</f>
        <v>0</v>
      </c>
      <c r="D21" s="106">
        <f>Выжимка!M10</f>
        <v>0</v>
      </c>
      <c r="E21" s="106">
        <f>Выжимка!N10</f>
        <v>0</v>
      </c>
      <c r="G21" s="106"/>
      <c r="H21" s="106"/>
      <c r="I21" s="106"/>
      <c r="J21" s="106"/>
      <c r="K21" s="106"/>
      <c r="L21" s="106"/>
      <c r="M21" s="106"/>
      <c r="N21" s="106"/>
      <c r="O21" s="106"/>
      <c r="P21" s="106"/>
      <c r="Q21" s="106"/>
      <c r="R21" s="106"/>
      <c r="S21" s="106"/>
      <c r="T21" s="106"/>
      <c r="U21" s="106"/>
      <c r="V21" s="106"/>
      <c r="W21" s="106"/>
      <c r="X21" s="106"/>
      <c r="Y21" s="106"/>
      <c r="Z21" s="106"/>
      <c r="AA21" s="106"/>
    </row>
    <row r="22" spans="1:27" s="294" customFormat="1">
      <c r="A22" s="347" t="str">
        <f>Выжимка!B40</f>
        <v>прочие</v>
      </c>
      <c r="B22" s="106">
        <f>Выжимка!E11</f>
        <v>598.26499999999999</v>
      </c>
      <c r="C22" s="106">
        <f>Выжимка!H11</f>
        <v>0</v>
      </c>
      <c r="D22" s="106">
        <f>Выжимка!M11</f>
        <v>85</v>
      </c>
      <c r="E22" s="106">
        <f>Выжимка!N11</f>
        <v>0</v>
      </c>
      <c r="G22" s="103">
        <v>0</v>
      </c>
      <c r="H22" s="103">
        <v>0</v>
      </c>
      <c r="I22" s="103">
        <v>0</v>
      </c>
      <c r="J22" s="103">
        <v>0</v>
      </c>
      <c r="K22" s="103">
        <v>0</v>
      </c>
      <c r="L22" s="103">
        <v>0</v>
      </c>
      <c r="M22" s="103">
        <v>0</v>
      </c>
      <c r="N22" s="103">
        <v>0</v>
      </c>
      <c r="O22" s="103">
        <v>0</v>
      </c>
      <c r="P22" s="103">
        <v>0</v>
      </c>
      <c r="Q22" s="103">
        <v>0</v>
      </c>
      <c r="R22" s="103">
        <v>0</v>
      </c>
      <c r="S22" s="103">
        <v>0</v>
      </c>
      <c r="T22" s="103">
        <v>0</v>
      </c>
      <c r="U22" s="103">
        <v>0</v>
      </c>
      <c r="V22" s="103">
        <v>0</v>
      </c>
      <c r="W22" s="103">
        <v>0</v>
      </c>
      <c r="X22" s="103">
        <v>0</v>
      </c>
      <c r="Y22" s="103">
        <v>0</v>
      </c>
      <c r="Z22" s="103">
        <v>0</v>
      </c>
      <c r="AA22" s="103">
        <v>0</v>
      </c>
    </row>
    <row r="23" spans="1:27" ht="25.5">
      <c r="A23" s="88" t="s">
        <v>202</v>
      </c>
      <c r="B23" s="94" t="s">
        <v>445</v>
      </c>
      <c r="C23" s="94" t="s">
        <v>205</v>
      </c>
      <c r="D23" s="94" t="s">
        <v>345</v>
      </c>
      <c r="E23" s="115" t="s">
        <v>210</v>
      </c>
      <c r="G23" s="94" t="s">
        <v>446</v>
      </c>
      <c r="H23" s="94" t="s">
        <v>447</v>
      </c>
      <c r="I23" s="94" t="s">
        <v>448</v>
      </c>
      <c r="J23" s="94" t="s">
        <v>345</v>
      </c>
      <c r="K23" s="94" t="s">
        <v>446</v>
      </c>
      <c r="L23" s="94" t="s">
        <v>206</v>
      </c>
      <c r="M23" s="94" t="s">
        <v>448</v>
      </c>
      <c r="N23" s="94" t="s">
        <v>448</v>
      </c>
      <c r="O23" s="94" t="s">
        <v>449</v>
      </c>
      <c r="P23" s="94" t="s">
        <v>450</v>
      </c>
      <c r="Q23" s="94" t="s">
        <v>206</v>
      </c>
      <c r="R23" s="94" t="s">
        <v>448</v>
      </c>
      <c r="S23" s="94" t="s">
        <v>451</v>
      </c>
      <c r="T23" s="94" t="s">
        <v>452</v>
      </c>
      <c r="U23" s="94" t="s">
        <v>453</v>
      </c>
      <c r="V23" s="94" t="s">
        <v>448</v>
      </c>
      <c r="W23" s="94" t="s">
        <v>446</v>
      </c>
      <c r="X23" s="94" t="s">
        <v>446</v>
      </c>
      <c r="Y23" s="94" t="s">
        <v>454</v>
      </c>
      <c r="Z23" s="94" t="s">
        <v>448</v>
      </c>
      <c r="AA23" s="94" t="s">
        <v>455</v>
      </c>
    </row>
    <row r="24" spans="1:27">
      <c r="A24" s="88" t="s">
        <v>211</v>
      </c>
      <c r="B24" s="205" t="s">
        <v>645</v>
      </c>
      <c r="C24" s="205" t="s">
        <v>212</v>
      </c>
      <c r="D24" s="205" t="s">
        <v>212</v>
      </c>
      <c r="E24" s="205" t="s">
        <v>214</v>
      </c>
      <c r="G24" s="94" t="s">
        <v>214</v>
      </c>
      <c r="H24" s="94" t="s">
        <v>214</v>
      </c>
      <c r="I24" s="94" t="s">
        <v>213</v>
      </c>
      <c r="J24" s="94" t="s">
        <v>214</v>
      </c>
      <c r="K24" s="94" t="s">
        <v>214</v>
      </c>
      <c r="L24" s="94" t="s">
        <v>456</v>
      </c>
      <c r="M24" s="94" t="s">
        <v>214</v>
      </c>
      <c r="N24" s="94" t="s">
        <v>456</v>
      </c>
      <c r="O24" s="94" t="s">
        <v>212</v>
      </c>
      <c r="P24" s="94" t="s">
        <v>214</v>
      </c>
      <c r="Q24" s="94" t="s">
        <v>214</v>
      </c>
      <c r="R24" s="94" t="s">
        <v>214</v>
      </c>
      <c r="S24" s="94" t="s">
        <v>214</v>
      </c>
      <c r="T24" s="94" t="s">
        <v>214</v>
      </c>
      <c r="U24" s="94" t="s">
        <v>214</v>
      </c>
      <c r="V24" s="94" t="s">
        <v>214</v>
      </c>
      <c r="W24" s="94" t="s">
        <v>214</v>
      </c>
      <c r="X24" s="94" t="s">
        <v>214</v>
      </c>
      <c r="Y24" s="94" t="s">
        <v>214</v>
      </c>
      <c r="Z24" s="94" t="s">
        <v>456</v>
      </c>
      <c r="AA24" s="94" t="s">
        <v>213</v>
      </c>
    </row>
    <row r="25" spans="1:27" ht="38.25">
      <c r="A25" s="88" t="s">
        <v>215</v>
      </c>
      <c r="B25" s="94" t="s">
        <v>217</v>
      </c>
      <c r="C25" s="94" t="s">
        <v>217</v>
      </c>
      <c r="D25" s="94" t="s">
        <v>216</v>
      </c>
      <c r="E25" s="102" t="s">
        <v>219</v>
      </c>
      <c r="G25" s="94" t="s">
        <v>219</v>
      </c>
      <c r="H25" s="94" t="s">
        <v>457</v>
      </c>
      <c r="I25" s="94" t="s">
        <v>458</v>
      </c>
      <c r="J25" s="94" t="s">
        <v>349</v>
      </c>
      <c r="K25" s="94" t="s">
        <v>217</v>
      </c>
      <c r="L25" s="94" t="s">
        <v>219</v>
      </c>
      <c r="M25" s="94" t="s">
        <v>219</v>
      </c>
      <c r="N25" s="94" t="s">
        <v>219</v>
      </c>
      <c r="O25" s="94" t="s">
        <v>217</v>
      </c>
      <c r="P25" s="94" t="s">
        <v>219</v>
      </c>
      <c r="Q25" s="94" t="s">
        <v>216</v>
      </c>
      <c r="R25" s="94" t="s">
        <v>216</v>
      </c>
      <c r="S25" s="94" t="s">
        <v>459</v>
      </c>
      <c r="T25" s="94" t="s">
        <v>216</v>
      </c>
      <c r="U25" s="94" t="s">
        <v>216</v>
      </c>
      <c r="V25" s="94" t="s">
        <v>216</v>
      </c>
      <c r="W25" s="94" t="s">
        <v>216</v>
      </c>
      <c r="X25" s="94" t="s">
        <v>219</v>
      </c>
      <c r="Y25" s="94" t="s">
        <v>216</v>
      </c>
      <c r="Z25" s="94" t="s">
        <v>219</v>
      </c>
      <c r="AA25" s="94" t="s">
        <v>217</v>
      </c>
    </row>
    <row r="26" spans="1:27">
      <c r="A26" s="88" t="s">
        <v>220</v>
      </c>
      <c r="B26" s="94" t="s">
        <v>221</v>
      </c>
      <c r="C26" s="94" t="s">
        <v>221</v>
      </c>
      <c r="D26" s="94" t="s">
        <v>221</v>
      </c>
      <c r="E26" s="94" t="s">
        <v>221</v>
      </c>
      <c r="G26" s="94" t="s">
        <v>221</v>
      </c>
      <c r="H26" s="94" t="s">
        <v>221</v>
      </c>
      <c r="I26" s="94" t="s">
        <v>221</v>
      </c>
      <c r="J26" s="94" t="s">
        <v>221</v>
      </c>
      <c r="K26" s="94" t="s">
        <v>221</v>
      </c>
      <c r="L26" s="94" t="s">
        <v>221</v>
      </c>
      <c r="M26" s="94" t="s">
        <v>221</v>
      </c>
      <c r="N26" s="94" t="s">
        <v>221</v>
      </c>
      <c r="O26" s="94" t="s">
        <v>221</v>
      </c>
      <c r="P26" s="94" t="s">
        <v>221</v>
      </c>
      <c r="Q26" s="94" t="s">
        <v>221</v>
      </c>
      <c r="R26" s="94" t="s">
        <v>221</v>
      </c>
      <c r="S26" s="94" t="s">
        <v>221</v>
      </c>
      <c r="T26" s="94" t="s">
        <v>221</v>
      </c>
      <c r="U26" s="94" t="s">
        <v>221</v>
      </c>
      <c r="V26" s="94" t="s">
        <v>221</v>
      </c>
      <c r="W26" s="94" t="s">
        <v>221</v>
      </c>
      <c r="X26" s="94" t="s">
        <v>221</v>
      </c>
      <c r="Y26" s="94" t="s">
        <v>221</v>
      </c>
      <c r="Z26" s="94" t="s">
        <v>221</v>
      </c>
      <c r="AA26" s="94" t="s">
        <v>221</v>
      </c>
    </row>
    <row r="27" spans="1:27" ht="15">
      <c r="A27" s="88" t="s">
        <v>350</v>
      </c>
      <c r="B27" s="103">
        <v>27660</v>
      </c>
      <c r="C27" s="103">
        <v>12620</v>
      </c>
      <c r="D27" s="103">
        <v>3000</v>
      </c>
      <c r="E27" s="104">
        <v>3200</v>
      </c>
      <c r="G27" s="94">
        <v>500</v>
      </c>
      <c r="H27" s="103">
        <v>7513</v>
      </c>
      <c r="I27" s="94">
        <v>400</v>
      </c>
      <c r="J27" s="103">
        <v>6000</v>
      </c>
      <c r="K27" s="94">
        <v>3000</v>
      </c>
      <c r="L27" s="94">
        <v>700</v>
      </c>
      <c r="M27" s="94">
        <v>150</v>
      </c>
      <c r="N27" s="94">
        <v>3510</v>
      </c>
      <c r="O27" s="103">
        <v>2200</v>
      </c>
      <c r="P27" s="94">
        <v>2400</v>
      </c>
      <c r="Q27" s="94">
        <f>60*100</f>
        <v>6000</v>
      </c>
      <c r="R27" s="94">
        <f>50*100</f>
        <v>5000</v>
      </c>
      <c r="S27" s="94">
        <f>14*100</f>
        <v>1400</v>
      </c>
      <c r="T27" s="94">
        <v>450</v>
      </c>
      <c r="U27" s="94">
        <v>12000</v>
      </c>
      <c r="V27" s="94">
        <v>450</v>
      </c>
      <c r="W27" s="94">
        <v>10400</v>
      </c>
      <c r="X27" s="94">
        <v>500</v>
      </c>
      <c r="Y27" s="94">
        <v>5032</v>
      </c>
      <c r="Z27" s="94">
        <v>2400</v>
      </c>
      <c r="AA27" s="94">
        <v>1700</v>
      </c>
    </row>
    <row r="28" spans="1:27" hidden="1">
      <c r="A28" s="88" t="s">
        <v>460</v>
      </c>
      <c r="B28" s="295" t="s">
        <v>224</v>
      </c>
      <c r="C28" s="296" t="s">
        <v>224</v>
      </c>
      <c r="D28" s="297" t="s">
        <v>224</v>
      </c>
      <c r="E28" s="296" t="s">
        <v>224</v>
      </c>
      <c r="G28" s="296" t="s">
        <v>224</v>
      </c>
      <c r="H28" s="296" t="s">
        <v>224</v>
      </c>
      <c r="I28" s="297" t="s">
        <v>224</v>
      </c>
      <c r="J28" s="297" t="s">
        <v>224</v>
      </c>
      <c r="K28" s="296" t="s">
        <v>224</v>
      </c>
      <c r="L28" s="297" t="s">
        <v>224</v>
      </c>
      <c r="M28" s="297" t="s">
        <v>224</v>
      </c>
      <c r="N28" s="296" t="s">
        <v>224</v>
      </c>
      <c r="O28" s="296" t="s">
        <v>224</v>
      </c>
      <c r="P28" s="296" t="s">
        <v>224</v>
      </c>
      <c r="Q28" s="297" t="s">
        <v>224</v>
      </c>
      <c r="R28" s="297" t="s">
        <v>224</v>
      </c>
      <c r="S28" s="297" t="s">
        <v>224</v>
      </c>
      <c r="T28" s="297" t="s">
        <v>224</v>
      </c>
      <c r="U28" s="297" t="s">
        <v>224</v>
      </c>
      <c r="V28" s="94" t="s">
        <v>224</v>
      </c>
      <c r="W28" s="94" t="s">
        <v>224</v>
      </c>
      <c r="X28" s="94" t="s">
        <v>224</v>
      </c>
      <c r="Y28" s="94" t="s">
        <v>224</v>
      </c>
      <c r="Z28" s="94" t="s">
        <v>224</v>
      </c>
      <c r="AA28" s="94" t="s">
        <v>224</v>
      </c>
    </row>
    <row r="29" spans="1:27" ht="25.5">
      <c r="A29" s="88" t="s">
        <v>226</v>
      </c>
      <c r="B29" s="94" t="s">
        <v>227</v>
      </c>
      <c r="C29" s="94" t="s">
        <v>228</v>
      </c>
      <c r="D29" s="94" t="s">
        <v>227</v>
      </c>
      <c r="E29" s="94" t="s">
        <v>227</v>
      </c>
      <c r="G29" s="94" t="s">
        <v>227</v>
      </c>
      <c r="H29" s="94" t="s">
        <v>461</v>
      </c>
      <c r="I29" s="94" t="s">
        <v>227</v>
      </c>
      <c r="J29" s="94" t="s">
        <v>227</v>
      </c>
      <c r="K29" s="94" t="s">
        <v>227</v>
      </c>
      <c r="L29" s="94" t="s">
        <v>227</v>
      </c>
      <c r="M29" s="94" t="s">
        <v>462</v>
      </c>
      <c r="N29" s="94" t="s">
        <v>227</v>
      </c>
      <c r="O29" s="94" t="s">
        <v>461</v>
      </c>
      <c r="P29" s="94" t="s">
        <v>461</v>
      </c>
      <c r="Q29" s="94" t="s">
        <v>227</v>
      </c>
      <c r="R29" s="94" t="s">
        <v>351</v>
      </c>
      <c r="S29" s="94" t="s">
        <v>227</v>
      </c>
      <c r="T29" s="94" t="s">
        <v>229</v>
      </c>
      <c r="U29" s="94" t="s">
        <v>461</v>
      </c>
      <c r="V29" s="94" t="s">
        <v>351</v>
      </c>
      <c r="W29" s="94" t="s">
        <v>229</v>
      </c>
      <c r="X29" s="94" t="s">
        <v>229</v>
      </c>
      <c r="Y29" s="94" t="s">
        <v>351</v>
      </c>
      <c r="Z29" s="94" t="s">
        <v>351</v>
      </c>
      <c r="AA29" s="94" t="s">
        <v>351</v>
      </c>
    </row>
    <row r="30" spans="1:27" ht="25.5">
      <c r="A30" s="88" t="s">
        <v>230</v>
      </c>
      <c r="B30" s="97" t="s">
        <v>231</v>
      </c>
      <c r="C30" s="97" t="s">
        <v>232</v>
      </c>
      <c r="D30" s="213" t="s">
        <v>231</v>
      </c>
      <c r="E30" s="116" t="s">
        <v>234</v>
      </c>
      <c r="G30" s="97" t="s">
        <v>233</v>
      </c>
      <c r="H30" s="97" t="s">
        <v>231</v>
      </c>
      <c r="I30" s="97" t="s">
        <v>463</v>
      </c>
      <c r="J30" s="97" t="s">
        <v>231</v>
      </c>
      <c r="K30" s="97" t="s">
        <v>231</v>
      </c>
      <c r="L30" s="97" t="s">
        <v>231</v>
      </c>
      <c r="M30" s="97" t="s">
        <v>463</v>
      </c>
      <c r="N30" s="97" t="s">
        <v>463</v>
      </c>
      <c r="O30" s="97" t="s">
        <v>233</v>
      </c>
      <c r="P30" s="97" t="s">
        <v>231</v>
      </c>
      <c r="Q30" s="97" t="s">
        <v>464</v>
      </c>
      <c r="R30" s="97" t="s">
        <v>233</v>
      </c>
      <c r="S30" s="97" t="s">
        <v>233</v>
      </c>
      <c r="T30" s="97" t="s">
        <v>233</v>
      </c>
      <c r="U30" s="97" t="s">
        <v>464</v>
      </c>
      <c r="V30" s="97" t="s">
        <v>233</v>
      </c>
      <c r="W30" s="97" t="s">
        <v>231</v>
      </c>
      <c r="X30" s="97" t="s">
        <v>233</v>
      </c>
      <c r="Y30" s="97" t="s">
        <v>233</v>
      </c>
      <c r="Z30" s="97" t="s">
        <v>231</v>
      </c>
      <c r="AA30" s="213" t="s">
        <v>231</v>
      </c>
    </row>
    <row r="31" spans="1:27" ht="25.5">
      <c r="A31" s="88" t="s">
        <v>465</v>
      </c>
      <c r="B31" s="94" t="s">
        <v>466</v>
      </c>
      <c r="C31" s="94" t="s">
        <v>224</v>
      </c>
      <c r="D31" s="97" t="s">
        <v>224</v>
      </c>
      <c r="E31" s="97" t="s">
        <v>224</v>
      </c>
      <c r="G31" s="97" t="s">
        <v>224</v>
      </c>
      <c r="H31" s="94" t="s">
        <v>467</v>
      </c>
      <c r="I31" s="97" t="s">
        <v>468</v>
      </c>
      <c r="J31" s="97" t="s">
        <v>469</v>
      </c>
      <c r="K31" s="97" t="s">
        <v>224</v>
      </c>
      <c r="L31" s="97" t="s">
        <v>470</v>
      </c>
      <c r="M31" s="97" t="s">
        <v>224</v>
      </c>
      <c r="N31" s="97" t="s">
        <v>224</v>
      </c>
      <c r="O31" s="94" t="s">
        <v>471</v>
      </c>
      <c r="P31" s="94" t="s">
        <v>224</v>
      </c>
      <c r="Q31" s="97" t="s">
        <v>469</v>
      </c>
      <c r="R31" s="97" t="s">
        <v>469</v>
      </c>
      <c r="S31" s="97" t="s">
        <v>469</v>
      </c>
      <c r="T31" s="97" t="s">
        <v>469</v>
      </c>
      <c r="U31" s="97" t="s">
        <v>224</v>
      </c>
      <c r="V31" s="97" t="s">
        <v>239</v>
      </c>
      <c r="W31" s="97" t="s">
        <v>469</v>
      </c>
      <c r="X31" s="97" t="s">
        <v>224</v>
      </c>
      <c r="Y31" s="97" t="s">
        <v>239</v>
      </c>
      <c r="Z31" s="97" t="s">
        <v>472</v>
      </c>
      <c r="AA31" s="97" t="s">
        <v>224</v>
      </c>
    </row>
    <row r="32" spans="1:27">
      <c r="A32" s="88" t="s">
        <v>235</v>
      </c>
      <c r="B32" s="94" t="s">
        <v>224</v>
      </c>
      <c r="C32" s="94" t="s">
        <v>237</v>
      </c>
      <c r="D32" s="94" t="s">
        <v>224</v>
      </c>
      <c r="E32" s="94" t="s">
        <v>224</v>
      </c>
      <c r="G32" s="94" t="s">
        <v>224</v>
      </c>
      <c r="H32" s="94" t="s">
        <v>473</v>
      </c>
      <c r="I32" s="94" t="s">
        <v>224</v>
      </c>
      <c r="J32" s="213" t="s">
        <v>474</v>
      </c>
      <c r="K32" s="94" t="s">
        <v>224</v>
      </c>
      <c r="L32" s="94" t="s">
        <v>224</v>
      </c>
      <c r="M32" s="94" t="s">
        <v>224</v>
      </c>
      <c r="N32" s="94" t="s">
        <v>224</v>
      </c>
      <c r="O32" s="94" t="s">
        <v>473</v>
      </c>
      <c r="P32" s="94" t="s">
        <v>224</v>
      </c>
      <c r="Q32" s="213" t="s">
        <v>474</v>
      </c>
      <c r="R32" s="213" t="s">
        <v>224</v>
      </c>
      <c r="S32" s="97" t="s">
        <v>224</v>
      </c>
      <c r="T32" s="213" t="s">
        <v>224</v>
      </c>
      <c r="U32" s="97" t="s">
        <v>475</v>
      </c>
      <c r="V32" s="213" t="s">
        <v>224</v>
      </c>
      <c r="W32" s="213" t="s">
        <v>224</v>
      </c>
      <c r="X32" s="213" t="s">
        <v>224</v>
      </c>
      <c r="Y32" s="213" t="s">
        <v>476</v>
      </c>
      <c r="Z32" s="213" t="s">
        <v>224</v>
      </c>
      <c r="AA32" s="213" t="s">
        <v>224</v>
      </c>
    </row>
    <row r="33" spans="1:27" ht="55.5">
      <c r="A33" s="88" t="s">
        <v>477</v>
      </c>
      <c r="B33" s="94" t="s">
        <v>478</v>
      </c>
      <c r="C33" s="94" t="s">
        <v>224</v>
      </c>
      <c r="D33" s="94" t="s">
        <v>224</v>
      </c>
      <c r="E33" s="94" t="s">
        <v>224</v>
      </c>
      <c r="G33" s="94" t="s">
        <v>224</v>
      </c>
      <c r="H33" s="94" t="s">
        <v>224</v>
      </c>
      <c r="I33" s="94" t="s">
        <v>224</v>
      </c>
      <c r="J33" s="94" t="s">
        <v>224</v>
      </c>
      <c r="K33" s="94" t="s">
        <v>224</v>
      </c>
      <c r="L33" s="94" t="s">
        <v>224</v>
      </c>
      <c r="M33" s="94" t="s">
        <v>224</v>
      </c>
      <c r="N33" s="94" t="s">
        <v>224</v>
      </c>
      <c r="O33" s="94" t="s">
        <v>224</v>
      </c>
      <c r="P33" s="94" t="s">
        <v>224</v>
      </c>
      <c r="Q33" s="94" t="s">
        <v>224</v>
      </c>
      <c r="R33" s="94" t="s">
        <v>224</v>
      </c>
      <c r="S33" s="94" t="s">
        <v>224</v>
      </c>
      <c r="T33" s="94" t="s">
        <v>224</v>
      </c>
      <c r="U33" s="94" t="s">
        <v>224</v>
      </c>
      <c r="V33" s="297" t="s">
        <v>224</v>
      </c>
      <c r="W33" s="94" t="s">
        <v>224</v>
      </c>
      <c r="X33" s="94" t="s">
        <v>224</v>
      </c>
      <c r="Y33" s="94" t="s">
        <v>224</v>
      </c>
      <c r="Z33" s="94" t="s">
        <v>224</v>
      </c>
      <c r="AA33" s="94" t="s">
        <v>224</v>
      </c>
    </row>
    <row r="34" spans="1:27">
      <c r="A34" s="88" t="s">
        <v>243</v>
      </c>
      <c r="B34" s="117"/>
      <c r="C34" s="118" t="s">
        <v>245</v>
      </c>
      <c r="D34" s="118" t="s">
        <v>245</v>
      </c>
      <c r="E34" s="118" t="s">
        <v>245</v>
      </c>
      <c r="G34" s="118" t="s">
        <v>244</v>
      </c>
      <c r="H34" s="118" t="s">
        <v>244</v>
      </c>
      <c r="I34" s="101" t="s">
        <v>479</v>
      </c>
      <c r="J34" s="215" t="s">
        <v>244</v>
      </c>
      <c r="K34" s="101" t="s">
        <v>245</v>
      </c>
      <c r="L34" s="101" t="s">
        <v>245</v>
      </c>
      <c r="M34" s="101" t="s">
        <v>245</v>
      </c>
      <c r="N34" s="101" t="s">
        <v>245</v>
      </c>
      <c r="O34" s="118" t="s">
        <v>480</v>
      </c>
      <c r="P34" s="118" t="s">
        <v>481</v>
      </c>
      <c r="Q34" s="101" t="s">
        <v>482</v>
      </c>
      <c r="R34" s="101" t="s">
        <v>482</v>
      </c>
      <c r="S34" s="118" t="s">
        <v>483</v>
      </c>
      <c r="T34" s="118" t="s">
        <v>245</v>
      </c>
      <c r="U34" s="101" t="s">
        <v>483</v>
      </c>
      <c r="V34" s="288" t="s">
        <v>484</v>
      </c>
      <c r="W34" s="118" t="s">
        <v>245</v>
      </c>
      <c r="X34" s="101" t="s">
        <v>245</v>
      </c>
      <c r="Y34" s="101" t="s">
        <v>485</v>
      </c>
      <c r="Z34" s="118" t="s">
        <v>480</v>
      </c>
      <c r="AA34" s="118" t="s">
        <v>244</v>
      </c>
    </row>
    <row r="35" spans="1:27">
      <c r="A35" s="88" t="s">
        <v>122</v>
      </c>
      <c r="B35" s="117"/>
      <c r="C35" s="118">
        <v>7200000</v>
      </c>
      <c r="D35" s="118">
        <v>1500000</v>
      </c>
      <c r="E35" s="94">
        <v>1500000</v>
      </c>
      <c r="G35" s="94">
        <v>650000</v>
      </c>
      <c r="H35" s="118">
        <v>2500000</v>
      </c>
      <c r="I35" s="94">
        <v>895000</v>
      </c>
      <c r="J35" s="118">
        <v>2700000</v>
      </c>
      <c r="K35" s="94">
        <v>4200000</v>
      </c>
      <c r="L35" s="94">
        <v>2500000</v>
      </c>
      <c r="M35" s="94">
        <v>220000</v>
      </c>
      <c r="N35" s="94">
        <v>1298700</v>
      </c>
      <c r="O35" s="94">
        <v>760000</v>
      </c>
      <c r="P35" s="94">
        <v>1200000</v>
      </c>
      <c r="Q35" s="94">
        <f>60*45000</f>
        <v>2700000</v>
      </c>
      <c r="R35" s="94">
        <v>3000000</v>
      </c>
      <c r="S35" s="298">
        <v>850000</v>
      </c>
      <c r="T35" s="94">
        <v>380000</v>
      </c>
      <c r="U35" s="298">
        <v>6000000</v>
      </c>
      <c r="V35" s="298">
        <v>380000</v>
      </c>
      <c r="W35" s="115">
        <v>3000000</v>
      </c>
      <c r="X35" s="298">
        <v>500000</v>
      </c>
      <c r="Y35" s="298">
        <v>1200000</v>
      </c>
      <c r="Z35" s="94">
        <v>1200000</v>
      </c>
      <c r="AA35" s="115">
        <v>440000</v>
      </c>
    </row>
    <row r="36" spans="1:27">
      <c r="A36" s="88" t="s">
        <v>246</v>
      </c>
      <c r="B36" s="115"/>
      <c r="C36" s="115">
        <f t="shared" ref="C36" si="5">C35*долл</f>
        <v>629640000</v>
      </c>
      <c r="D36" s="115">
        <f>D35*долл</f>
        <v>131175000</v>
      </c>
      <c r="E36" s="115">
        <f>E35*долл</f>
        <v>131175000</v>
      </c>
      <c r="G36" s="115">
        <f t="shared" ref="G36:Q36" si="6">G35*долл</f>
        <v>56842500</v>
      </c>
      <c r="H36" s="115">
        <f t="shared" si="6"/>
        <v>218625000</v>
      </c>
      <c r="I36" s="115">
        <f t="shared" si="6"/>
        <v>78267750</v>
      </c>
      <c r="J36" s="115">
        <f t="shared" si="6"/>
        <v>236115000</v>
      </c>
      <c r="K36" s="115">
        <f t="shared" si="6"/>
        <v>367290000</v>
      </c>
      <c r="L36" s="115">
        <f t="shared" si="6"/>
        <v>218625000</v>
      </c>
      <c r="M36" s="115">
        <f t="shared" si="6"/>
        <v>19239000</v>
      </c>
      <c r="N36" s="115">
        <f t="shared" si="6"/>
        <v>113571315</v>
      </c>
      <c r="O36" s="115">
        <f t="shared" si="6"/>
        <v>66462000</v>
      </c>
      <c r="P36" s="115">
        <f t="shared" si="6"/>
        <v>104940000</v>
      </c>
      <c r="Q36" s="115">
        <f t="shared" si="6"/>
        <v>236115000</v>
      </c>
      <c r="R36" s="115">
        <f>R35*долл</f>
        <v>262350000</v>
      </c>
      <c r="S36" s="115">
        <f>S35*долл</f>
        <v>74332500</v>
      </c>
      <c r="T36" s="115">
        <f t="shared" ref="T36:AA36" si="7">T35*долл</f>
        <v>33231000</v>
      </c>
      <c r="U36" s="115">
        <f t="shared" si="7"/>
        <v>524700000</v>
      </c>
      <c r="V36" s="115">
        <f t="shared" si="7"/>
        <v>33231000</v>
      </c>
      <c r="W36" s="115">
        <f t="shared" si="7"/>
        <v>262350000</v>
      </c>
      <c r="X36" s="115">
        <f t="shared" si="7"/>
        <v>43725000</v>
      </c>
      <c r="Y36" s="115">
        <f t="shared" si="7"/>
        <v>104940000</v>
      </c>
      <c r="Z36" s="115">
        <f t="shared" si="7"/>
        <v>104940000</v>
      </c>
      <c r="AA36" s="115">
        <f t="shared" si="7"/>
        <v>38478000</v>
      </c>
    </row>
    <row r="37" spans="1:27" ht="15">
      <c r="A37" s="88" t="s">
        <v>247</v>
      </c>
      <c r="B37" s="299"/>
      <c r="C37" s="115">
        <f>C35/C13</f>
        <v>1029.1595197255574</v>
      </c>
      <c r="D37" s="115">
        <f>D35/D13</f>
        <v>1066.0980810234541</v>
      </c>
      <c r="E37" s="115">
        <f>E35/E13</f>
        <v>833.33333333333337</v>
      </c>
      <c r="G37" s="115">
        <f t="shared" ref="G37:AA37" si="8">G35/G13</f>
        <v>650</v>
      </c>
      <c r="H37" s="115">
        <f t="shared" si="8"/>
        <v>498.44485206156787</v>
      </c>
      <c r="I37" s="115">
        <f t="shared" si="8"/>
        <v>1248.2566248256626</v>
      </c>
      <c r="J37" s="115">
        <f t="shared" si="8"/>
        <v>1090.4684975767366</v>
      </c>
      <c r="K37" s="115">
        <f t="shared" si="8"/>
        <v>1400</v>
      </c>
      <c r="L37" s="115">
        <f t="shared" si="8"/>
        <v>1785.7142857142858</v>
      </c>
      <c r="M37" s="115">
        <f t="shared" si="8"/>
        <v>666.66666666666663</v>
      </c>
      <c r="N37" s="115">
        <f t="shared" si="8"/>
        <v>2886</v>
      </c>
      <c r="O37" s="115">
        <f t="shared" si="8"/>
        <v>554.74452554744528</v>
      </c>
      <c r="P37" s="115">
        <f t="shared" si="8"/>
        <v>582.52427184466023</v>
      </c>
      <c r="Q37" s="115">
        <f t="shared" si="8"/>
        <v>1928.5714285714287</v>
      </c>
      <c r="R37" s="115">
        <f t="shared" si="8"/>
        <v>2000</v>
      </c>
      <c r="S37" s="115">
        <f t="shared" si="8"/>
        <v>615.94202898550725</v>
      </c>
      <c r="T37" s="115">
        <f t="shared" si="8"/>
        <v>760</v>
      </c>
      <c r="U37" s="115">
        <f t="shared" si="8"/>
        <v>106.47699564509088</v>
      </c>
      <c r="V37" s="115">
        <f t="shared" si="8"/>
        <v>707.63500931098702</v>
      </c>
      <c r="W37" s="115">
        <f t="shared" si="8"/>
        <v>697.67441860465112</v>
      </c>
      <c r="X37" s="115">
        <f t="shared" si="8"/>
        <v>625</v>
      </c>
      <c r="Y37" s="115">
        <f t="shared" si="8"/>
        <v>1217.1866758631884</v>
      </c>
      <c r="Z37" s="115">
        <f t="shared" si="8"/>
        <v>582.52427184466023</v>
      </c>
      <c r="AA37" s="115">
        <f t="shared" si="8"/>
        <v>601.16147128804994</v>
      </c>
    </row>
    <row r="38" spans="1:27" ht="15">
      <c r="A38" s="88" t="s">
        <v>248</v>
      </c>
      <c r="B38" s="115"/>
      <c r="C38" s="115">
        <f t="shared" ref="C38" si="9">C37*долл</f>
        <v>90000</v>
      </c>
      <c r="D38" s="115">
        <f>D37*долл</f>
        <v>93230.277185501065</v>
      </c>
      <c r="E38" s="115">
        <f>E37*долл</f>
        <v>72875</v>
      </c>
      <c r="G38" s="115">
        <f t="shared" ref="G38:Q38" si="10">G37*долл</f>
        <v>56842.5</v>
      </c>
      <c r="H38" s="115">
        <f t="shared" si="10"/>
        <v>43589.002312784112</v>
      </c>
      <c r="I38" s="115">
        <f t="shared" si="10"/>
        <v>109160.04184100419</v>
      </c>
      <c r="J38" s="115">
        <f t="shared" si="10"/>
        <v>95361.470113085612</v>
      </c>
      <c r="K38" s="115">
        <f t="shared" si="10"/>
        <v>122430</v>
      </c>
      <c r="L38" s="115">
        <f t="shared" si="10"/>
        <v>156160.71428571429</v>
      </c>
      <c r="M38" s="115">
        <f t="shared" si="10"/>
        <v>58300</v>
      </c>
      <c r="N38" s="115">
        <f t="shared" si="10"/>
        <v>252380.7</v>
      </c>
      <c r="O38" s="115">
        <f t="shared" si="10"/>
        <v>48512.40875912409</v>
      </c>
      <c r="P38" s="115">
        <f t="shared" si="10"/>
        <v>50941.74757281554</v>
      </c>
      <c r="Q38" s="115">
        <f t="shared" si="10"/>
        <v>168653.57142857145</v>
      </c>
      <c r="R38" s="115">
        <f>R37*долл</f>
        <v>174900</v>
      </c>
      <c r="S38" s="115">
        <f>S37*долл</f>
        <v>53864.130434782608</v>
      </c>
      <c r="T38" s="115">
        <f t="shared" ref="T38:AA38" si="11">T37*долл</f>
        <v>66462</v>
      </c>
      <c r="U38" s="115">
        <f t="shared" si="11"/>
        <v>9311.4132691631985</v>
      </c>
      <c r="V38" s="115">
        <f t="shared" si="11"/>
        <v>61882.681564245817</v>
      </c>
      <c r="W38" s="115">
        <f t="shared" si="11"/>
        <v>61011.627906976741</v>
      </c>
      <c r="X38" s="115">
        <f t="shared" si="11"/>
        <v>54656.25</v>
      </c>
      <c r="Y38" s="115">
        <f t="shared" si="11"/>
        <v>106442.97480423583</v>
      </c>
      <c r="Z38" s="115">
        <f t="shared" si="11"/>
        <v>50941.74757281554</v>
      </c>
      <c r="AA38" s="115">
        <f t="shared" si="11"/>
        <v>52571.570664139967</v>
      </c>
    </row>
    <row r="39" spans="1:27">
      <c r="A39" s="119" t="s">
        <v>249</v>
      </c>
      <c r="B39" s="87" t="s">
        <v>159</v>
      </c>
      <c r="C39" s="87" t="str">
        <f>C5</f>
        <v>Аналог 1</v>
      </c>
      <c r="D39" s="87" t="str">
        <f>D5</f>
        <v>Аналог 2</v>
      </c>
      <c r="E39" s="87" t="str">
        <f>E5</f>
        <v>Аналог 3</v>
      </c>
      <c r="G39" s="87" t="str">
        <f t="shared" ref="G39:AA39" si="12">G5</f>
        <v>Аналог 2</v>
      </c>
      <c r="H39" s="87" t="str">
        <f t="shared" si="12"/>
        <v>Аналог 3</v>
      </c>
      <c r="I39" s="87" t="str">
        <f t="shared" si="12"/>
        <v>Аналог 3</v>
      </c>
      <c r="J39" s="87" t="str">
        <f t="shared" si="12"/>
        <v>Аналог 4</v>
      </c>
      <c r="K39" s="87" t="str">
        <f t="shared" si="12"/>
        <v>Аналог 2</v>
      </c>
      <c r="L39" s="87" t="str">
        <f t="shared" si="12"/>
        <v>Аналог 4</v>
      </c>
      <c r="M39" s="87" t="str">
        <f t="shared" si="12"/>
        <v>Аналог 2</v>
      </c>
      <c r="N39" s="87" t="str">
        <f t="shared" si="12"/>
        <v>Аналог 2</v>
      </c>
      <c r="O39" s="87" t="str">
        <f t="shared" si="12"/>
        <v>Аналог 4</v>
      </c>
      <c r="P39" s="87" t="str">
        <f t="shared" si="12"/>
        <v>Аналог 2</v>
      </c>
      <c r="Q39" s="87" t="str">
        <f t="shared" si="12"/>
        <v>Аналог 2</v>
      </c>
      <c r="R39" s="87" t="str">
        <f t="shared" si="12"/>
        <v>Аналог 3</v>
      </c>
      <c r="S39" s="87" t="str">
        <f t="shared" si="12"/>
        <v>Аналог 2</v>
      </c>
      <c r="T39" s="87" t="str">
        <f t="shared" si="12"/>
        <v>Аналог 1</v>
      </c>
      <c r="U39" s="87" t="str">
        <f t="shared" si="12"/>
        <v>Аналог 2</v>
      </c>
      <c r="V39" s="87" t="str">
        <f t="shared" si="12"/>
        <v>Аналог 3</v>
      </c>
      <c r="W39" s="87" t="str">
        <f t="shared" si="12"/>
        <v>Аналог 1</v>
      </c>
      <c r="X39" s="87" t="str">
        <f t="shared" si="12"/>
        <v>Аналог 2</v>
      </c>
      <c r="Y39" s="87" t="str">
        <f t="shared" si="12"/>
        <v>Аналог 3</v>
      </c>
      <c r="Z39" s="87" t="str">
        <f t="shared" si="12"/>
        <v>Аналог 2</v>
      </c>
      <c r="AA39" s="87" t="str">
        <f t="shared" si="12"/>
        <v>Аналог 3</v>
      </c>
    </row>
    <row r="40" spans="1:27" s="300" customFormat="1" hidden="1" outlineLevel="1">
      <c r="A40" s="120" t="s">
        <v>250</v>
      </c>
      <c r="B40" s="121"/>
      <c r="C40" s="122">
        <v>1</v>
      </c>
      <c r="D40" s="122">
        <v>1</v>
      </c>
      <c r="E40" s="122">
        <v>1</v>
      </c>
      <c r="G40" s="122">
        <v>1</v>
      </c>
      <c r="H40" s="122">
        <v>1</v>
      </c>
      <c r="I40" s="122">
        <v>1</v>
      </c>
      <c r="J40" s="122">
        <v>1</v>
      </c>
      <c r="K40" s="122">
        <v>1</v>
      </c>
      <c r="L40" s="122">
        <v>1</v>
      </c>
      <c r="M40" s="122">
        <v>1</v>
      </c>
      <c r="N40" s="122">
        <v>1</v>
      </c>
      <c r="O40" s="122">
        <v>1</v>
      </c>
      <c r="P40" s="122">
        <v>1</v>
      </c>
      <c r="Q40" s="122">
        <v>1</v>
      </c>
      <c r="R40" s="122">
        <v>1</v>
      </c>
      <c r="S40" s="122">
        <v>1</v>
      </c>
      <c r="T40" s="122">
        <v>1</v>
      </c>
      <c r="U40" s="122">
        <v>1</v>
      </c>
      <c r="V40" s="122">
        <v>1</v>
      </c>
      <c r="W40" s="122">
        <v>1</v>
      </c>
      <c r="X40" s="122">
        <v>1</v>
      </c>
      <c r="Y40" s="122">
        <v>1</v>
      </c>
      <c r="Z40" s="122">
        <v>1</v>
      </c>
      <c r="AA40" s="122">
        <v>1</v>
      </c>
    </row>
    <row r="41" spans="1:27" s="300" customFormat="1" ht="15" hidden="1" outlineLevel="1">
      <c r="A41" s="123" t="s">
        <v>352</v>
      </c>
      <c r="B41" s="124"/>
      <c r="C41" s="124">
        <f t="shared" ref="C41" si="13">C40*C38</f>
        <v>90000</v>
      </c>
      <c r="D41" s="124">
        <f>D40*D38</f>
        <v>93230.277185501065</v>
      </c>
      <c r="E41" s="124">
        <f>E40*E38</f>
        <v>72875</v>
      </c>
      <c r="G41" s="124">
        <f t="shared" ref="G41:Q41" si="14">G40*G38</f>
        <v>56842.5</v>
      </c>
      <c r="H41" s="124">
        <f t="shared" si="14"/>
        <v>43589.002312784112</v>
      </c>
      <c r="I41" s="124">
        <f t="shared" si="14"/>
        <v>109160.04184100419</v>
      </c>
      <c r="J41" s="124">
        <f t="shared" si="14"/>
        <v>95361.470113085612</v>
      </c>
      <c r="K41" s="124">
        <f t="shared" si="14"/>
        <v>122430</v>
      </c>
      <c r="L41" s="124">
        <f t="shared" si="14"/>
        <v>156160.71428571429</v>
      </c>
      <c r="M41" s="124">
        <f t="shared" si="14"/>
        <v>58300</v>
      </c>
      <c r="N41" s="124">
        <f t="shared" si="14"/>
        <v>252380.7</v>
      </c>
      <c r="O41" s="124">
        <f t="shared" si="14"/>
        <v>48512.40875912409</v>
      </c>
      <c r="P41" s="124">
        <f t="shared" si="14"/>
        <v>50941.74757281554</v>
      </c>
      <c r="Q41" s="124">
        <f t="shared" si="14"/>
        <v>168653.57142857145</v>
      </c>
      <c r="R41" s="124">
        <f>R40*R38</f>
        <v>174900</v>
      </c>
      <c r="S41" s="124">
        <f>S40*S38</f>
        <v>53864.130434782608</v>
      </c>
      <c r="T41" s="124">
        <f t="shared" ref="T41:AA41" si="15">T40*T38</f>
        <v>66462</v>
      </c>
      <c r="U41" s="124">
        <f t="shared" si="15"/>
        <v>9311.4132691631985</v>
      </c>
      <c r="V41" s="124">
        <f t="shared" si="15"/>
        <v>61882.681564245817</v>
      </c>
      <c r="W41" s="124">
        <f t="shared" si="15"/>
        <v>61011.627906976741</v>
      </c>
      <c r="X41" s="124">
        <f t="shared" si="15"/>
        <v>54656.25</v>
      </c>
      <c r="Y41" s="124">
        <f t="shared" si="15"/>
        <v>106442.97480423583</v>
      </c>
      <c r="Z41" s="124">
        <f t="shared" si="15"/>
        <v>50941.74757281554</v>
      </c>
      <c r="AA41" s="124">
        <f t="shared" si="15"/>
        <v>52571.570664139967</v>
      </c>
    </row>
    <row r="42" spans="1:27" collapsed="1">
      <c r="A42" s="130" t="s">
        <v>252</v>
      </c>
      <c r="B42" s="115"/>
      <c r="C42" s="131">
        <v>0.9</v>
      </c>
      <c r="D42" s="131">
        <v>0.9</v>
      </c>
      <c r="E42" s="131">
        <v>0.9</v>
      </c>
      <c r="G42" s="131">
        <v>0.95</v>
      </c>
      <c r="H42" s="131">
        <v>0.95</v>
      </c>
      <c r="I42" s="131">
        <v>0.82</v>
      </c>
      <c r="J42" s="131">
        <v>0.95</v>
      </c>
      <c r="K42" s="131">
        <v>0.9</v>
      </c>
      <c r="L42" s="131">
        <v>0.9</v>
      </c>
      <c r="M42" s="131">
        <v>0.9</v>
      </c>
      <c r="N42" s="131">
        <v>0.9</v>
      </c>
      <c r="O42" s="131">
        <v>0.98</v>
      </c>
      <c r="P42" s="131">
        <v>0.98</v>
      </c>
      <c r="Q42" s="131">
        <v>0.9</v>
      </c>
      <c r="R42" s="131">
        <v>0.9</v>
      </c>
      <c r="S42" s="131">
        <v>0.98</v>
      </c>
      <c r="T42" s="131">
        <v>0.95</v>
      </c>
      <c r="U42" s="131">
        <v>0.98</v>
      </c>
      <c r="V42" s="131">
        <v>1</v>
      </c>
      <c r="W42" s="131">
        <v>0.9</v>
      </c>
      <c r="X42" s="131">
        <v>0.9</v>
      </c>
      <c r="Y42" s="131">
        <v>1</v>
      </c>
      <c r="Z42" s="131">
        <v>0.98</v>
      </c>
      <c r="AA42" s="131">
        <v>0.95</v>
      </c>
    </row>
    <row r="43" spans="1:27" ht="15">
      <c r="A43" s="132" t="s">
        <v>352</v>
      </c>
      <c r="B43" s="133"/>
      <c r="C43" s="133">
        <f>C42*C41</f>
        <v>81000</v>
      </c>
      <c r="D43" s="133">
        <f>D42*D41</f>
        <v>83907.249466950962</v>
      </c>
      <c r="E43" s="133">
        <f>E42*E41</f>
        <v>65587.5</v>
      </c>
      <c r="G43" s="133">
        <f t="shared" ref="G43" si="16">G42*G41</f>
        <v>54000.375</v>
      </c>
      <c r="H43" s="133">
        <f>H42*H41</f>
        <v>41409.552197144905</v>
      </c>
      <c r="I43" s="133">
        <f t="shared" ref="I43" si="17">I42*I41</f>
        <v>89511.234309623425</v>
      </c>
      <c r="J43" s="133">
        <f>J42*J41</f>
        <v>90593.396607431321</v>
      </c>
      <c r="K43" s="133">
        <f t="shared" ref="K43" si="18">K42*K41</f>
        <v>110187</v>
      </c>
      <c r="L43" s="133">
        <f>L42*L41</f>
        <v>140544.64285714287</v>
      </c>
      <c r="M43" s="133">
        <f>M42*M41</f>
        <v>52470</v>
      </c>
      <c r="N43" s="133">
        <f>N42*N41</f>
        <v>227142.63</v>
      </c>
      <c r="O43" s="133">
        <f>O42*O41</f>
        <v>47542.160583941608</v>
      </c>
      <c r="P43" s="133">
        <f t="shared" ref="P43:Q43" si="19">P42*P41</f>
        <v>49922.912621359232</v>
      </c>
      <c r="Q43" s="133">
        <f t="shared" si="19"/>
        <v>151788.21428571432</v>
      </c>
      <c r="R43" s="133">
        <f>R42*R41</f>
        <v>157410</v>
      </c>
      <c r="S43" s="133">
        <f>S42*S41</f>
        <v>52786.847826086952</v>
      </c>
      <c r="T43" s="133">
        <f t="shared" ref="T43:AA43" si="20">T42*T41</f>
        <v>63138.899999999994</v>
      </c>
      <c r="U43" s="133">
        <f t="shared" si="20"/>
        <v>9125.185003779934</v>
      </c>
      <c r="V43" s="133">
        <f t="shared" si="20"/>
        <v>61882.681564245817</v>
      </c>
      <c r="W43" s="133">
        <f t="shared" si="20"/>
        <v>54910.465116279069</v>
      </c>
      <c r="X43" s="133">
        <f t="shared" si="20"/>
        <v>49190.625</v>
      </c>
      <c r="Y43" s="133">
        <f t="shared" si="20"/>
        <v>106442.97480423583</v>
      </c>
      <c r="Z43" s="133">
        <f t="shared" si="20"/>
        <v>49922.912621359232</v>
      </c>
      <c r="AA43" s="133">
        <f t="shared" si="20"/>
        <v>49942.992130932966</v>
      </c>
    </row>
    <row r="44" spans="1:27">
      <c r="A44" s="130" t="s">
        <v>253</v>
      </c>
      <c r="B44" s="115"/>
      <c r="C44" s="131">
        <v>1</v>
      </c>
      <c r="D44" s="131">
        <v>1</v>
      </c>
      <c r="E44" s="131">
        <v>1</v>
      </c>
      <c r="G44" s="131">
        <v>1</v>
      </c>
      <c r="H44" s="131">
        <v>1</v>
      </c>
      <c r="I44" s="131">
        <v>1</v>
      </c>
      <c r="J44" s="131">
        <v>1</v>
      </c>
      <c r="K44" s="131">
        <v>1</v>
      </c>
      <c r="L44" s="131">
        <v>1</v>
      </c>
      <c r="M44" s="131">
        <v>1</v>
      </c>
      <c r="N44" s="131">
        <v>1</v>
      </c>
      <c r="O44" s="131">
        <v>1</v>
      </c>
      <c r="P44" s="131">
        <v>1</v>
      </c>
      <c r="Q44" s="131">
        <v>1</v>
      </c>
      <c r="R44" s="131">
        <v>1</v>
      </c>
      <c r="S44" s="131">
        <v>1</v>
      </c>
      <c r="T44" s="131">
        <v>1</v>
      </c>
      <c r="U44" s="131">
        <v>1</v>
      </c>
      <c r="V44" s="131">
        <v>1</v>
      </c>
      <c r="W44" s="131">
        <v>1</v>
      </c>
      <c r="X44" s="131">
        <v>1</v>
      </c>
      <c r="Y44" s="131">
        <v>1</v>
      </c>
      <c r="Z44" s="131">
        <v>1</v>
      </c>
      <c r="AA44" s="131">
        <v>1</v>
      </c>
    </row>
    <row r="45" spans="1:27" ht="15">
      <c r="A45" s="132" t="s">
        <v>352</v>
      </c>
      <c r="B45" s="133"/>
      <c r="C45" s="133">
        <f>C44*C43</f>
        <v>81000</v>
      </c>
      <c r="D45" s="133">
        <f>D44*D43</f>
        <v>83907.249466950962</v>
      </c>
      <c r="E45" s="133">
        <f>E44*E43</f>
        <v>65587.5</v>
      </c>
      <c r="G45" s="133">
        <f t="shared" ref="G45" si="21">G44*G43</f>
        <v>54000.375</v>
      </c>
      <c r="H45" s="133">
        <f>H44*H43</f>
        <v>41409.552197144905</v>
      </c>
      <c r="I45" s="133">
        <f t="shared" ref="I45" si="22">I44*I43</f>
        <v>89511.234309623425</v>
      </c>
      <c r="J45" s="133">
        <f>J44*J43</f>
        <v>90593.396607431321</v>
      </c>
      <c r="K45" s="133">
        <f t="shared" ref="K45" si="23">K44*K43</f>
        <v>110187</v>
      </c>
      <c r="L45" s="133">
        <f>L44*L43</f>
        <v>140544.64285714287</v>
      </c>
      <c r="M45" s="133">
        <f>M44*M43</f>
        <v>52470</v>
      </c>
      <c r="N45" s="133">
        <f t="shared" ref="N45" si="24">N44*N43</f>
        <v>227142.63</v>
      </c>
      <c r="O45" s="133">
        <f>O44*O43</f>
        <v>47542.160583941608</v>
      </c>
      <c r="P45" s="133">
        <f t="shared" ref="P45:Q45" si="25">P44*P43</f>
        <v>49922.912621359232</v>
      </c>
      <c r="Q45" s="133">
        <f t="shared" si="25"/>
        <v>151788.21428571432</v>
      </c>
      <c r="R45" s="133">
        <f>R44*R43</f>
        <v>157410</v>
      </c>
      <c r="S45" s="133">
        <f>S44*S43</f>
        <v>52786.847826086952</v>
      </c>
      <c r="T45" s="133">
        <f t="shared" ref="T45:AA45" si="26">T44*T43</f>
        <v>63138.899999999994</v>
      </c>
      <c r="U45" s="133">
        <f t="shared" si="26"/>
        <v>9125.185003779934</v>
      </c>
      <c r="V45" s="133">
        <f t="shared" si="26"/>
        <v>61882.681564245817</v>
      </c>
      <c r="W45" s="133">
        <f t="shared" si="26"/>
        <v>54910.465116279069</v>
      </c>
      <c r="X45" s="133">
        <f t="shared" si="26"/>
        <v>49190.625</v>
      </c>
      <c r="Y45" s="133">
        <f t="shared" si="26"/>
        <v>106442.97480423583</v>
      </c>
      <c r="Z45" s="133">
        <f t="shared" si="26"/>
        <v>49922.912621359232</v>
      </c>
      <c r="AA45" s="133">
        <f t="shared" si="26"/>
        <v>49942.992130932966</v>
      </c>
    </row>
    <row r="46" spans="1:27">
      <c r="A46" s="130" t="s">
        <v>486</v>
      </c>
      <c r="B46" s="115"/>
      <c r="C46" s="131">
        <v>0.95</v>
      </c>
      <c r="D46" s="131">
        <v>1</v>
      </c>
      <c r="E46" s="131">
        <v>1</v>
      </c>
      <c r="G46" s="131">
        <v>0.95</v>
      </c>
      <c r="H46" s="131">
        <v>1</v>
      </c>
      <c r="I46" s="131">
        <v>1</v>
      </c>
      <c r="J46" s="131">
        <v>1</v>
      </c>
      <c r="K46" s="131">
        <v>1</v>
      </c>
      <c r="L46" s="131">
        <v>1</v>
      </c>
      <c r="M46" s="131">
        <v>1</v>
      </c>
      <c r="N46" s="131">
        <v>1</v>
      </c>
      <c r="O46" s="131">
        <v>1</v>
      </c>
      <c r="P46" s="131">
        <v>1</v>
      </c>
      <c r="Q46" s="131">
        <v>1</v>
      </c>
      <c r="R46" s="131">
        <v>1</v>
      </c>
      <c r="S46" s="131">
        <v>1</v>
      </c>
      <c r="T46" s="131">
        <v>1</v>
      </c>
      <c r="U46" s="131">
        <v>1</v>
      </c>
      <c r="V46" s="131">
        <v>1</v>
      </c>
      <c r="W46" s="131">
        <v>1</v>
      </c>
      <c r="X46" s="131">
        <v>1</v>
      </c>
      <c r="Y46" s="131">
        <v>1</v>
      </c>
      <c r="Z46" s="131">
        <v>1</v>
      </c>
      <c r="AA46" s="131">
        <v>1</v>
      </c>
    </row>
    <row r="47" spans="1:27" ht="15">
      <c r="A47" s="132" t="s">
        <v>352</v>
      </c>
      <c r="B47" s="133"/>
      <c r="C47" s="133">
        <f>C46*C45</f>
        <v>76950</v>
      </c>
      <c r="D47" s="133">
        <f>D46*D45</f>
        <v>83907.249466950962</v>
      </c>
      <c r="E47" s="133">
        <f>E46*E45</f>
        <v>65587.5</v>
      </c>
      <c r="G47" s="133">
        <f t="shared" ref="G47" si="27">G46*G45</f>
        <v>51300.356249999997</v>
      </c>
      <c r="H47" s="133">
        <f>H46*H45</f>
        <v>41409.552197144905</v>
      </c>
      <c r="I47" s="133">
        <f t="shared" ref="I47" si="28">I46*I45</f>
        <v>89511.234309623425</v>
      </c>
      <c r="J47" s="133">
        <f>J46*J45</f>
        <v>90593.396607431321</v>
      </c>
      <c r="K47" s="133">
        <f t="shared" ref="K47" si="29">K46*K45</f>
        <v>110187</v>
      </c>
      <c r="L47" s="133">
        <f>L46*L45</f>
        <v>140544.64285714287</v>
      </c>
      <c r="M47" s="133">
        <f>M46*M45</f>
        <v>52470</v>
      </c>
      <c r="N47" s="133">
        <f t="shared" ref="N47" si="30">N46*N45</f>
        <v>227142.63</v>
      </c>
      <c r="O47" s="133">
        <f>O46*O45</f>
        <v>47542.160583941608</v>
      </c>
      <c r="P47" s="133">
        <f t="shared" ref="P47:Q47" si="31">P46*P45</f>
        <v>49922.912621359232</v>
      </c>
      <c r="Q47" s="133">
        <f t="shared" si="31"/>
        <v>151788.21428571432</v>
      </c>
      <c r="R47" s="133">
        <f>R46*R45</f>
        <v>157410</v>
      </c>
      <c r="S47" s="133">
        <f>S46*S45</f>
        <v>52786.847826086952</v>
      </c>
      <c r="T47" s="133">
        <f t="shared" ref="T47:AA47" si="32">T46*T45</f>
        <v>63138.899999999994</v>
      </c>
      <c r="U47" s="133">
        <f t="shared" si="32"/>
        <v>9125.185003779934</v>
      </c>
      <c r="V47" s="133">
        <f t="shared" si="32"/>
        <v>61882.681564245817</v>
      </c>
      <c r="W47" s="133">
        <f t="shared" si="32"/>
        <v>54910.465116279069</v>
      </c>
      <c r="X47" s="133">
        <f t="shared" si="32"/>
        <v>49190.625</v>
      </c>
      <c r="Y47" s="133">
        <f t="shared" si="32"/>
        <v>106442.97480423583</v>
      </c>
      <c r="Z47" s="133">
        <f t="shared" si="32"/>
        <v>49922.912621359232</v>
      </c>
      <c r="AA47" s="133">
        <f t="shared" si="32"/>
        <v>49942.992130932966</v>
      </c>
    </row>
    <row r="48" spans="1:27">
      <c r="A48" s="130" t="s">
        <v>254</v>
      </c>
      <c r="B48" s="115"/>
      <c r="C48" s="131">
        <v>1</v>
      </c>
      <c r="D48" s="131">
        <v>1.3</v>
      </c>
      <c r="E48" s="131">
        <v>1.3</v>
      </c>
      <c r="G48" s="131">
        <v>1.05</v>
      </c>
      <c r="H48" s="131">
        <v>1.3</v>
      </c>
      <c r="I48" s="131">
        <v>1.02</v>
      </c>
      <c r="J48" s="131">
        <v>1</v>
      </c>
      <c r="K48" s="131">
        <v>1</v>
      </c>
      <c r="L48" s="131">
        <v>1</v>
      </c>
      <c r="M48" s="131">
        <v>1</v>
      </c>
      <c r="N48" s="131">
        <v>1</v>
      </c>
      <c r="O48" s="131">
        <v>1.3</v>
      </c>
      <c r="P48" s="131">
        <v>1</v>
      </c>
      <c r="Q48" s="131">
        <v>1</v>
      </c>
      <c r="R48" s="131">
        <v>1</v>
      </c>
      <c r="S48" s="131">
        <v>1</v>
      </c>
      <c r="T48" s="131">
        <v>1</v>
      </c>
      <c r="U48" s="131">
        <v>1</v>
      </c>
      <c r="V48" s="131">
        <v>1</v>
      </c>
      <c r="W48" s="131">
        <v>1.1000000000000001</v>
      </c>
      <c r="X48" s="131">
        <v>1</v>
      </c>
      <c r="Y48" s="131">
        <v>1</v>
      </c>
      <c r="Z48" s="131">
        <v>1</v>
      </c>
      <c r="AA48" s="131">
        <v>1</v>
      </c>
    </row>
    <row r="49" spans="1:27" ht="15">
      <c r="A49" s="132" t="s">
        <v>352</v>
      </c>
      <c r="B49" s="133"/>
      <c r="C49" s="301">
        <f>C48*C47</f>
        <v>76950</v>
      </c>
      <c r="D49" s="301">
        <f>D48*D47</f>
        <v>109079.42430703626</v>
      </c>
      <c r="E49" s="301">
        <f>E48*E47</f>
        <v>85263.75</v>
      </c>
      <c r="G49" s="301">
        <f t="shared" ref="G49" si="33">G48*G47</f>
        <v>53865.374062499999</v>
      </c>
      <c r="H49" s="301">
        <f>H48*H47</f>
        <v>53832.417856288375</v>
      </c>
      <c r="I49" s="301">
        <f t="shared" ref="I49" si="34">I48*I47</f>
        <v>91301.45899581589</v>
      </c>
      <c r="J49" s="301">
        <f>J48*J47</f>
        <v>90593.396607431321</v>
      </c>
      <c r="K49" s="301">
        <f t="shared" ref="K49" si="35">K48*K47</f>
        <v>110187</v>
      </c>
      <c r="L49" s="301">
        <f>L48*L47</f>
        <v>140544.64285714287</v>
      </c>
      <c r="M49" s="301">
        <f>M48*M47</f>
        <v>52470</v>
      </c>
      <c r="N49" s="301">
        <f t="shared" ref="N49" si="36">N48*N47</f>
        <v>227142.63</v>
      </c>
      <c r="O49" s="301">
        <f>O48*O47</f>
        <v>61804.808759124091</v>
      </c>
      <c r="P49" s="301">
        <f t="shared" ref="P49:Q49" si="37">P48*P47</f>
        <v>49922.912621359232</v>
      </c>
      <c r="Q49" s="301">
        <f t="shared" si="37"/>
        <v>151788.21428571432</v>
      </c>
      <c r="R49" s="301">
        <f>R48*R47</f>
        <v>157410</v>
      </c>
      <c r="S49" s="301">
        <f>S48*S47</f>
        <v>52786.847826086952</v>
      </c>
      <c r="T49" s="301">
        <f t="shared" ref="T49:AA49" si="38">T48*T47</f>
        <v>63138.899999999994</v>
      </c>
      <c r="U49" s="301">
        <f t="shared" si="38"/>
        <v>9125.185003779934</v>
      </c>
      <c r="V49" s="301">
        <f t="shared" si="38"/>
        <v>61882.681564245817</v>
      </c>
      <c r="W49" s="301">
        <f t="shared" si="38"/>
        <v>60401.511627906977</v>
      </c>
      <c r="X49" s="301">
        <f t="shared" si="38"/>
        <v>49190.625</v>
      </c>
      <c r="Y49" s="301">
        <f t="shared" si="38"/>
        <v>106442.97480423583</v>
      </c>
      <c r="Z49" s="301">
        <f t="shared" si="38"/>
        <v>49922.912621359232</v>
      </c>
      <c r="AA49" s="301">
        <f t="shared" si="38"/>
        <v>49942.992130932966</v>
      </c>
    </row>
    <row r="50" spans="1:27">
      <c r="A50" s="130" t="s">
        <v>255</v>
      </c>
      <c r="B50" s="115"/>
      <c r="C50" s="131">
        <v>1.05</v>
      </c>
      <c r="D50" s="131">
        <v>1</v>
      </c>
      <c r="E50" s="131">
        <v>0.98</v>
      </c>
      <c r="G50" s="131">
        <v>0.95</v>
      </c>
      <c r="H50" s="131">
        <v>1.05</v>
      </c>
      <c r="I50" s="131">
        <v>1</v>
      </c>
      <c r="J50" s="131">
        <v>1</v>
      </c>
      <c r="K50" s="131">
        <v>0.85</v>
      </c>
      <c r="L50" s="131">
        <v>1</v>
      </c>
      <c r="M50" s="131">
        <v>1</v>
      </c>
      <c r="N50" s="131">
        <v>1</v>
      </c>
      <c r="O50" s="131">
        <v>1.1000000000000001</v>
      </c>
      <c r="P50" s="131">
        <v>1</v>
      </c>
      <c r="Q50" s="131">
        <v>1</v>
      </c>
      <c r="R50" s="131">
        <v>1</v>
      </c>
      <c r="S50" s="131">
        <v>1</v>
      </c>
      <c r="T50" s="131">
        <v>1</v>
      </c>
      <c r="U50" s="131">
        <v>1</v>
      </c>
      <c r="V50" s="131">
        <v>1.1000000000000001</v>
      </c>
      <c r="W50" s="131">
        <v>1</v>
      </c>
      <c r="X50" s="131">
        <v>1.1000000000000001</v>
      </c>
      <c r="Y50" s="131">
        <v>1.1000000000000001</v>
      </c>
      <c r="Z50" s="131">
        <v>1.05</v>
      </c>
      <c r="AA50" s="131">
        <v>1.02</v>
      </c>
    </row>
    <row r="51" spans="1:27" ht="15">
      <c r="A51" s="132" t="s">
        <v>352</v>
      </c>
      <c r="B51" s="133"/>
      <c r="C51" s="301">
        <f>C50*C49</f>
        <v>80797.5</v>
      </c>
      <c r="D51" s="301">
        <f>D50*D49</f>
        <v>109079.42430703626</v>
      </c>
      <c r="E51" s="301">
        <f>E50*E49</f>
        <v>83558.474999999991</v>
      </c>
      <c r="G51" s="301">
        <f t="shared" ref="G51" si="39">G50*G49</f>
        <v>51172.105359374997</v>
      </c>
      <c r="H51" s="301">
        <f>H50*H49</f>
        <v>56524.038749102794</v>
      </c>
      <c r="I51" s="301">
        <f t="shared" ref="I51" si="40">I50*I49</f>
        <v>91301.45899581589</v>
      </c>
      <c r="J51" s="301">
        <f>J50*J49</f>
        <v>90593.396607431321</v>
      </c>
      <c r="K51" s="301">
        <f t="shared" ref="K51" si="41">K50*K49</f>
        <v>93658.95</v>
      </c>
      <c r="L51" s="301">
        <f>L50*L49</f>
        <v>140544.64285714287</v>
      </c>
      <c r="M51" s="301">
        <f>M50*M49</f>
        <v>52470</v>
      </c>
      <c r="N51" s="301">
        <f t="shared" ref="N51" si="42">N50*N49</f>
        <v>227142.63</v>
      </c>
      <c r="O51" s="301">
        <f>O50*O49</f>
        <v>67985.289635036504</v>
      </c>
      <c r="P51" s="301">
        <f t="shared" ref="P51:Q51" si="43">P50*P49</f>
        <v>49922.912621359232</v>
      </c>
      <c r="Q51" s="301">
        <f t="shared" si="43"/>
        <v>151788.21428571432</v>
      </c>
      <c r="R51" s="301">
        <f>R50*R49</f>
        <v>157410</v>
      </c>
      <c r="S51" s="301">
        <f>S50*S49</f>
        <v>52786.847826086952</v>
      </c>
      <c r="T51" s="301">
        <f t="shared" ref="T51:AA51" si="44">T50*T49</f>
        <v>63138.899999999994</v>
      </c>
      <c r="U51" s="301">
        <f t="shared" si="44"/>
        <v>9125.185003779934</v>
      </c>
      <c r="V51" s="301">
        <f t="shared" si="44"/>
        <v>68070.949720670411</v>
      </c>
      <c r="W51" s="301">
        <f t="shared" si="44"/>
        <v>60401.511627906977</v>
      </c>
      <c r="X51" s="301">
        <f t="shared" si="44"/>
        <v>54109.687500000007</v>
      </c>
      <c r="Y51" s="301">
        <f t="shared" si="44"/>
        <v>117087.27228465941</v>
      </c>
      <c r="Z51" s="301">
        <f t="shared" si="44"/>
        <v>52419.058252427196</v>
      </c>
      <c r="AA51" s="301">
        <f t="shared" si="44"/>
        <v>50941.851973551624</v>
      </c>
    </row>
    <row r="52" spans="1:27">
      <c r="A52" s="130" t="s">
        <v>257</v>
      </c>
      <c r="B52" s="115"/>
      <c r="C52" s="131">
        <v>1</v>
      </c>
      <c r="D52" s="131">
        <v>0.98</v>
      </c>
      <c r="E52" s="131">
        <v>0.95</v>
      </c>
      <c r="G52" s="131">
        <v>0.95</v>
      </c>
      <c r="H52" s="131">
        <v>1.1000000000000001</v>
      </c>
      <c r="I52" s="131">
        <v>0.98</v>
      </c>
      <c r="J52" s="131">
        <v>1</v>
      </c>
      <c r="K52" s="131">
        <v>1</v>
      </c>
      <c r="L52" s="131">
        <v>0.95</v>
      </c>
      <c r="M52" s="131">
        <v>0.98</v>
      </c>
      <c r="N52" s="131">
        <v>0.98</v>
      </c>
      <c r="O52" s="131">
        <v>1</v>
      </c>
      <c r="P52" s="131">
        <v>0.98</v>
      </c>
      <c r="Q52" s="131">
        <v>1</v>
      </c>
      <c r="R52" s="131">
        <v>1</v>
      </c>
      <c r="S52" s="131">
        <v>1</v>
      </c>
      <c r="T52" s="131">
        <v>1</v>
      </c>
      <c r="U52" s="131">
        <v>1</v>
      </c>
      <c r="V52" s="131">
        <v>0.95</v>
      </c>
      <c r="W52" s="131">
        <v>0.95</v>
      </c>
      <c r="X52" s="131">
        <v>0.95</v>
      </c>
      <c r="Y52" s="131">
        <v>0.95</v>
      </c>
      <c r="Z52" s="131">
        <v>0.95</v>
      </c>
      <c r="AA52" s="131">
        <v>1</v>
      </c>
    </row>
    <row r="53" spans="1:27" ht="15">
      <c r="A53" s="132" t="s">
        <v>352</v>
      </c>
      <c r="B53" s="133"/>
      <c r="C53" s="301">
        <f>C52*C51</f>
        <v>80797.5</v>
      </c>
      <c r="D53" s="301">
        <f>D52*D51</f>
        <v>106897.83582089553</v>
      </c>
      <c r="E53" s="301">
        <f>E52*E51</f>
        <v>79380.55124999999</v>
      </c>
      <c r="G53" s="301">
        <f t="shared" ref="G53" si="45">G52*G51</f>
        <v>48613.500091406248</v>
      </c>
      <c r="H53" s="301">
        <f>H52*H51</f>
        <v>62176.442624013078</v>
      </c>
      <c r="I53" s="301">
        <f t="shared" ref="I53" si="46">I52*I51</f>
        <v>89475.429815899566</v>
      </c>
      <c r="J53" s="301">
        <f>J52*J51</f>
        <v>90593.396607431321</v>
      </c>
      <c r="K53" s="301">
        <f t="shared" ref="K53" si="47">K52*K51</f>
        <v>93658.95</v>
      </c>
      <c r="L53" s="301">
        <f>L52*L51</f>
        <v>133517.41071428571</v>
      </c>
      <c r="M53" s="301">
        <f>M52*M51</f>
        <v>51420.6</v>
      </c>
      <c r="N53" s="301">
        <f t="shared" ref="N53" si="48">N52*N51</f>
        <v>222599.77739999999</v>
      </c>
      <c r="O53" s="301">
        <f>O52*O51</f>
        <v>67985.289635036504</v>
      </c>
      <c r="P53" s="301">
        <f t="shared" ref="P53:Q53" si="49">P52*P51</f>
        <v>48924.454368932049</v>
      </c>
      <c r="Q53" s="301">
        <f t="shared" si="49"/>
        <v>151788.21428571432</v>
      </c>
      <c r="R53" s="301">
        <f>R52*R51</f>
        <v>157410</v>
      </c>
      <c r="S53" s="301">
        <f>S52*S51</f>
        <v>52786.847826086952</v>
      </c>
      <c r="T53" s="301">
        <f t="shared" ref="T53:AA53" si="50">T52*T51</f>
        <v>63138.899999999994</v>
      </c>
      <c r="U53" s="301">
        <f t="shared" si="50"/>
        <v>9125.185003779934</v>
      </c>
      <c r="V53" s="301">
        <f t="shared" si="50"/>
        <v>64667.402234636887</v>
      </c>
      <c r="W53" s="301">
        <f t="shared" si="50"/>
        <v>57381.436046511626</v>
      </c>
      <c r="X53" s="301">
        <f t="shared" si="50"/>
        <v>51404.203125000007</v>
      </c>
      <c r="Y53" s="301">
        <f t="shared" si="50"/>
        <v>111232.90867042643</v>
      </c>
      <c r="Z53" s="301">
        <f t="shared" si="50"/>
        <v>49798.105339805836</v>
      </c>
      <c r="AA53" s="301">
        <f t="shared" si="50"/>
        <v>50941.851973551624</v>
      </c>
    </row>
    <row r="54" spans="1:27">
      <c r="A54" s="130" t="s">
        <v>258</v>
      </c>
      <c r="B54" s="133"/>
      <c r="C54" s="131">
        <f>MROUND(C122,0.02)</f>
        <v>1.02</v>
      </c>
      <c r="D54" s="131">
        <f>MROUND(D122,0.02)</f>
        <v>1.08</v>
      </c>
      <c r="E54" s="131">
        <f>MROUND(E122,0.02)</f>
        <v>0.98</v>
      </c>
      <c r="G54" s="131">
        <f t="shared" ref="G54" si="51">MROUND(G122,0.02)</f>
        <v>1.06</v>
      </c>
      <c r="H54" s="131">
        <f>MROUND(H122,0.02)</f>
        <v>1</v>
      </c>
      <c r="I54" s="131">
        <f t="shared" ref="I54" si="52">MROUND(I122,0.02)</f>
        <v>1.52</v>
      </c>
      <c r="J54" s="131">
        <f>MROUND(J122,0.01)</f>
        <v>0.96</v>
      </c>
      <c r="K54" s="131">
        <f t="shared" ref="K54" si="53">MROUND(K122,0.02)</f>
        <v>1.24</v>
      </c>
      <c r="L54" s="131">
        <f>MROUND(L122,0.02)</f>
        <v>1.54</v>
      </c>
      <c r="M54" s="131">
        <f>MROUND(M122,0.02)</f>
        <v>1.48</v>
      </c>
      <c r="N54" s="131">
        <f t="shared" ref="N54" si="54">MROUND(N122,0.02)</f>
        <v>1.08</v>
      </c>
      <c r="O54" s="131">
        <f>MROUND(O122,0.02)</f>
        <v>1</v>
      </c>
      <c r="P54" s="131">
        <f>MROUND(P122,0.01)</f>
        <v>1.07</v>
      </c>
      <c r="Q54" s="131">
        <v>1</v>
      </c>
      <c r="R54" s="131">
        <v>1</v>
      </c>
      <c r="S54" s="131">
        <v>1</v>
      </c>
      <c r="T54" s="131">
        <f t="shared" ref="T54:AA54" si="55">MROUND(T122,0.01)</f>
        <v>0.96</v>
      </c>
      <c r="U54" s="131">
        <f t="shared" si="55"/>
        <v>1.21</v>
      </c>
      <c r="V54" s="131">
        <f t="shared" si="55"/>
        <v>1.37</v>
      </c>
      <c r="W54" s="131">
        <f t="shared" si="55"/>
        <v>1</v>
      </c>
      <c r="X54" s="131">
        <f t="shared" si="55"/>
        <v>1.01</v>
      </c>
      <c r="Y54" s="131">
        <f t="shared" si="55"/>
        <v>0.81</v>
      </c>
      <c r="Z54" s="131">
        <f t="shared" si="55"/>
        <v>1.07</v>
      </c>
      <c r="AA54" s="131">
        <f t="shared" si="55"/>
        <v>1.04</v>
      </c>
    </row>
    <row r="55" spans="1:27" s="300" customFormat="1" ht="15" hidden="1" outlineLevel="1">
      <c r="A55" s="123" t="s">
        <v>352</v>
      </c>
      <c r="B55" s="124"/>
      <c r="C55" s="302">
        <f>C54*C53</f>
        <v>82413.45</v>
      </c>
      <c r="D55" s="302">
        <f>D54*D53</f>
        <v>115449.66268656719</v>
      </c>
      <c r="E55" s="302">
        <f>E54*E53</f>
        <v>77792.940224999984</v>
      </c>
      <c r="G55" s="302">
        <f t="shared" ref="G55" si="56">G54*G53</f>
        <v>51530.310096890622</v>
      </c>
      <c r="H55" s="302">
        <f>H54*H53</f>
        <v>62176.442624013078</v>
      </c>
      <c r="I55" s="302">
        <f t="shared" ref="I55" si="57">I54*I53</f>
        <v>136002.65332016733</v>
      </c>
      <c r="J55" s="302">
        <f>J54*J53</f>
        <v>86969.660743134067</v>
      </c>
      <c r="K55" s="302">
        <f t="shared" ref="K55" si="58">K54*K53</f>
        <v>116137.098</v>
      </c>
      <c r="L55" s="302">
        <f>L54*L53</f>
        <v>205616.8125</v>
      </c>
      <c r="M55" s="302">
        <f>M54*M53</f>
        <v>76102.487999999998</v>
      </c>
      <c r="N55" s="302">
        <f t="shared" ref="N55" si="59">N54*N53</f>
        <v>240407.75959200002</v>
      </c>
      <c r="O55" s="302">
        <f>O54*O53</f>
        <v>67985.289635036504</v>
      </c>
      <c r="P55" s="302">
        <f t="shared" ref="P55:Q55" si="60">P54*P53</f>
        <v>52349.166174757294</v>
      </c>
      <c r="Q55" s="302">
        <f t="shared" si="60"/>
        <v>151788.21428571432</v>
      </c>
      <c r="R55" s="302">
        <f>R54*R53</f>
        <v>157410</v>
      </c>
      <c r="S55" s="302">
        <f>S54*S53</f>
        <v>52786.847826086952</v>
      </c>
      <c r="T55" s="302">
        <f t="shared" ref="T55:AA55" si="61">T54*T53</f>
        <v>60613.34399999999</v>
      </c>
      <c r="U55" s="302">
        <f t="shared" si="61"/>
        <v>11041.47385457372</v>
      </c>
      <c r="V55" s="302">
        <f t="shared" si="61"/>
        <v>88594.341061452549</v>
      </c>
      <c r="W55" s="302">
        <f t="shared" si="61"/>
        <v>57381.436046511626</v>
      </c>
      <c r="X55" s="302">
        <f t="shared" si="61"/>
        <v>51918.245156250006</v>
      </c>
      <c r="Y55" s="302">
        <f t="shared" si="61"/>
        <v>90098.65602304542</v>
      </c>
      <c r="Z55" s="302">
        <f t="shared" si="61"/>
        <v>53283.972713592244</v>
      </c>
      <c r="AA55" s="302">
        <f t="shared" si="61"/>
        <v>52979.526052493689</v>
      </c>
    </row>
    <row r="56" spans="1:27" s="300" customFormat="1" hidden="1" outlineLevel="1">
      <c r="A56" s="120" t="s">
        <v>487</v>
      </c>
      <c r="B56" s="121"/>
      <c r="C56" s="122">
        <v>1</v>
      </c>
      <c r="D56" s="122">
        <v>1</v>
      </c>
      <c r="E56" s="122">
        <v>1</v>
      </c>
      <c r="G56" s="122">
        <v>1</v>
      </c>
      <c r="H56" s="122">
        <v>1</v>
      </c>
      <c r="I56" s="122">
        <v>1</v>
      </c>
      <c r="J56" s="122">
        <v>1</v>
      </c>
      <c r="K56" s="122">
        <v>1</v>
      </c>
      <c r="L56" s="122">
        <v>1</v>
      </c>
      <c r="M56" s="122">
        <v>1</v>
      </c>
      <c r="N56" s="122">
        <v>1</v>
      </c>
      <c r="O56" s="122">
        <v>1</v>
      </c>
      <c r="P56" s="122">
        <v>1</v>
      </c>
      <c r="Q56" s="122">
        <v>1</v>
      </c>
      <c r="R56" s="122">
        <v>1</v>
      </c>
      <c r="S56" s="122">
        <v>1</v>
      </c>
      <c r="T56" s="122">
        <v>1</v>
      </c>
      <c r="U56" s="122">
        <v>1</v>
      </c>
      <c r="V56" s="122">
        <v>1</v>
      </c>
      <c r="W56" s="122">
        <v>1</v>
      </c>
      <c r="X56" s="122">
        <v>1</v>
      </c>
      <c r="Y56" s="122">
        <v>1</v>
      </c>
      <c r="Z56" s="122">
        <v>1</v>
      </c>
      <c r="AA56" s="122">
        <v>1</v>
      </c>
    </row>
    <row r="57" spans="1:27" ht="15" collapsed="1">
      <c r="A57" s="132" t="s">
        <v>352</v>
      </c>
      <c r="B57" s="133"/>
      <c r="C57" s="301">
        <f>C56*C55</f>
        <v>82413.45</v>
      </c>
      <c r="D57" s="301">
        <f>D56*D55</f>
        <v>115449.66268656719</v>
      </c>
      <c r="E57" s="301">
        <f>E56*E55</f>
        <v>77792.940224999984</v>
      </c>
      <c r="G57" s="301">
        <f t="shared" ref="G57" si="62">G56*G55</f>
        <v>51530.310096890622</v>
      </c>
      <c r="H57" s="301">
        <f>H56*H55</f>
        <v>62176.442624013078</v>
      </c>
      <c r="I57" s="301">
        <f t="shared" ref="I57" si="63">I56*I55</f>
        <v>136002.65332016733</v>
      </c>
      <c r="J57" s="301">
        <f>J56*J55</f>
        <v>86969.660743134067</v>
      </c>
      <c r="K57" s="301">
        <f t="shared" ref="K57" si="64">K56*K55</f>
        <v>116137.098</v>
      </c>
      <c r="L57" s="301">
        <f>L56*L55</f>
        <v>205616.8125</v>
      </c>
      <c r="M57" s="301">
        <f>M56*M55</f>
        <v>76102.487999999998</v>
      </c>
      <c r="N57" s="301">
        <f t="shared" ref="N57" si="65">N56*N55</f>
        <v>240407.75959200002</v>
      </c>
      <c r="O57" s="301">
        <f>O56*O55</f>
        <v>67985.289635036504</v>
      </c>
      <c r="P57" s="301">
        <f t="shared" ref="P57:Q57" si="66">P56*P55</f>
        <v>52349.166174757294</v>
      </c>
      <c r="Q57" s="301">
        <f t="shared" si="66"/>
        <v>151788.21428571432</v>
      </c>
      <c r="R57" s="301">
        <f>R56*R55</f>
        <v>157410</v>
      </c>
      <c r="S57" s="301">
        <f>S56*S55</f>
        <v>52786.847826086952</v>
      </c>
      <c r="T57" s="301">
        <f t="shared" ref="T57:AA57" si="67">T56*T55</f>
        <v>60613.34399999999</v>
      </c>
      <c r="U57" s="301">
        <f t="shared" si="67"/>
        <v>11041.47385457372</v>
      </c>
      <c r="V57" s="301">
        <f t="shared" si="67"/>
        <v>88594.341061452549</v>
      </c>
      <c r="W57" s="301">
        <f t="shared" si="67"/>
        <v>57381.436046511626</v>
      </c>
      <c r="X57" s="301">
        <f t="shared" si="67"/>
        <v>51918.245156250006</v>
      </c>
      <c r="Y57" s="301">
        <f t="shared" si="67"/>
        <v>90098.65602304542</v>
      </c>
      <c r="Z57" s="301">
        <f t="shared" si="67"/>
        <v>53283.972713592244</v>
      </c>
      <c r="AA57" s="301">
        <f t="shared" si="67"/>
        <v>52979.526052493689</v>
      </c>
    </row>
    <row r="58" spans="1:27">
      <c r="A58" s="130" t="s">
        <v>267</v>
      </c>
      <c r="B58" s="133"/>
      <c r="C58" s="131">
        <v>0.9</v>
      </c>
      <c r="D58" s="131">
        <v>0.85</v>
      </c>
      <c r="E58" s="131">
        <v>0.85</v>
      </c>
      <c r="G58" s="131">
        <v>0.82</v>
      </c>
      <c r="H58" s="131">
        <v>0.88</v>
      </c>
      <c r="I58" s="131">
        <v>0.8</v>
      </c>
      <c r="J58" s="131">
        <v>0.85</v>
      </c>
      <c r="K58" s="131">
        <v>0.85</v>
      </c>
      <c r="L58" s="131">
        <v>0.82</v>
      </c>
      <c r="M58" s="131">
        <v>0.82</v>
      </c>
      <c r="N58" s="131">
        <v>0.82</v>
      </c>
      <c r="O58" s="131">
        <v>0.82</v>
      </c>
      <c r="P58" s="131">
        <v>0.88</v>
      </c>
      <c r="Q58" s="131">
        <v>0.9</v>
      </c>
      <c r="R58" s="131">
        <v>0.85</v>
      </c>
      <c r="S58" s="131">
        <v>0.8</v>
      </c>
      <c r="T58" s="131">
        <v>0.9</v>
      </c>
      <c r="U58" s="131">
        <v>0.95</v>
      </c>
      <c r="V58" s="131">
        <v>0.82</v>
      </c>
      <c r="W58" s="131">
        <v>0.92</v>
      </c>
      <c r="X58" s="131">
        <v>0.82</v>
      </c>
      <c r="Y58" s="131">
        <v>0.82</v>
      </c>
      <c r="Z58" s="131">
        <v>0.9</v>
      </c>
      <c r="AA58" s="131">
        <v>0.85</v>
      </c>
    </row>
    <row r="59" spans="1:27" ht="15">
      <c r="A59" s="132" t="s">
        <v>352</v>
      </c>
      <c r="B59" s="133"/>
      <c r="C59" s="301">
        <f>C58*C57</f>
        <v>74172.104999999996</v>
      </c>
      <c r="D59" s="301">
        <f>D58*D57</f>
        <v>98132.21328358211</v>
      </c>
      <c r="E59" s="301">
        <f>E58*E57</f>
        <v>66123.999191249983</v>
      </c>
      <c r="G59" s="301">
        <f t="shared" ref="G59" si="68">G58*G57</f>
        <v>42254.854279450308</v>
      </c>
      <c r="H59" s="301">
        <f>H58*H57</f>
        <v>54715.269509131511</v>
      </c>
      <c r="I59" s="301">
        <f t="shared" ref="I59" si="69">I58*I57</f>
        <v>108802.12265613387</v>
      </c>
      <c r="J59" s="301">
        <f>J58*J57</f>
        <v>73924.211631663959</v>
      </c>
      <c r="K59" s="301">
        <f t="shared" ref="K59" si="70">K58*K57</f>
        <v>98716.533299999996</v>
      </c>
      <c r="L59" s="301">
        <f>L58*L57</f>
        <v>168605.78624999998</v>
      </c>
      <c r="M59" s="301">
        <f>M58*M57</f>
        <v>62404.040159999997</v>
      </c>
      <c r="N59" s="301">
        <f t="shared" ref="N59" si="71">N58*N57</f>
        <v>197134.36286543999</v>
      </c>
      <c r="O59" s="301">
        <f>O58*O57</f>
        <v>55747.937500729931</v>
      </c>
      <c r="P59" s="301">
        <f>P58*P57</f>
        <v>46067.266233786417</v>
      </c>
      <c r="Q59" s="301">
        <f>Q58*Q57</f>
        <v>136609.3928571429</v>
      </c>
      <c r="R59" s="301">
        <f t="shared" ref="R59:S59" si="72">R58*R57</f>
        <v>133798.5</v>
      </c>
      <c r="S59" s="301">
        <f t="shared" si="72"/>
        <v>42229.478260869568</v>
      </c>
      <c r="T59" s="301">
        <f>T58*T57</f>
        <v>54552.00959999999</v>
      </c>
      <c r="U59" s="301">
        <f t="shared" ref="U59:V59" si="73">U58*U57</f>
        <v>10489.400161845033</v>
      </c>
      <c r="V59" s="301">
        <f t="shared" si="73"/>
        <v>72647.359670391088</v>
      </c>
      <c r="W59" s="301">
        <f>W58*W57</f>
        <v>52790.921162790699</v>
      </c>
      <c r="X59" s="301">
        <f t="shared" ref="X59:Y59" si="74">X58*X57</f>
        <v>42572.961028125006</v>
      </c>
      <c r="Y59" s="301">
        <f t="shared" si="74"/>
        <v>73880.897938897237</v>
      </c>
      <c r="Z59" s="301">
        <f>Z58*Z57</f>
        <v>47955.575442233021</v>
      </c>
      <c r="AA59" s="301">
        <f>AA58*AA57</f>
        <v>45032.597144619634</v>
      </c>
    </row>
    <row r="60" spans="1:27">
      <c r="A60" s="130" t="s">
        <v>488</v>
      </c>
      <c r="B60" s="115"/>
      <c r="C60" s="131">
        <v>0.95</v>
      </c>
      <c r="D60" s="131">
        <v>0.95</v>
      </c>
      <c r="E60" s="131">
        <v>0.95</v>
      </c>
      <c r="G60" s="131">
        <v>0.95</v>
      </c>
      <c r="H60" s="131">
        <v>0.95</v>
      </c>
      <c r="I60" s="131">
        <v>0.95</v>
      </c>
      <c r="J60" s="131">
        <v>0.95</v>
      </c>
      <c r="K60" s="131">
        <v>0.95</v>
      </c>
      <c r="L60" s="131">
        <v>0.95</v>
      </c>
      <c r="M60" s="131">
        <v>0.95</v>
      </c>
      <c r="N60" s="131">
        <v>0.95</v>
      </c>
      <c r="O60" s="131">
        <v>0.95</v>
      </c>
      <c r="P60" s="131">
        <v>0.95</v>
      </c>
      <c r="Q60" s="131">
        <v>1</v>
      </c>
      <c r="R60" s="131">
        <v>1</v>
      </c>
      <c r="S60" s="131">
        <v>1</v>
      </c>
      <c r="T60" s="131">
        <v>1</v>
      </c>
      <c r="U60" s="131">
        <v>1</v>
      </c>
      <c r="V60" s="131">
        <v>1</v>
      </c>
      <c r="W60" s="131">
        <v>0.95</v>
      </c>
      <c r="X60" s="131">
        <v>0.95</v>
      </c>
      <c r="Y60" s="131">
        <v>0.95</v>
      </c>
      <c r="Z60" s="131">
        <v>0.95</v>
      </c>
      <c r="AA60" s="131">
        <v>0.95</v>
      </c>
    </row>
    <row r="61" spans="1:27" ht="15">
      <c r="A61" s="132" t="s">
        <v>352</v>
      </c>
      <c r="B61" s="133"/>
      <c r="C61" s="301">
        <f>C60*C59</f>
        <v>70463.499749999988</v>
      </c>
      <c r="D61" s="301">
        <f>D60*D59</f>
        <v>93225.602619402998</v>
      </c>
      <c r="E61" s="301">
        <f>E60*E59</f>
        <v>62817.799231687481</v>
      </c>
      <c r="G61" s="301">
        <f t="shared" ref="G61" si="75">G60*G59</f>
        <v>40142.11156547779</v>
      </c>
      <c r="H61" s="301">
        <f>H60*H59</f>
        <v>51979.50603367493</v>
      </c>
      <c r="I61" s="301">
        <f t="shared" ref="I61" si="76">I60*I59</f>
        <v>103362.01652332717</v>
      </c>
      <c r="J61" s="301">
        <f>J60*J59</f>
        <v>70228.001050080755</v>
      </c>
      <c r="K61" s="301">
        <f t="shared" ref="K61" si="77">K60*K59</f>
        <v>93780.706634999995</v>
      </c>
      <c r="L61" s="301">
        <f>L60*L59</f>
        <v>160175.49693749996</v>
      </c>
      <c r="M61" s="301">
        <f>M60*M59</f>
        <v>59283.838151999997</v>
      </c>
      <c r="N61" s="301">
        <f t="shared" ref="N61" si="78">N60*N59</f>
        <v>187277.64472216798</v>
      </c>
      <c r="O61" s="301">
        <f>O60*O59</f>
        <v>52960.540625693429</v>
      </c>
      <c r="P61" s="301">
        <f t="shared" ref="P61:Q61" si="79">P60*P59</f>
        <v>43763.902922097092</v>
      </c>
      <c r="Q61" s="301">
        <f t="shared" si="79"/>
        <v>136609.3928571429</v>
      </c>
      <c r="R61" s="301">
        <f>R60*R59</f>
        <v>133798.5</v>
      </c>
      <c r="S61" s="301">
        <f>S60*S59</f>
        <v>42229.478260869568</v>
      </c>
      <c r="T61" s="301">
        <f t="shared" ref="T61:AA61" si="80">T60*T59</f>
        <v>54552.00959999999</v>
      </c>
      <c r="U61" s="301">
        <f t="shared" si="80"/>
        <v>10489.400161845033</v>
      </c>
      <c r="V61" s="301">
        <f t="shared" si="80"/>
        <v>72647.359670391088</v>
      </c>
      <c r="W61" s="301">
        <f t="shared" si="80"/>
        <v>50151.375104651161</v>
      </c>
      <c r="X61" s="301">
        <f t="shared" si="80"/>
        <v>40444.312976718757</v>
      </c>
      <c r="Y61" s="301">
        <f t="shared" si="80"/>
        <v>70186.853041952374</v>
      </c>
      <c r="Z61" s="301">
        <f t="shared" si="80"/>
        <v>45557.796670121366</v>
      </c>
      <c r="AA61" s="301">
        <f t="shared" si="80"/>
        <v>42780.967287388652</v>
      </c>
    </row>
    <row r="62" spans="1:27">
      <c r="A62" s="130" t="s">
        <v>261</v>
      </c>
      <c r="B62" s="133"/>
      <c r="C62" s="122">
        <v>0.9</v>
      </c>
      <c r="D62" s="122">
        <v>0.9</v>
      </c>
      <c r="E62" s="122">
        <v>0.95</v>
      </c>
      <c r="G62" s="131">
        <v>1</v>
      </c>
      <c r="H62" s="131">
        <v>1</v>
      </c>
      <c r="I62" s="131">
        <v>0.9</v>
      </c>
      <c r="J62" s="131">
        <v>1</v>
      </c>
      <c r="K62" s="131">
        <v>1</v>
      </c>
      <c r="L62" s="131">
        <v>0.95</v>
      </c>
      <c r="M62" s="131">
        <v>1</v>
      </c>
      <c r="N62" s="131">
        <v>1</v>
      </c>
      <c r="O62" s="131">
        <v>0.95</v>
      </c>
      <c r="P62" s="131">
        <v>1</v>
      </c>
      <c r="Q62" s="131">
        <v>1</v>
      </c>
      <c r="R62" s="131">
        <v>1</v>
      </c>
      <c r="S62" s="131">
        <v>1</v>
      </c>
      <c r="T62" s="131">
        <v>1</v>
      </c>
      <c r="U62" s="131">
        <v>1</v>
      </c>
      <c r="V62" s="131">
        <v>1</v>
      </c>
      <c r="W62" s="131">
        <v>1</v>
      </c>
      <c r="X62" s="131">
        <v>1</v>
      </c>
      <c r="Y62" s="131">
        <v>1</v>
      </c>
      <c r="Z62" s="131">
        <v>0.95</v>
      </c>
      <c r="AA62" s="131">
        <v>0.9</v>
      </c>
    </row>
    <row r="63" spans="1:27" ht="15">
      <c r="A63" s="132" t="s">
        <v>352</v>
      </c>
      <c r="B63" s="133"/>
      <c r="C63" s="301">
        <f>C62*C61</f>
        <v>63417.149774999991</v>
      </c>
      <c r="D63" s="301">
        <f>D62*D61</f>
        <v>83903.042357462706</v>
      </c>
      <c r="E63" s="301">
        <f>E62*E61</f>
        <v>59676.909270103104</v>
      </c>
      <c r="G63" s="301">
        <f t="shared" ref="G63" si="81">G62*G61</f>
        <v>40142.11156547779</v>
      </c>
      <c r="H63" s="301">
        <f>H62*H61</f>
        <v>51979.50603367493</v>
      </c>
      <c r="I63" s="301">
        <f t="shared" ref="I63" si="82">I62*I61</f>
        <v>93025.814870994451</v>
      </c>
      <c r="J63" s="301">
        <f>J62*J61</f>
        <v>70228.001050080755</v>
      </c>
      <c r="K63" s="301">
        <f t="shared" ref="K63" si="83">K62*K61</f>
        <v>93780.706634999995</v>
      </c>
      <c r="L63" s="301">
        <f>L62*L61</f>
        <v>152166.72209062497</v>
      </c>
      <c r="M63" s="301">
        <f>M62*M61</f>
        <v>59283.838151999997</v>
      </c>
      <c r="N63" s="301">
        <f t="shared" ref="N63" si="84">N62*N61</f>
        <v>187277.64472216798</v>
      </c>
      <c r="O63" s="301">
        <f>O62*O61</f>
        <v>50312.513594408752</v>
      </c>
      <c r="P63" s="301">
        <f t="shared" ref="P63:Q63" si="85">P62*P61</f>
        <v>43763.902922097092</v>
      </c>
      <c r="Q63" s="301">
        <f t="shared" si="85"/>
        <v>136609.3928571429</v>
      </c>
      <c r="R63" s="301">
        <f>R62*R61</f>
        <v>133798.5</v>
      </c>
      <c r="S63" s="301">
        <f>S62*S61</f>
        <v>42229.478260869568</v>
      </c>
      <c r="T63" s="301">
        <f t="shared" ref="T63:AA63" si="86">T62*T61</f>
        <v>54552.00959999999</v>
      </c>
      <c r="U63" s="301">
        <f t="shared" si="86"/>
        <v>10489.400161845033</v>
      </c>
      <c r="V63" s="301">
        <f t="shared" si="86"/>
        <v>72647.359670391088</v>
      </c>
      <c r="W63" s="301">
        <f t="shared" si="86"/>
        <v>50151.375104651161</v>
      </c>
      <c r="X63" s="301">
        <f t="shared" si="86"/>
        <v>40444.312976718757</v>
      </c>
      <c r="Y63" s="301">
        <f t="shared" si="86"/>
        <v>70186.853041952374</v>
      </c>
      <c r="Z63" s="301">
        <f t="shared" si="86"/>
        <v>43279.906836615293</v>
      </c>
      <c r="AA63" s="301">
        <f t="shared" si="86"/>
        <v>38502.870558649789</v>
      </c>
    </row>
    <row r="64" spans="1:27">
      <c r="A64" s="130" t="s">
        <v>260</v>
      </c>
      <c r="B64" s="133"/>
      <c r="C64" s="131">
        <v>1</v>
      </c>
      <c r="D64" s="131">
        <v>0.97</v>
      </c>
      <c r="E64" s="131">
        <v>1.0267550459077808</v>
      </c>
      <c r="G64" s="131">
        <v>0.96</v>
      </c>
      <c r="H64" s="131">
        <v>0.98</v>
      </c>
      <c r="I64" s="131">
        <v>0.92</v>
      </c>
      <c r="J64" s="131">
        <v>0.94</v>
      </c>
      <c r="K64" s="131">
        <v>0.96</v>
      </c>
      <c r="L64" s="131">
        <v>0.92</v>
      </c>
      <c r="M64" s="131">
        <v>1</v>
      </c>
      <c r="N64" s="131">
        <v>1</v>
      </c>
      <c r="O64" s="131">
        <v>1.08</v>
      </c>
      <c r="P64" s="131">
        <v>0.98</v>
      </c>
      <c r="Q64" s="131">
        <v>1</v>
      </c>
      <c r="R64" s="131">
        <v>1</v>
      </c>
      <c r="S64" s="131">
        <v>1</v>
      </c>
      <c r="T64" s="131">
        <v>1.05</v>
      </c>
      <c r="U64" s="131">
        <v>1</v>
      </c>
      <c r="V64" s="131">
        <v>1</v>
      </c>
      <c r="W64" s="131">
        <v>1.02</v>
      </c>
      <c r="X64" s="131">
        <v>1.02</v>
      </c>
      <c r="Y64" s="131">
        <v>1</v>
      </c>
      <c r="Z64" s="131">
        <v>0.98</v>
      </c>
      <c r="AA64" s="131">
        <v>1.05</v>
      </c>
    </row>
    <row r="65" spans="1:27" ht="15">
      <c r="A65" s="132" t="s">
        <v>352</v>
      </c>
      <c r="B65" s="133"/>
      <c r="C65" s="301">
        <f>C64*C63</f>
        <v>63417.149774999991</v>
      </c>
      <c r="D65" s="301">
        <f>D64*D63</f>
        <v>81385.951086738816</v>
      </c>
      <c r="E65" s="301">
        <f>E64*E63</f>
        <v>61273.567717259182</v>
      </c>
      <c r="G65" s="301">
        <f t="shared" ref="G65" si="87">G64*G63</f>
        <v>38536.427102858674</v>
      </c>
      <c r="H65" s="301">
        <f>H64*H63</f>
        <v>50939.91591300143</v>
      </c>
      <c r="I65" s="301">
        <f t="shared" ref="I65" si="88">I64*I63</f>
        <v>85583.749681314905</v>
      </c>
      <c r="J65" s="301">
        <f>J64*J63</f>
        <v>66014.320987075902</v>
      </c>
      <c r="K65" s="301">
        <f t="shared" ref="K65" si="89">K64*K63</f>
        <v>90029.478369599994</v>
      </c>
      <c r="L65" s="301">
        <f>L64*L63</f>
        <v>139993.38432337498</v>
      </c>
      <c r="M65" s="301">
        <f>M64*M63</f>
        <v>59283.838151999997</v>
      </c>
      <c r="N65" s="301">
        <f t="shared" ref="N65" si="90">N64*N63</f>
        <v>187277.64472216798</v>
      </c>
      <c r="O65" s="301">
        <f>O64*O63</f>
        <v>54337.514681961453</v>
      </c>
      <c r="P65" s="301">
        <f t="shared" ref="P65:Q65" si="91">P64*P63</f>
        <v>42888.624863655146</v>
      </c>
      <c r="Q65" s="301">
        <f t="shared" si="91"/>
        <v>136609.3928571429</v>
      </c>
      <c r="R65" s="301">
        <f>R64*R63</f>
        <v>133798.5</v>
      </c>
      <c r="S65" s="301">
        <f>S64*S63</f>
        <v>42229.478260869568</v>
      </c>
      <c r="T65" s="301">
        <f t="shared" ref="T65:AA65" si="92">T64*T63</f>
        <v>57279.610079999991</v>
      </c>
      <c r="U65" s="301">
        <f t="shared" si="92"/>
        <v>10489.400161845033</v>
      </c>
      <c r="V65" s="301">
        <f t="shared" si="92"/>
        <v>72647.359670391088</v>
      </c>
      <c r="W65" s="301">
        <f t="shared" si="92"/>
        <v>51154.402606744188</v>
      </c>
      <c r="X65" s="301">
        <f t="shared" si="92"/>
        <v>41253.199236253131</v>
      </c>
      <c r="Y65" s="301">
        <f t="shared" si="92"/>
        <v>70186.853041952374</v>
      </c>
      <c r="Z65" s="301">
        <f t="shared" si="92"/>
        <v>42414.308699882989</v>
      </c>
      <c r="AA65" s="301">
        <f t="shared" si="92"/>
        <v>40428.014086582283</v>
      </c>
    </row>
    <row r="66" spans="1:27">
      <c r="A66" s="130" t="s">
        <v>262</v>
      </c>
      <c r="B66" s="115"/>
      <c r="C66" s="131">
        <v>1</v>
      </c>
      <c r="D66" s="131">
        <v>1</v>
      </c>
      <c r="E66" s="131">
        <v>1</v>
      </c>
      <c r="G66" s="131">
        <v>1</v>
      </c>
      <c r="H66" s="131">
        <v>1.05</v>
      </c>
      <c r="I66" s="131">
        <v>1</v>
      </c>
      <c r="J66" s="131">
        <v>1</v>
      </c>
      <c r="K66" s="131">
        <v>1</v>
      </c>
      <c r="L66" s="131">
        <v>1</v>
      </c>
      <c r="M66" s="131">
        <v>1</v>
      </c>
      <c r="N66" s="131">
        <v>1</v>
      </c>
      <c r="O66" s="131">
        <v>1.05</v>
      </c>
      <c r="P66" s="131">
        <v>1.05</v>
      </c>
      <c r="Q66" s="131">
        <v>0.95</v>
      </c>
      <c r="R66" s="131">
        <v>1</v>
      </c>
      <c r="S66" s="131">
        <v>1</v>
      </c>
      <c r="T66" s="131">
        <v>1</v>
      </c>
      <c r="U66" s="131">
        <v>1</v>
      </c>
      <c r="V66" s="131">
        <v>1</v>
      </c>
      <c r="W66" s="131">
        <v>1.05</v>
      </c>
      <c r="X66" s="131">
        <v>1.05</v>
      </c>
      <c r="Y66" s="131">
        <v>1</v>
      </c>
      <c r="Z66" s="131">
        <v>1</v>
      </c>
      <c r="AA66" s="131">
        <v>1</v>
      </c>
    </row>
    <row r="67" spans="1:27" ht="15">
      <c r="A67" s="132" t="s">
        <v>352</v>
      </c>
      <c r="B67" s="133"/>
      <c r="C67" s="301">
        <f>C66*C65</f>
        <v>63417.149774999991</v>
      </c>
      <c r="D67" s="301">
        <f>D66*D65</f>
        <v>81385.951086738816</v>
      </c>
      <c r="E67" s="301">
        <f>E66*E65</f>
        <v>61273.567717259182</v>
      </c>
      <c r="G67" s="301">
        <f t="shared" ref="G67" si="93">G66*G65</f>
        <v>38536.427102858674</v>
      </c>
      <c r="H67" s="301">
        <f>H66*H65</f>
        <v>53486.911708651503</v>
      </c>
      <c r="I67" s="301">
        <f t="shared" ref="I67" si="94">I66*I65</f>
        <v>85583.749681314905</v>
      </c>
      <c r="J67" s="301">
        <f>J66*J65</f>
        <v>66014.320987075902</v>
      </c>
      <c r="K67" s="301">
        <f t="shared" ref="K67" si="95">K66*K65</f>
        <v>90029.478369599994</v>
      </c>
      <c r="L67" s="301">
        <f>L66*L65</f>
        <v>139993.38432337498</v>
      </c>
      <c r="M67" s="301">
        <f>M66*M65</f>
        <v>59283.838151999997</v>
      </c>
      <c r="N67" s="301">
        <f t="shared" ref="N67" si="96">N66*N65</f>
        <v>187277.64472216798</v>
      </c>
      <c r="O67" s="301">
        <f>O66*O65</f>
        <v>57054.390416059527</v>
      </c>
      <c r="P67" s="301">
        <f t="shared" ref="P67:Q67" si="97">P66*P65</f>
        <v>45033.056106837903</v>
      </c>
      <c r="Q67" s="301">
        <f t="shared" si="97"/>
        <v>129778.92321428575</v>
      </c>
      <c r="R67" s="301">
        <f>R66*R65</f>
        <v>133798.5</v>
      </c>
      <c r="S67" s="301">
        <f>S66*S65</f>
        <v>42229.478260869568</v>
      </c>
      <c r="T67" s="301">
        <f t="shared" ref="T67:AA67" si="98">T66*T65</f>
        <v>57279.610079999991</v>
      </c>
      <c r="U67" s="301">
        <f t="shared" si="98"/>
        <v>10489.400161845033</v>
      </c>
      <c r="V67" s="301">
        <f t="shared" si="98"/>
        <v>72647.359670391088</v>
      </c>
      <c r="W67" s="301">
        <f t="shared" si="98"/>
        <v>53712.122737081401</v>
      </c>
      <c r="X67" s="301">
        <f t="shared" si="98"/>
        <v>43315.859198065787</v>
      </c>
      <c r="Y67" s="301">
        <f t="shared" si="98"/>
        <v>70186.853041952374</v>
      </c>
      <c r="Z67" s="301">
        <f t="shared" si="98"/>
        <v>42414.308699882989</v>
      </c>
      <c r="AA67" s="301">
        <f t="shared" si="98"/>
        <v>40428.014086582283</v>
      </c>
    </row>
    <row r="68" spans="1:27">
      <c r="A68" s="130" t="s">
        <v>265</v>
      </c>
      <c r="B68" s="115"/>
      <c r="C68" s="131">
        <v>1</v>
      </c>
      <c r="D68" s="131">
        <v>1</v>
      </c>
      <c r="E68" s="131">
        <v>1</v>
      </c>
      <c r="G68" s="131">
        <v>1</v>
      </c>
      <c r="H68" s="131">
        <v>1</v>
      </c>
      <c r="I68" s="131">
        <v>1.02</v>
      </c>
      <c r="J68" s="131">
        <v>1</v>
      </c>
      <c r="K68" s="131">
        <v>1</v>
      </c>
      <c r="L68" s="131">
        <v>1.02</v>
      </c>
      <c r="M68" s="131">
        <v>1.02</v>
      </c>
      <c r="N68" s="131">
        <v>1.02</v>
      </c>
      <c r="O68" s="131">
        <v>1.02</v>
      </c>
      <c r="P68" s="131">
        <v>1</v>
      </c>
      <c r="Q68" s="131">
        <v>1</v>
      </c>
      <c r="R68" s="131">
        <v>1</v>
      </c>
      <c r="S68" s="131">
        <v>1</v>
      </c>
      <c r="T68" s="131">
        <v>1</v>
      </c>
      <c r="U68" s="131">
        <v>1</v>
      </c>
      <c r="V68" s="131">
        <v>1.02</v>
      </c>
      <c r="W68" s="131">
        <v>1</v>
      </c>
      <c r="X68" s="131">
        <v>1.02</v>
      </c>
      <c r="Y68" s="131">
        <v>1.02</v>
      </c>
      <c r="Z68" s="131">
        <v>1</v>
      </c>
      <c r="AA68" s="131">
        <v>1</v>
      </c>
    </row>
    <row r="69" spans="1:27" ht="15">
      <c r="A69" s="132" t="s">
        <v>352</v>
      </c>
      <c r="B69" s="133"/>
      <c r="C69" s="301">
        <f>C68*C67</f>
        <v>63417.149774999991</v>
      </c>
      <c r="D69" s="301">
        <f>D68*D67</f>
        <v>81385.951086738816</v>
      </c>
      <c r="E69" s="301">
        <f>E68*E67</f>
        <v>61273.567717259182</v>
      </c>
      <c r="G69" s="301">
        <f t="shared" ref="G69" si="99">G68*G67</f>
        <v>38536.427102858674</v>
      </c>
      <c r="H69" s="301">
        <f>H68*H67</f>
        <v>53486.911708651503</v>
      </c>
      <c r="I69" s="301">
        <f t="shared" ref="I69" si="100">I68*I67</f>
        <v>87295.424674941198</v>
      </c>
      <c r="J69" s="301">
        <f>J68*J67</f>
        <v>66014.320987075902</v>
      </c>
      <c r="K69" s="301">
        <f t="shared" ref="K69" si="101">K68*K67</f>
        <v>90029.478369599994</v>
      </c>
      <c r="L69" s="301">
        <f>L68*L67</f>
        <v>142793.25200984249</v>
      </c>
      <c r="M69" s="301">
        <f>M68*M67</f>
        <v>60469.514915039996</v>
      </c>
      <c r="N69" s="301">
        <f t="shared" ref="N69" si="102">N68*N67</f>
        <v>191023.19761661135</v>
      </c>
      <c r="O69" s="301">
        <f>O68*O67</f>
        <v>58195.47822438072</v>
      </c>
      <c r="P69" s="301">
        <f t="shared" ref="P69:Q69" si="103">P68*P67</f>
        <v>45033.056106837903</v>
      </c>
      <c r="Q69" s="301">
        <f t="shared" si="103"/>
        <v>129778.92321428575</v>
      </c>
      <c r="R69" s="301">
        <f>R68*R67</f>
        <v>133798.5</v>
      </c>
      <c r="S69" s="301">
        <f>S68*S67</f>
        <v>42229.478260869568</v>
      </c>
      <c r="T69" s="301">
        <f t="shared" ref="T69:AA69" si="104">T68*T67</f>
        <v>57279.610079999991</v>
      </c>
      <c r="U69" s="301">
        <f t="shared" si="104"/>
        <v>10489.400161845033</v>
      </c>
      <c r="V69" s="301">
        <f t="shared" si="104"/>
        <v>74100.306863798905</v>
      </c>
      <c r="W69" s="301">
        <f t="shared" si="104"/>
        <v>53712.122737081401</v>
      </c>
      <c r="X69" s="301">
        <f t="shared" si="104"/>
        <v>44182.176382027101</v>
      </c>
      <c r="Y69" s="301">
        <f t="shared" si="104"/>
        <v>71590.590102791422</v>
      </c>
      <c r="Z69" s="301">
        <f t="shared" si="104"/>
        <v>42414.308699882989</v>
      </c>
      <c r="AA69" s="301">
        <f t="shared" si="104"/>
        <v>40428.014086582283</v>
      </c>
    </row>
    <row r="70" spans="1:27">
      <c r="A70" s="130" t="s">
        <v>266</v>
      </c>
      <c r="B70" s="115"/>
      <c r="C70" s="131">
        <f>C131</f>
        <v>0.96</v>
      </c>
      <c r="D70" s="131">
        <f>D131</f>
        <v>0.92</v>
      </c>
      <c r="E70" s="131">
        <f>E131</f>
        <v>0.98</v>
      </c>
      <c r="G70" s="131">
        <f t="shared" ref="G70" si="105">G131</f>
        <v>1.28</v>
      </c>
      <c r="H70" s="131">
        <f>H131</f>
        <v>1.02</v>
      </c>
      <c r="I70" s="131">
        <f t="shared" ref="I70" si="106">I131</f>
        <v>1.1200000000000001</v>
      </c>
      <c r="J70" s="131">
        <v>0.9</v>
      </c>
      <c r="K70" s="131">
        <f>K131</f>
        <v>1.08</v>
      </c>
      <c r="L70" s="131">
        <f>L131</f>
        <v>1.08</v>
      </c>
      <c r="M70" s="131">
        <f>M131</f>
        <v>1.18</v>
      </c>
      <c r="N70" s="131">
        <f>N131</f>
        <v>0.38</v>
      </c>
      <c r="O70" s="131">
        <f t="shared" ref="O70" si="107">O131</f>
        <v>1</v>
      </c>
      <c r="P70" s="131">
        <f>P131</f>
        <v>1.1000000000000001</v>
      </c>
      <c r="Q70" s="131">
        <v>0.85</v>
      </c>
      <c r="R70" s="131">
        <v>0.8</v>
      </c>
      <c r="S70" s="131">
        <v>0.7</v>
      </c>
      <c r="T70" s="131">
        <f>MROUND(T131,0.02)</f>
        <v>1.1200000000000001</v>
      </c>
      <c r="U70" s="131">
        <f>MROUND(U131,0.01)</f>
        <v>1.86</v>
      </c>
      <c r="V70" s="131">
        <f>MROUND(V131,0.02)</f>
        <v>1.1000000000000001</v>
      </c>
      <c r="W70" s="131">
        <f>MROUND(W131,0.02)</f>
        <v>0.8</v>
      </c>
      <c r="X70" s="131">
        <f>MROUND(X131,0.01)</f>
        <v>1.22</v>
      </c>
      <c r="Y70" s="131" t="e">
        <f>MROUND(Y131,0.02)</f>
        <v>#NUM!</v>
      </c>
      <c r="Z70" s="131">
        <f>MROUND(Z131,0.02)</f>
        <v>1.1200000000000001</v>
      </c>
      <c r="AA70" s="131">
        <f>MROUND(AA131,0.02)</f>
        <v>0.76</v>
      </c>
    </row>
    <row r="71" spans="1:27" ht="15">
      <c r="A71" s="132" t="s">
        <v>352</v>
      </c>
      <c r="B71" s="133"/>
      <c r="C71" s="301">
        <f>C70*C69</f>
        <v>60880.463783999992</v>
      </c>
      <c r="D71" s="301">
        <f>D70*D69</f>
        <v>74875.074999799719</v>
      </c>
      <c r="E71" s="301">
        <f>E70*E69</f>
        <v>60048.096362913995</v>
      </c>
      <c r="G71" s="301">
        <f t="shared" ref="G71" si="108">G70*G69</f>
        <v>49326.626691659105</v>
      </c>
      <c r="H71" s="301">
        <f>H70*H69</f>
        <v>54556.649942824537</v>
      </c>
      <c r="I71" s="301">
        <f t="shared" ref="I71" si="109">I70*I69</f>
        <v>97770.87563593415</v>
      </c>
      <c r="J71" s="301">
        <f>J70*J69</f>
        <v>59412.88888836831</v>
      </c>
      <c r="K71" s="301">
        <f t="shared" ref="K71" si="110">K70*K69</f>
        <v>97231.836639168003</v>
      </c>
      <c r="L71" s="301">
        <f>L70*L69</f>
        <v>154216.71217062991</v>
      </c>
      <c r="M71" s="301">
        <f>M70*M69</f>
        <v>71354.027599747191</v>
      </c>
      <c r="N71" s="301">
        <f t="shared" ref="N71" si="111">N70*N69</f>
        <v>72588.815094312318</v>
      </c>
      <c r="O71" s="301">
        <f>O70*O69</f>
        <v>58195.47822438072</v>
      </c>
      <c r="P71" s="301">
        <f t="shared" ref="P71:Q71" si="112">P70*P69</f>
        <v>49536.3617175217</v>
      </c>
      <c r="Q71" s="301">
        <f t="shared" si="112"/>
        <v>110312.08473214289</v>
      </c>
      <c r="R71" s="301">
        <f>R70*R69</f>
        <v>107038.8</v>
      </c>
      <c r="S71" s="301">
        <f>S70*S69</f>
        <v>29560.634782608697</v>
      </c>
      <c r="T71" s="301">
        <f t="shared" ref="T71:AA71" si="113">T70*T69</f>
        <v>64153.163289599994</v>
      </c>
      <c r="U71" s="301">
        <f t="shared" si="113"/>
        <v>19510.284301031763</v>
      </c>
      <c r="V71" s="301">
        <f t="shared" si="113"/>
        <v>81510.337550178796</v>
      </c>
      <c r="W71" s="301">
        <f t="shared" si="113"/>
        <v>42969.698189665127</v>
      </c>
      <c r="X71" s="301">
        <f t="shared" si="113"/>
        <v>53902.25518607306</v>
      </c>
      <c r="Y71" s="301" t="e">
        <f t="shared" si="113"/>
        <v>#NUM!</v>
      </c>
      <c r="Z71" s="301">
        <f t="shared" si="113"/>
        <v>47504.025743868951</v>
      </c>
      <c r="AA71" s="301">
        <f t="shared" si="113"/>
        <v>30725.290705802534</v>
      </c>
    </row>
    <row r="72" spans="1:27">
      <c r="A72" s="130" t="s">
        <v>489</v>
      </c>
      <c r="B72" s="115"/>
      <c r="C72" s="131">
        <v>1.02</v>
      </c>
      <c r="D72" s="131">
        <v>1.02</v>
      </c>
      <c r="E72" s="131">
        <v>1.02</v>
      </c>
      <c r="G72" s="131">
        <v>1.02</v>
      </c>
      <c r="H72" s="131">
        <v>1</v>
      </c>
      <c r="I72" s="131">
        <v>1</v>
      </c>
      <c r="J72" s="131">
        <v>1</v>
      </c>
      <c r="K72" s="131">
        <v>1.02</v>
      </c>
      <c r="L72" s="131">
        <v>0.85</v>
      </c>
      <c r="M72" s="131">
        <v>1.02</v>
      </c>
      <c r="N72" s="131">
        <v>1.02</v>
      </c>
      <c r="O72" s="131">
        <v>1</v>
      </c>
      <c r="P72" s="131">
        <v>1.02</v>
      </c>
      <c r="Q72" s="131">
        <v>1</v>
      </c>
      <c r="R72" s="131">
        <v>1</v>
      </c>
      <c r="S72" s="131">
        <v>1</v>
      </c>
      <c r="T72" s="131">
        <v>1</v>
      </c>
      <c r="U72" s="131">
        <v>1</v>
      </c>
      <c r="V72" s="131">
        <v>1.05</v>
      </c>
      <c r="W72" s="131">
        <v>1.02</v>
      </c>
      <c r="X72" s="131">
        <v>1.05</v>
      </c>
      <c r="Y72" s="131">
        <v>1.05</v>
      </c>
      <c r="Z72" s="131">
        <v>0.95</v>
      </c>
      <c r="AA72" s="131">
        <v>1.05</v>
      </c>
    </row>
    <row r="73" spans="1:27" ht="15">
      <c r="A73" s="132" t="s">
        <v>352</v>
      </c>
      <c r="B73" s="133"/>
      <c r="C73" s="301">
        <f>C72*C71</f>
        <v>62098.073059679991</v>
      </c>
      <c r="D73" s="301">
        <f>D72*D71</f>
        <v>76372.576499795716</v>
      </c>
      <c r="E73" s="301">
        <f>E72*E71</f>
        <v>61249.058290172274</v>
      </c>
      <c r="G73" s="301">
        <f t="shared" ref="G73" si="114">G72*G71</f>
        <v>50313.159225492287</v>
      </c>
      <c r="H73" s="301">
        <f>H72*H71</f>
        <v>54556.649942824537</v>
      </c>
      <c r="I73" s="301">
        <f t="shared" ref="I73" si="115">I72*I71</f>
        <v>97770.87563593415</v>
      </c>
      <c r="J73" s="301">
        <f>J72*J71</f>
        <v>59412.88888836831</v>
      </c>
      <c r="K73" s="301">
        <f t="shared" ref="K73" si="116">K72*K71</f>
        <v>99176.473371951361</v>
      </c>
      <c r="L73" s="301">
        <f>L72*L71</f>
        <v>131084.20534503541</v>
      </c>
      <c r="M73" s="301">
        <f>M72*M71</f>
        <v>72781.108151742141</v>
      </c>
      <c r="N73" s="301">
        <f t="shared" ref="N73" si="117">N72*N71</f>
        <v>74040.591396198564</v>
      </c>
      <c r="O73" s="301">
        <f>O72*O71</f>
        <v>58195.47822438072</v>
      </c>
      <c r="P73" s="301">
        <f t="shared" ref="P73:Q73" si="118">P72*P71</f>
        <v>50527.088951872138</v>
      </c>
      <c r="Q73" s="301">
        <f t="shared" si="118"/>
        <v>110312.08473214289</v>
      </c>
      <c r="R73" s="301">
        <f>R72*R71</f>
        <v>107038.8</v>
      </c>
      <c r="S73" s="301">
        <f>S72*S71</f>
        <v>29560.634782608697</v>
      </c>
      <c r="T73" s="301">
        <f t="shared" ref="T73:AA73" si="119">T72*T71</f>
        <v>64153.163289599994</v>
      </c>
      <c r="U73" s="301">
        <f t="shared" si="119"/>
        <v>19510.284301031763</v>
      </c>
      <c r="V73" s="301">
        <f t="shared" si="119"/>
        <v>85585.854427687736</v>
      </c>
      <c r="W73" s="301">
        <f t="shared" si="119"/>
        <v>43829.092153458427</v>
      </c>
      <c r="X73" s="301">
        <f t="shared" si="119"/>
        <v>56597.367945376718</v>
      </c>
      <c r="Y73" s="301" t="e">
        <f t="shared" si="119"/>
        <v>#NUM!</v>
      </c>
      <c r="Z73" s="301">
        <f t="shared" si="119"/>
        <v>45128.824456675502</v>
      </c>
      <c r="AA73" s="301">
        <f t="shared" si="119"/>
        <v>32261.555241092661</v>
      </c>
    </row>
    <row r="74" spans="1:27">
      <c r="A74" s="130" t="s">
        <v>268</v>
      </c>
      <c r="B74" s="115"/>
      <c r="C74" s="131">
        <v>0.95</v>
      </c>
      <c r="D74" s="131">
        <v>1</v>
      </c>
      <c r="E74" s="131">
        <v>1</v>
      </c>
      <c r="G74" s="131">
        <v>1</v>
      </c>
      <c r="H74" s="131">
        <v>0.98</v>
      </c>
      <c r="I74" s="131">
        <v>1</v>
      </c>
      <c r="J74" s="131">
        <v>0.95</v>
      </c>
      <c r="K74" s="131">
        <v>1</v>
      </c>
      <c r="L74" s="131">
        <v>1</v>
      </c>
      <c r="M74" s="131">
        <v>1.05</v>
      </c>
      <c r="N74" s="131">
        <v>1.05</v>
      </c>
      <c r="O74" s="131">
        <v>0.98</v>
      </c>
      <c r="P74" s="131">
        <v>1</v>
      </c>
      <c r="Q74" s="131">
        <v>0.98</v>
      </c>
      <c r="R74" s="131">
        <v>1</v>
      </c>
      <c r="S74" s="131">
        <v>1</v>
      </c>
      <c r="T74" s="131">
        <v>1</v>
      </c>
      <c r="U74" s="131">
        <v>1</v>
      </c>
      <c r="V74" s="131">
        <v>0.9</v>
      </c>
      <c r="W74" s="131">
        <v>1</v>
      </c>
      <c r="X74" s="131">
        <v>1</v>
      </c>
      <c r="Y74" s="131">
        <v>0.9</v>
      </c>
      <c r="Z74" s="131">
        <v>1</v>
      </c>
      <c r="AA74" s="131">
        <v>1</v>
      </c>
    </row>
    <row r="75" spans="1:27" ht="15">
      <c r="A75" s="132" t="s">
        <v>352</v>
      </c>
      <c r="B75" s="134"/>
      <c r="C75" s="301">
        <f>C74*C73</f>
        <v>58993.16940669599</v>
      </c>
      <c r="D75" s="301">
        <f>D74*D73</f>
        <v>76372.576499795716</v>
      </c>
      <c r="E75" s="301">
        <f>E74*E73</f>
        <v>61249.058290172274</v>
      </c>
      <c r="G75" s="301">
        <f t="shared" ref="G75" si="120">G74*G73</f>
        <v>50313.159225492287</v>
      </c>
      <c r="H75" s="301">
        <f>H74*H73</f>
        <v>53465.516943968047</v>
      </c>
      <c r="I75" s="301">
        <f t="shared" ref="I75" si="121">I74*I73</f>
        <v>97770.87563593415</v>
      </c>
      <c r="J75" s="301">
        <f>J74*J73</f>
        <v>56442.244443949894</v>
      </c>
      <c r="K75" s="301">
        <f t="shared" ref="K75" si="122">K74*K73</f>
        <v>99176.473371951361</v>
      </c>
      <c r="L75" s="301">
        <f>L74*L73</f>
        <v>131084.20534503541</v>
      </c>
      <c r="M75" s="301">
        <f>M74*M73</f>
        <v>76420.163559329245</v>
      </c>
      <c r="N75" s="301">
        <f t="shared" ref="N75" si="123">N74*N73</f>
        <v>77742.620966008501</v>
      </c>
      <c r="O75" s="301">
        <f>O74*O73</f>
        <v>57031.568659893106</v>
      </c>
      <c r="P75" s="301">
        <f t="shared" ref="P75:Q75" si="124">P74*P73</f>
        <v>50527.088951872138</v>
      </c>
      <c r="Q75" s="301">
        <f t="shared" si="124"/>
        <v>108105.84303750003</v>
      </c>
      <c r="R75" s="301">
        <f>R74*R73</f>
        <v>107038.8</v>
      </c>
      <c r="S75" s="301">
        <f>S74*S73</f>
        <v>29560.634782608697</v>
      </c>
      <c r="T75" s="301">
        <f t="shared" ref="T75:AA75" si="125">T74*T73</f>
        <v>64153.163289599994</v>
      </c>
      <c r="U75" s="301">
        <f t="shared" si="125"/>
        <v>19510.284301031763</v>
      </c>
      <c r="V75" s="301">
        <f t="shared" si="125"/>
        <v>77027.268984918963</v>
      </c>
      <c r="W75" s="301">
        <f t="shared" si="125"/>
        <v>43829.092153458427</v>
      </c>
      <c r="X75" s="301">
        <f t="shared" si="125"/>
        <v>56597.367945376718</v>
      </c>
      <c r="Y75" s="301" t="e">
        <f t="shared" si="125"/>
        <v>#NUM!</v>
      </c>
      <c r="Z75" s="301">
        <f t="shared" si="125"/>
        <v>45128.824456675502</v>
      </c>
      <c r="AA75" s="301">
        <f t="shared" si="125"/>
        <v>32261.555241092661</v>
      </c>
    </row>
    <row r="76" spans="1:27" ht="15">
      <c r="A76" s="132" t="s">
        <v>270</v>
      </c>
      <c r="B76" s="133"/>
      <c r="C76" s="301">
        <f t="shared" ref="C76" si="126">C75/долл</f>
        <v>674.59313215204099</v>
      </c>
      <c r="D76" s="301">
        <f>D75/долл</f>
        <v>873.32849056370173</v>
      </c>
      <c r="E76" s="301">
        <f>E75/долл</f>
        <v>700.38946015062629</v>
      </c>
      <c r="G76" s="301">
        <f t="shared" ref="G76:Q76" si="127">G75/долл</f>
        <v>575.33629760425708</v>
      </c>
      <c r="H76" s="301">
        <f t="shared" si="127"/>
        <v>611.38384155480901</v>
      </c>
      <c r="I76" s="301">
        <f t="shared" si="127"/>
        <v>1118.0203045847243</v>
      </c>
      <c r="J76" s="301">
        <f t="shared" si="127"/>
        <v>645.42303537964426</v>
      </c>
      <c r="K76" s="301">
        <f t="shared" si="127"/>
        <v>1134.0934633728</v>
      </c>
      <c r="L76" s="301">
        <f t="shared" si="127"/>
        <v>1498.9617535166999</v>
      </c>
      <c r="M76" s="301">
        <f t="shared" si="127"/>
        <v>873.87265362297592</v>
      </c>
      <c r="N76" s="301">
        <f t="shared" si="127"/>
        <v>888.99509395092628</v>
      </c>
      <c r="O76" s="301">
        <f t="shared" si="127"/>
        <v>652.16202012456381</v>
      </c>
      <c r="P76" s="301">
        <f t="shared" si="127"/>
        <v>577.78260665376945</v>
      </c>
      <c r="Q76" s="301">
        <f t="shared" si="127"/>
        <v>1236.2017500000004</v>
      </c>
      <c r="R76" s="301">
        <f>R75/долл</f>
        <v>1224</v>
      </c>
      <c r="S76" s="301">
        <f>S75/долл</f>
        <v>338.02898550724638</v>
      </c>
      <c r="T76" s="301">
        <f t="shared" ref="T76:AA76" si="128">T75/долл</f>
        <v>733.59820799999989</v>
      </c>
      <c r="U76" s="301">
        <f t="shared" si="128"/>
        <v>223.10216467732147</v>
      </c>
      <c r="V76" s="301">
        <f t="shared" si="128"/>
        <v>880.81496838100588</v>
      </c>
      <c r="W76" s="301">
        <f t="shared" si="128"/>
        <v>501.19030478511638</v>
      </c>
      <c r="X76" s="301">
        <f t="shared" si="128"/>
        <v>647.1968890266063</v>
      </c>
      <c r="Y76" s="301" t="e">
        <f t="shared" si="128"/>
        <v>#NUM!</v>
      </c>
      <c r="Z76" s="301">
        <f t="shared" si="128"/>
        <v>516.05288115123494</v>
      </c>
      <c r="AA76" s="301">
        <f t="shared" si="128"/>
        <v>368.91429663913846</v>
      </c>
    </row>
    <row r="77" spans="1:27">
      <c r="A77" s="119" t="s">
        <v>353</v>
      </c>
      <c r="B77" s="87" t="s">
        <v>159</v>
      </c>
      <c r="C77" s="135"/>
      <c r="D77" s="135"/>
      <c r="E77" s="135"/>
      <c r="G77" s="135"/>
      <c r="H77" s="135"/>
      <c r="I77" s="135"/>
      <c r="J77" s="135"/>
      <c r="K77" s="135"/>
      <c r="L77" s="135"/>
      <c r="M77" s="135"/>
      <c r="N77" s="135"/>
      <c r="O77" s="135"/>
      <c r="P77" s="135"/>
      <c r="Q77" s="135"/>
      <c r="R77" s="135"/>
      <c r="S77" s="135"/>
      <c r="T77" s="135"/>
      <c r="U77" s="135"/>
      <c r="V77" s="135"/>
      <c r="W77" s="135"/>
      <c r="X77" s="135"/>
      <c r="Y77" s="135"/>
      <c r="Z77" s="135"/>
      <c r="AA77" s="135"/>
    </row>
    <row r="78" spans="1:27" ht="15">
      <c r="A78" s="136" t="s">
        <v>272</v>
      </c>
      <c r="B78" s="115">
        <f>ROUND(AVERAGE(C75:E75),-1)</f>
        <v>65540</v>
      </c>
      <c r="C78" s="104"/>
      <c r="D78" s="104"/>
      <c r="E78" s="104"/>
      <c r="G78" s="104"/>
      <c r="H78" s="104"/>
      <c r="I78" s="104"/>
      <c r="J78" s="104"/>
      <c r="K78" s="104"/>
      <c r="L78" s="104"/>
      <c r="M78" s="104"/>
      <c r="N78" s="104"/>
      <c r="O78" s="104"/>
      <c r="P78" s="104"/>
      <c r="Q78" s="104"/>
      <c r="R78" s="104"/>
      <c r="S78" s="104"/>
      <c r="T78" s="104"/>
      <c r="U78" s="104"/>
      <c r="V78" s="104"/>
      <c r="W78" s="104"/>
      <c r="X78" s="104"/>
      <c r="Y78" s="104"/>
      <c r="Z78" s="104"/>
      <c r="AA78" s="104"/>
    </row>
    <row r="79" spans="1:27" ht="14.25" customHeight="1">
      <c r="A79" s="136" t="s">
        <v>273</v>
      </c>
      <c r="B79" s="115">
        <f>ROUND(B78/долл,2)</f>
        <v>749.46</v>
      </c>
      <c r="C79" s="104"/>
      <c r="D79" s="104"/>
      <c r="E79" s="104"/>
      <c r="G79" s="104"/>
      <c r="H79" s="104"/>
      <c r="I79" s="104"/>
      <c r="J79" s="104"/>
      <c r="K79" s="104"/>
      <c r="L79" s="104"/>
      <c r="M79" s="104"/>
      <c r="N79" s="104"/>
      <c r="O79" s="104"/>
      <c r="P79" s="104"/>
      <c r="Q79" s="104"/>
      <c r="R79" s="104"/>
      <c r="S79" s="104"/>
      <c r="T79" s="104"/>
      <c r="U79" s="104"/>
      <c r="V79" s="104"/>
      <c r="W79" s="104"/>
      <c r="X79" s="104"/>
      <c r="Y79" s="104"/>
      <c r="Z79" s="104"/>
      <c r="AA79" s="104"/>
    </row>
    <row r="80" spans="1:27">
      <c r="A80" s="132" t="s">
        <v>274</v>
      </c>
      <c r="B80" s="133">
        <f>ROUND(B78*B13,-3)</f>
        <v>1119989000</v>
      </c>
      <c r="C80" s="104"/>
      <c r="D80" s="104"/>
      <c r="E80" s="104"/>
      <c r="G80" s="104"/>
      <c r="H80" s="104"/>
      <c r="I80" s="104"/>
      <c r="J80" s="104"/>
      <c r="K80" s="104"/>
      <c r="L80" s="104"/>
      <c r="M80" s="104"/>
      <c r="N80" s="104"/>
      <c r="O80" s="104"/>
      <c r="P80" s="104"/>
      <c r="Q80" s="104"/>
      <c r="R80" s="104"/>
      <c r="S80" s="104"/>
      <c r="T80" s="104"/>
      <c r="U80" s="104"/>
      <c r="V80" s="104"/>
      <c r="W80" s="104"/>
      <c r="X80" s="104"/>
      <c r="Y80" s="104"/>
      <c r="Z80" s="104"/>
      <c r="AA80" s="104"/>
    </row>
    <row r="81" spans="1:27">
      <c r="A81" s="132" t="s">
        <v>275</v>
      </c>
      <c r="B81" s="133">
        <f>ROUND(B80/долл,-2)</f>
        <v>12807200</v>
      </c>
      <c r="C81" s="303"/>
      <c r="D81" s="303"/>
      <c r="E81" s="303"/>
      <c r="G81" s="303"/>
      <c r="H81" s="303"/>
      <c r="I81" s="303"/>
      <c r="J81" s="303"/>
      <c r="K81" s="303"/>
      <c r="L81" s="303"/>
      <c r="M81" s="303"/>
      <c r="N81" s="303"/>
      <c r="O81" s="303"/>
      <c r="P81" s="303"/>
      <c r="Q81" s="303"/>
      <c r="R81" s="303"/>
      <c r="S81" s="303"/>
      <c r="T81" s="303"/>
      <c r="U81" s="303"/>
      <c r="V81" s="303"/>
      <c r="W81" s="303"/>
      <c r="X81" s="303"/>
      <c r="Y81" s="303"/>
      <c r="Z81" s="303"/>
      <c r="AA81" s="303"/>
    </row>
    <row r="82" spans="1:27">
      <c r="A82" s="137"/>
      <c r="B82" s="138"/>
      <c r="C82" s="304"/>
      <c r="D82" s="304"/>
      <c r="E82" s="304"/>
      <c r="G82" s="304"/>
      <c r="H82" s="304"/>
      <c r="I82" s="304"/>
      <c r="J82" s="304"/>
      <c r="K82" s="304"/>
      <c r="L82" s="304"/>
      <c r="M82" s="304"/>
      <c r="N82" s="304"/>
      <c r="O82" s="304"/>
      <c r="P82" s="304"/>
      <c r="Q82" s="304"/>
      <c r="R82" s="304"/>
      <c r="S82" s="304"/>
      <c r="T82" s="304"/>
      <c r="U82" s="304"/>
      <c r="V82" s="304"/>
      <c r="W82" s="304"/>
      <c r="X82" s="304"/>
      <c r="Y82" s="304"/>
      <c r="Z82" s="304"/>
      <c r="AA82" s="304"/>
    </row>
    <row r="83" spans="1:27">
      <c r="A83" s="137"/>
      <c r="B83" s="138"/>
      <c r="C83" s="304"/>
      <c r="D83" s="304"/>
      <c r="E83" s="304"/>
      <c r="G83" s="304"/>
      <c r="H83" s="304"/>
      <c r="I83" s="304"/>
      <c r="J83" s="304"/>
      <c r="K83" s="304"/>
      <c r="L83" s="304"/>
      <c r="M83" s="304"/>
      <c r="N83" s="304"/>
      <c r="O83" s="304"/>
      <c r="P83" s="304"/>
      <c r="Q83" s="304"/>
      <c r="R83" s="304"/>
      <c r="S83" s="304"/>
      <c r="T83" s="304"/>
      <c r="U83" s="304"/>
      <c r="V83" s="304"/>
      <c r="W83" s="304"/>
      <c r="X83" s="304"/>
      <c r="Y83" s="304"/>
      <c r="Z83" s="304"/>
      <c r="AA83" s="304"/>
    </row>
    <row r="84" spans="1:27">
      <c r="A84" s="137"/>
      <c r="B84" s="138"/>
      <c r="C84" s="304"/>
      <c r="D84" s="304"/>
      <c r="E84" s="304"/>
      <c r="G84" s="304"/>
      <c r="H84" s="304"/>
      <c r="I84" s="304"/>
      <c r="J84" s="304"/>
      <c r="K84" s="304"/>
      <c r="L84" s="304"/>
      <c r="M84" s="304"/>
      <c r="N84" s="304"/>
      <c r="O84" s="304"/>
      <c r="P84" s="304"/>
      <c r="Q84" s="304"/>
      <c r="R84" s="304"/>
      <c r="S84" s="304"/>
      <c r="T84" s="304"/>
      <c r="U84" s="304"/>
      <c r="V84" s="304"/>
      <c r="W84" s="304"/>
      <c r="X84" s="304"/>
      <c r="Y84" s="304"/>
      <c r="Z84" s="304"/>
      <c r="AA84" s="304"/>
    </row>
    <row r="85" spans="1:27">
      <c r="A85" s="137"/>
      <c r="B85" s="138"/>
      <c r="C85" s="304"/>
      <c r="D85" s="304"/>
      <c r="E85" s="304"/>
      <c r="G85" s="304"/>
      <c r="H85" s="304"/>
      <c r="I85" s="304"/>
      <c r="J85" s="304"/>
      <c r="K85" s="304"/>
      <c r="L85" s="304"/>
      <c r="M85" s="304"/>
      <c r="N85" s="304"/>
      <c r="O85" s="304"/>
      <c r="P85" s="304"/>
      <c r="Q85" s="304"/>
      <c r="R85" s="304"/>
      <c r="S85" s="304"/>
      <c r="T85" s="304"/>
      <c r="U85" s="304"/>
      <c r="V85" s="304"/>
      <c r="W85" s="304"/>
      <c r="X85" s="304"/>
      <c r="Y85" s="304"/>
      <c r="Z85" s="304"/>
      <c r="AA85" s="304"/>
    </row>
    <row r="86" spans="1:27">
      <c r="A86" s="313" t="str">
        <f>A13</f>
        <v>Общая площадь построек, м2, из них</v>
      </c>
      <c r="B86" s="314">
        <f>SUM(B87:B95)</f>
        <v>17088.634999999998</v>
      </c>
      <c r="C86" s="314">
        <f t="shared" ref="C86" si="129">SUM(C87:C95)</f>
        <v>6996</v>
      </c>
      <c r="D86" s="314">
        <f>SUM(D87:D95)</f>
        <v>1407</v>
      </c>
      <c r="E86" s="314">
        <f>SUM(E87:E95)</f>
        <v>1800</v>
      </c>
      <c r="G86" s="314">
        <f>SUM(G87:G95)</f>
        <v>1000</v>
      </c>
      <c r="H86" s="314">
        <f>SUM(H87:H95)</f>
        <v>5015.6000000000004</v>
      </c>
      <c r="I86" s="314">
        <f t="shared" ref="I86" si="130">SUM(I87:I95)</f>
        <v>717</v>
      </c>
      <c r="J86" s="314">
        <f>SUM(J87:J95)</f>
        <v>2476</v>
      </c>
      <c r="K86" s="314">
        <f t="shared" ref="K86" si="131">SUM(K87:K95)</f>
        <v>3000</v>
      </c>
      <c r="L86" s="314">
        <f>SUM(L87:L95)</f>
        <v>1400</v>
      </c>
      <c r="M86" s="314">
        <f>SUM(M87:M95)</f>
        <v>330</v>
      </c>
      <c r="N86" s="314">
        <f t="shared" ref="N86" si="132">SUM(N87:N95)</f>
        <v>450</v>
      </c>
      <c r="O86" s="314">
        <f>SUM(O87:O95)</f>
        <v>1370</v>
      </c>
      <c r="P86" s="314">
        <f>SUM(P87:P95)</f>
        <v>2060</v>
      </c>
      <c r="Q86" s="314">
        <f t="shared" ref="Q86:R86" si="133">SUM(Q87:Q95)</f>
        <v>1400</v>
      </c>
      <c r="R86" s="314">
        <f t="shared" si="133"/>
        <v>1500</v>
      </c>
      <c r="S86" s="314">
        <f t="shared" ref="S86:AA86" si="134">S13</f>
        <v>1380</v>
      </c>
      <c r="T86" s="314">
        <f t="shared" si="134"/>
        <v>500</v>
      </c>
      <c r="U86" s="314">
        <f t="shared" si="134"/>
        <v>56350.2</v>
      </c>
      <c r="V86" s="314">
        <f t="shared" si="134"/>
        <v>537</v>
      </c>
      <c r="W86" s="314">
        <f t="shared" si="134"/>
        <v>4300</v>
      </c>
      <c r="X86" s="314">
        <f t="shared" si="134"/>
        <v>800</v>
      </c>
      <c r="Y86" s="314">
        <f t="shared" si="134"/>
        <v>985.87999999999988</v>
      </c>
      <c r="Z86" s="314">
        <f t="shared" si="134"/>
        <v>2060</v>
      </c>
      <c r="AA86" s="314">
        <f t="shared" si="134"/>
        <v>731.91650000000004</v>
      </c>
    </row>
    <row r="87" spans="1:27">
      <c r="A87" s="315" t="str">
        <f>A14</f>
        <v>произв класс 4</v>
      </c>
      <c r="B87" s="316">
        <f>B14</f>
        <v>216.57999999999998</v>
      </c>
      <c r="C87" s="316">
        <f>C14</f>
        <v>1112.2</v>
      </c>
      <c r="D87" s="316">
        <f>D14</f>
        <v>122</v>
      </c>
      <c r="E87" s="316">
        <f>E14</f>
        <v>0</v>
      </c>
      <c r="G87" s="316">
        <f t="shared" ref="G87:R87" si="135">G14</f>
        <v>300</v>
      </c>
      <c r="H87" s="316">
        <f t="shared" si="135"/>
        <v>0</v>
      </c>
      <c r="I87" s="316">
        <f t="shared" si="135"/>
        <v>717</v>
      </c>
      <c r="J87" s="316">
        <f t="shared" si="135"/>
        <v>74.800000000000011</v>
      </c>
      <c r="K87" s="316">
        <f t="shared" si="135"/>
        <v>2000</v>
      </c>
      <c r="L87" s="316">
        <f t="shared" si="135"/>
        <v>1400</v>
      </c>
      <c r="M87" s="316">
        <f t="shared" si="135"/>
        <v>330</v>
      </c>
      <c r="N87" s="316">
        <f t="shared" si="135"/>
        <v>450</v>
      </c>
      <c r="O87" s="316">
        <f t="shared" si="135"/>
        <v>0</v>
      </c>
      <c r="P87" s="316">
        <f t="shared" si="135"/>
        <v>1000</v>
      </c>
      <c r="Q87" s="316">
        <f t="shared" si="135"/>
        <v>1400</v>
      </c>
      <c r="R87" s="316">
        <f t="shared" si="135"/>
        <v>1500</v>
      </c>
      <c r="S87" s="316">
        <f t="shared" ref="S87:AA87" si="136">S14</f>
        <v>1380</v>
      </c>
      <c r="T87" s="316">
        <f t="shared" si="136"/>
        <v>58.5</v>
      </c>
      <c r="U87" s="316">
        <f t="shared" si="136"/>
        <v>55238</v>
      </c>
      <c r="V87" s="316">
        <f t="shared" si="136"/>
        <v>537</v>
      </c>
      <c r="W87" s="316">
        <f t="shared" si="136"/>
        <v>300</v>
      </c>
      <c r="X87" s="316">
        <f t="shared" si="136"/>
        <v>100</v>
      </c>
      <c r="Y87" s="316">
        <f t="shared" si="136"/>
        <v>944.4</v>
      </c>
      <c r="Z87" s="316">
        <f t="shared" si="136"/>
        <v>1000</v>
      </c>
      <c r="AA87" s="316">
        <f t="shared" si="136"/>
        <v>12.4</v>
      </c>
    </row>
    <row r="88" spans="1:27">
      <c r="A88" s="315" t="str">
        <f t="shared" ref="A88:A95" si="137">A15</f>
        <v>произв класс 3</v>
      </c>
      <c r="B88" s="316">
        <f t="shared" ref="B88:E95" si="138">B15</f>
        <v>11689.699999999999</v>
      </c>
      <c r="C88" s="316">
        <f t="shared" si="138"/>
        <v>5523.8</v>
      </c>
      <c r="D88" s="316">
        <f t="shared" si="138"/>
        <v>700</v>
      </c>
      <c r="E88" s="316">
        <f t="shared" si="138"/>
        <v>1776.9</v>
      </c>
      <c r="G88" s="316">
        <f t="shared" ref="G88:R88" si="139">G15</f>
        <v>700</v>
      </c>
      <c r="H88" s="316">
        <f t="shared" si="139"/>
        <v>5015.6000000000004</v>
      </c>
      <c r="I88" s="316">
        <f t="shared" si="139"/>
        <v>0</v>
      </c>
      <c r="J88" s="316">
        <f t="shared" si="139"/>
        <v>1561.2</v>
      </c>
      <c r="K88" s="316">
        <f t="shared" si="139"/>
        <v>1000</v>
      </c>
      <c r="L88" s="316">
        <f t="shared" si="139"/>
        <v>0</v>
      </c>
      <c r="M88" s="316">
        <f t="shared" si="139"/>
        <v>0</v>
      </c>
      <c r="N88" s="316">
        <f t="shared" si="139"/>
        <v>0</v>
      </c>
      <c r="O88" s="316">
        <f t="shared" si="139"/>
        <v>1370</v>
      </c>
      <c r="P88" s="316">
        <f t="shared" si="139"/>
        <v>1060</v>
      </c>
      <c r="Q88" s="316">
        <f t="shared" si="139"/>
        <v>0</v>
      </c>
      <c r="R88" s="316">
        <f t="shared" si="139"/>
        <v>0</v>
      </c>
      <c r="S88" s="316">
        <f t="shared" ref="S88:AA88" si="140">S15</f>
        <v>0</v>
      </c>
      <c r="T88" s="316">
        <f t="shared" si="140"/>
        <v>348</v>
      </c>
      <c r="U88" s="316">
        <f t="shared" si="140"/>
        <v>1112.2</v>
      </c>
      <c r="V88" s="316">
        <f t="shared" si="140"/>
        <v>0</v>
      </c>
      <c r="W88" s="316">
        <f t="shared" si="140"/>
        <v>4000</v>
      </c>
      <c r="X88" s="316">
        <f t="shared" si="140"/>
        <v>700</v>
      </c>
      <c r="Y88" s="316">
        <f t="shared" si="140"/>
        <v>31.680000000000003</v>
      </c>
      <c r="Z88" s="316">
        <f t="shared" si="140"/>
        <v>1060</v>
      </c>
      <c r="AA88" s="316">
        <f t="shared" si="140"/>
        <v>436.6</v>
      </c>
    </row>
    <row r="89" spans="1:27">
      <c r="A89" s="315" t="str">
        <f t="shared" si="137"/>
        <v>произв класс 2</v>
      </c>
      <c r="B89" s="316">
        <f t="shared" si="138"/>
        <v>0</v>
      </c>
      <c r="C89" s="316">
        <f t="shared" si="138"/>
        <v>0</v>
      </c>
      <c r="D89" s="316">
        <f t="shared" si="138"/>
        <v>0</v>
      </c>
      <c r="E89" s="316">
        <f t="shared" si="138"/>
        <v>0</v>
      </c>
      <c r="G89" s="316">
        <f t="shared" ref="G89:R89" si="141">G16</f>
        <v>0</v>
      </c>
      <c r="H89" s="316">
        <f t="shared" si="141"/>
        <v>0</v>
      </c>
      <c r="I89" s="316">
        <f t="shared" si="141"/>
        <v>0</v>
      </c>
      <c r="J89" s="316">
        <f t="shared" si="141"/>
        <v>840</v>
      </c>
      <c r="K89" s="316">
        <f t="shared" si="141"/>
        <v>0</v>
      </c>
      <c r="L89" s="316">
        <f t="shared" si="141"/>
        <v>0</v>
      </c>
      <c r="M89" s="316">
        <f t="shared" si="141"/>
        <v>0</v>
      </c>
      <c r="N89" s="316">
        <f t="shared" si="141"/>
        <v>0</v>
      </c>
      <c r="O89" s="316">
        <f t="shared" si="141"/>
        <v>0</v>
      </c>
      <c r="P89" s="316">
        <f t="shared" si="141"/>
        <v>0</v>
      </c>
      <c r="Q89" s="316">
        <f t="shared" si="141"/>
        <v>0</v>
      </c>
      <c r="R89" s="316">
        <f t="shared" si="141"/>
        <v>0</v>
      </c>
      <c r="S89" s="316">
        <f t="shared" ref="S89:AA89" si="142">S16</f>
        <v>0</v>
      </c>
      <c r="T89" s="316">
        <f t="shared" si="142"/>
        <v>93.5</v>
      </c>
      <c r="U89" s="316">
        <f t="shared" si="142"/>
        <v>0</v>
      </c>
      <c r="V89" s="316">
        <f t="shared" si="142"/>
        <v>0</v>
      </c>
      <c r="W89" s="316">
        <f t="shared" si="142"/>
        <v>0</v>
      </c>
      <c r="X89" s="316">
        <f t="shared" si="142"/>
        <v>0</v>
      </c>
      <c r="Y89" s="316">
        <f t="shared" si="142"/>
        <v>9.8000000000000007</v>
      </c>
      <c r="Z89" s="316">
        <f t="shared" si="142"/>
        <v>0</v>
      </c>
      <c r="AA89" s="316">
        <f t="shared" si="142"/>
        <v>282.91649999999998</v>
      </c>
    </row>
    <row r="90" spans="1:27">
      <c r="A90" s="315" t="str">
        <f t="shared" si="137"/>
        <v>произв класс 1</v>
      </c>
      <c r="B90" s="316">
        <f t="shared" si="138"/>
        <v>0</v>
      </c>
      <c r="C90" s="316">
        <f t="shared" si="138"/>
        <v>0</v>
      </c>
      <c r="D90" s="316">
        <f t="shared" si="138"/>
        <v>0</v>
      </c>
      <c r="E90" s="316">
        <f t="shared" si="138"/>
        <v>0</v>
      </c>
      <c r="G90" s="316"/>
      <c r="H90" s="316"/>
      <c r="I90" s="316"/>
      <c r="J90" s="316"/>
      <c r="K90" s="316"/>
      <c r="L90" s="316"/>
      <c r="M90" s="316"/>
      <c r="N90" s="316"/>
      <c r="O90" s="316"/>
      <c r="P90" s="316"/>
      <c r="Q90" s="316"/>
      <c r="R90" s="316"/>
      <c r="S90" s="316"/>
      <c r="T90" s="316"/>
      <c r="U90" s="316"/>
      <c r="V90" s="316"/>
      <c r="W90" s="316"/>
      <c r="X90" s="316"/>
      <c r="Y90" s="316"/>
      <c r="Z90" s="316"/>
      <c r="AA90" s="316"/>
    </row>
    <row r="91" spans="1:27">
      <c r="A91" s="315" t="str">
        <f t="shared" si="137"/>
        <v>гражд класс 4</v>
      </c>
      <c r="B91" s="316">
        <f t="shared" si="138"/>
        <v>59.79</v>
      </c>
      <c r="C91" s="316">
        <f t="shared" si="138"/>
        <v>0</v>
      </c>
      <c r="D91" s="316">
        <f t="shared" si="138"/>
        <v>500</v>
      </c>
      <c r="E91" s="316">
        <f t="shared" si="138"/>
        <v>23.1</v>
      </c>
      <c r="G91" s="316"/>
      <c r="H91" s="316"/>
      <c r="I91" s="316"/>
      <c r="J91" s="316"/>
      <c r="K91" s="316"/>
      <c r="L91" s="316"/>
      <c r="M91" s="316"/>
      <c r="N91" s="316"/>
      <c r="O91" s="316"/>
      <c r="P91" s="316"/>
      <c r="Q91" s="316"/>
      <c r="R91" s="316"/>
      <c r="S91" s="316"/>
      <c r="T91" s="316"/>
      <c r="U91" s="316"/>
      <c r="V91" s="316"/>
      <c r="W91" s="316"/>
      <c r="X91" s="316"/>
      <c r="Y91" s="316"/>
      <c r="Z91" s="316"/>
      <c r="AA91" s="316"/>
    </row>
    <row r="92" spans="1:27">
      <c r="A92" s="315" t="str">
        <f t="shared" si="137"/>
        <v>гражд класс 3</v>
      </c>
      <c r="B92" s="316">
        <f t="shared" si="138"/>
        <v>4524.2999999999993</v>
      </c>
      <c r="C92" s="316">
        <f t="shared" si="138"/>
        <v>360</v>
      </c>
      <c r="D92" s="316">
        <f t="shared" si="138"/>
        <v>0</v>
      </c>
      <c r="E92" s="316">
        <f t="shared" si="138"/>
        <v>0</v>
      </c>
      <c r="G92" s="316"/>
      <c r="H92" s="316"/>
      <c r="I92" s="316"/>
      <c r="J92" s="316"/>
      <c r="K92" s="316"/>
      <c r="L92" s="316"/>
      <c r="M92" s="316"/>
      <c r="N92" s="316"/>
      <c r="O92" s="316"/>
      <c r="P92" s="316"/>
      <c r="Q92" s="316"/>
      <c r="R92" s="316"/>
      <c r="S92" s="316"/>
      <c r="T92" s="316"/>
      <c r="U92" s="316"/>
      <c r="V92" s="316"/>
      <c r="W92" s="316"/>
      <c r="X92" s="316"/>
      <c r="Y92" s="316"/>
      <c r="Z92" s="316"/>
      <c r="AA92" s="316"/>
    </row>
    <row r="93" spans="1:27">
      <c r="A93" s="315" t="str">
        <f t="shared" si="137"/>
        <v>гражд класс 2</v>
      </c>
      <c r="B93" s="316">
        <f t="shared" si="138"/>
        <v>0</v>
      </c>
      <c r="C93" s="316">
        <f t="shared" si="138"/>
        <v>0</v>
      </c>
      <c r="D93" s="316">
        <f t="shared" si="138"/>
        <v>0</v>
      </c>
      <c r="E93" s="316">
        <f t="shared" si="138"/>
        <v>0</v>
      </c>
      <c r="G93" s="316"/>
      <c r="H93" s="316"/>
      <c r="I93" s="316"/>
      <c r="J93" s="316"/>
      <c r="K93" s="316"/>
      <c r="L93" s="316"/>
      <c r="M93" s="316"/>
      <c r="N93" s="316"/>
      <c r="O93" s="316"/>
      <c r="P93" s="316"/>
      <c r="Q93" s="316"/>
      <c r="R93" s="316"/>
      <c r="S93" s="316"/>
      <c r="T93" s="316"/>
      <c r="U93" s="316"/>
      <c r="V93" s="316"/>
      <c r="W93" s="316"/>
      <c r="X93" s="316"/>
      <c r="Y93" s="316"/>
      <c r="Z93" s="316"/>
      <c r="AA93" s="316"/>
    </row>
    <row r="94" spans="1:27">
      <c r="A94" s="315" t="str">
        <f t="shared" si="137"/>
        <v>гражд класс 1</v>
      </c>
      <c r="B94" s="316">
        <f t="shared" si="138"/>
        <v>0</v>
      </c>
      <c r="C94" s="316">
        <f t="shared" si="138"/>
        <v>0</v>
      </c>
      <c r="D94" s="316">
        <f t="shared" si="138"/>
        <v>0</v>
      </c>
      <c r="E94" s="316">
        <f t="shared" si="138"/>
        <v>0</v>
      </c>
      <c r="G94" s="316"/>
      <c r="H94" s="316"/>
      <c r="I94" s="316"/>
      <c r="J94" s="316"/>
      <c r="K94" s="316"/>
      <c r="L94" s="316"/>
      <c r="M94" s="316"/>
      <c r="N94" s="316"/>
      <c r="O94" s="316"/>
      <c r="P94" s="316"/>
      <c r="Q94" s="316"/>
      <c r="R94" s="316"/>
      <c r="S94" s="316"/>
      <c r="T94" s="316"/>
      <c r="U94" s="316"/>
      <c r="V94" s="316"/>
      <c r="W94" s="316"/>
      <c r="X94" s="316"/>
      <c r="Y94" s="316"/>
      <c r="Z94" s="316"/>
      <c r="AA94" s="316"/>
    </row>
    <row r="95" spans="1:27" s="294" customFormat="1">
      <c r="A95" s="315" t="str">
        <f t="shared" si="137"/>
        <v>прочие</v>
      </c>
      <c r="B95" s="316">
        <f t="shared" si="138"/>
        <v>598.26499999999999</v>
      </c>
      <c r="C95" s="316">
        <f t="shared" si="138"/>
        <v>0</v>
      </c>
      <c r="D95" s="316">
        <f t="shared" si="138"/>
        <v>85</v>
      </c>
      <c r="E95" s="316">
        <f t="shared" si="138"/>
        <v>0</v>
      </c>
      <c r="G95" s="315">
        <f t="shared" ref="G95:AA95" si="143">G22</f>
        <v>0</v>
      </c>
      <c r="H95" s="315">
        <f t="shared" si="143"/>
        <v>0</v>
      </c>
      <c r="I95" s="315">
        <f t="shared" si="143"/>
        <v>0</v>
      </c>
      <c r="J95" s="315">
        <f t="shared" si="143"/>
        <v>0</v>
      </c>
      <c r="K95" s="315">
        <f t="shared" si="143"/>
        <v>0</v>
      </c>
      <c r="L95" s="315">
        <f t="shared" si="143"/>
        <v>0</v>
      </c>
      <c r="M95" s="315">
        <f t="shared" si="143"/>
        <v>0</v>
      </c>
      <c r="N95" s="315">
        <f t="shared" si="143"/>
        <v>0</v>
      </c>
      <c r="O95" s="315">
        <f t="shared" si="143"/>
        <v>0</v>
      </c>
      <c r="P95" s="315">
        <f t="shared" si="143"/>
        <v>0</v>
      </c>
      <c r="Q95" s="315">
        <f t="shared" si="143"/>
        <v>0</v>
      </c>
      <c r="R95" s="315">
        <f t="shared" si="143"/>
        <v>0</v>
      </c>
      <c r="S95" s="315">
        <f t="shared" si="143"/>
        <v>0</v>
      </c>
      <c r="T95" s="315">
        <f t="shared" si="143"/>
        <v>0</v>
      </c>
      <c r="U95" s="315">
        <f t="shared" si="143"/>
        <v>0</v>
      </c>
      <c r="V95" s="315">
        <f t="shared" si="143"/>
        <v>0</v>
      </c>
      <c r="W95" s="315">
        <f t="shared" si="143"/>
        <v>0</v>
      </c>
      <c r="X95" s="315">
        <f t="shared" si="143"/>
        <v>0</v>
      </c>
      <c r="Y95" s="315">
        <f t="shared" si="143"/>
        <v>0</v>
      </c>
      <c r="Z95" s="315">
        <f t="shared" si="143"/>
        <v>0</v>
      </c>
      <c r="AA95" s="315">
        <f t="shared" si="143"/>
        <v>0</v>
      </c>
    </row>
    <row r="96" spans="1:27">
      <c r="B96" s="278"/>
      <c r="C96" s="278"/>
      <c r="D96" s="278"/>
      <c r="E96" s="278"/>
      <c r="G96" s="278"/>
      <c r="H96" s="278"/>
      <c r="I96" s="278"/>
      <c r="J96" s="278"/>
      <c r="K96" s="278"/>
      <c r="L96" s="278"/>
      <c r="M96" s="278"/>
      <c r="N96" s="278"/>
      <c r="O96" s="278"/>
      <c r="P96" s="278"/>
      <c r="Q96" s="278"/>
      <c r="R96" s="278"/>
      <c r="S96" s="278"/>
      <c r="T96" s="278"/>
      <c r="U96" s="278"/>
      <c r="V96" s="278"/>
      <c r="W96" s="278"/>
      <c r="X96" s="278"/>
      <c r="Y96" s="278"/>
      <c r="Z96" s="278"/>
      <c r="AA96" s="278"/>
    </row>
    <row r="97" spans="1:27">
      <c r="A97" s="317" t="s">
        <v>277</v>
      </c>
      <c r="B97" s="317"/>
      <c r="C97" s="317"/>
      <c r="D97" s="317"/>
      <c r="E97" s="317"/>
      <c r="G97" s="317"/>
      <c r="H97" s="317"/>
      <c r="I97" s="317"/>
      <c r="J97" s="317"/>
      <c r="K97" s="317"/>
      <c r="L97" s="317"/>
      <c r="M97" s="317"/>
      <c r="N97" s="317"/>
      <c r="O97" s="317"/>
      <c r="P97" s="317"/>
      <c r="Q97" s="317"/>
      <c r="R97" s="317"/>
      <c r="S97" s="317"/>
      <c r="T97" s="317"/>
      <c r="U97" s="317"/>
      <c r="V97" s="317"/>
      <c r="W97" s="317"/>
      <c r="X97" s="317"/>
      <c r="Y97" s="317"/>
      <c r="Z97" s="317"/>
      <c r="AA97" s="317"/>
    </row>
    <row r="98" spans="1:27">
      <c r="A98" s="318">
        <f>'1.1 Алыкулова'!A107</f>
        <v>0.33</v>
      </c>
      <c r="B98" s="318">
        <f>B87/B$86</f>
        <v>1.267392041552763E-2</v>
      </c>
      <c r="C98" s="318">
        <f>C87/C$86</f>
        <v>0.15897655803316182</v>
      </c>
      <c r="D98" s="318">
        <f>D87/D$86</f>
        <v>8.6709310589907607E-2</v>
      </c>
      <c r="E98" s="318">
        <f>E87/E$86</f>
        <v>0</v>
      </c>
      <c r="G98" s="318">
        <f t="shared" ref="G98:AA98" si="144">G87/G$86</f>
        <v>0.3</v>
      </c>
      <c r="H98" s="318">
        <f t="shared" si="144"/>
        <v>0</v>
      </c>
      <c r="I98" s="318">
        <f t="shared" si="144"/>
        <v>1</v>
      </c>
      <c r="J98" s="318">
        <f t="shared" si="144"/>
        <v>3.0210016155088858E-2</v>
      </c>
      <c r="K98" s="318">
        <f t="shared" si="144"/>
        <v>0.66666666666666663</v>
      </c>
      <c r="L98" s="318">
        <f t="shared" si="144"/>
        <v>1</v>
      </c>
      <c r="M98" s="318">
        <f t="shared" si="144"/>
        <v>1</v>
      </c>
      <c r="N98" s="318">
        <f t="shared" si="144"/>
        <v>1</v>
      </c>
      <c r="O98" s="318">
        <f t="shared" si="144"/>
        <v>0</v>
      </c>
      <c r="P98" s="318">
        <f t="shared" si="144"/>
        <v>0.4854368932038835</v>
      </c>
      <c r="Q98" s="318">
        <f t="shared" si="144"/>
        <v>1</v>
      </c>
      <c r="R98" s="318">
        <f t="shared" si="144"/>
        <v>1</v>
      </c>
      <c r="S98" s="318">
        <f t="shared" si="144"/>
        <v>1</v>
      </c>
      <c r="T98" s="318">
        <f t="shared" si="144"/>
        <v>0.11700000000000001</v>
      </c>
      <c r="U98" s="318">
        <f t="shared" si="144"/>
        <v>0.98026271424058842</v>
      </c>
      <c r="V98" s="318">
        <f t="shared" si="144"/>
        <v>1</v>
      </c>
      <c r="W98" s="318">
        <f t="shared" si="144"/>
        <v>6.9767441860465115E-2</v>
      </c>
      <c r="X98" s="318">
        <f t="shared" si="144"/>
        <v>0.125</v>
      </c>
      <c r="Y98" s="318">
        <f t="shared" si="144"/>
        <v>0.95792591390432924</v>
      </c>
      <c r="Z98" s="318">
        <f t="shared" si="144"/>
        <v>0.4854368932038835</v>
      </c>
      <c r="AA98" s="318">
        <f t="shared" si="144"/>
        <v>1.6941823281754136E-2</v>
      </c>
    </row>
    <row r="99" spans="1:27">
      <c r="A99" s="318">
        <f>'1.1 Алыкулова'!A108</f>
        <v>0.55000000000000004</v>
      </c>
      <c r="B99" s="318">
        <f t="shared" ref="B99:E106" si="145">B88/B$86</f>
        <v>0.68406282889183367</v>
      </c>
      <c r="C99" s="318">
        <f t="shared" si="145"/>
        <v>0.78956546598056032</v>
      </c>
      <c r="D99" s="318">
        <f t="shared" si="145"/>
        <v>0.49751243781094528</v>
      </c>
      <c r="E99" s="318">
        <f t="shared" si="145"/>
        <v>0.98716666666666675</v>
      </c>
      <c r="G99" s="318">
        <f t="shared" ref="G99:AA99" si="146">G88/G$86</f>
        <v>0.7</v>
      </c>
      <c r="H99" s="318">
        <f t="shared" si="146"/>
        <v>1</v>
      </c>
      <c r="I99" s="318">
        <f t="shared" si="146"/>
        <v>0</v>
      </c>
      <c r="J99" s="318">
        <f t="shared" si="146"/>
        <v>0.63053311793214861</v>
      </c>
      <c r="K99" s="318">
        <f t="shared" si="146"/>
        <v>0.33333333333333331</v>
      </c>
      <c r="L99" s="318">
        <f t="shared" si="146"/>
        <v>0</v>
      </c>
      <c r="M99" s="318">
        <f t="shared" si="146"/>
        <v>0</v>
      </c>
      <c r="N99" s="318">
        <f t="shared" si="146"/>
        <v>0</v>
      </c>
      <c r="O99" s="318">
        <f t="shared" si="146"/>
        <v>1</v>
      </c>
      <c r="P99" s="318">
        <f t="shared" si="146"/>
        <v>0.5145631067961165</v>
      </c>
      <c r="Q99" s="318">
        <f t="shared" si="146"/>
        <v>0</v>
      </c>
      <c r="R99" s="318">
        <f t="shared" si="146"/>
        <v>0</v>
      </c>
      <c r="S99" s="318">
        <f t="shared" si="146"/>
        <v>0</v>
      </c>
      <c r="T99" s="318">
        <f t="shared" si="146"/>
        <v>0.69599999999999995</v>
      </c>
      <c r="U99" s="318">
        <f t="shared" si="146"/>
        <v>1.973728575941168E-2</v>
      </c>
      <c r="V99" s="318">
        <f t="shared" si="146"/>
        <v>0</v>
      </c>
      <c r="W99" s="318">
        <f t="shared" si="146"/>
        <v>0.93023255813953487</v>
      </c>
      <c r="X99" s="318">
        <f t="shared" si="146"/>
        <v>0.875</v>
      </c>
      <c r="Y99" s="318">
        <f t="shared" si="146"/>
        <v>3.2133728242788179E-2</v>
      </c>
      <c r="Z99" s="318">
        <f t="shared" si="146"/>
        <v>0.5145631067961165</v>
      </c>
      <c r="AA99" s="318">
        <f t="shared" si="146"/>
        <v>0.59651613264627867</v>
      </c>
    </row>
    <row r="100" spans="1:27">
      <c r="A100" s="318">
        <f>'1.1 Алыкулова'!A109</f>
        <v>0.77</v>
      </c>
      <c r="B100" s="318">
        <f t="shared" si="145"/>
        <v>0</v>
      </c>
      <c r="C100" s="318">
        <f t="shared" si="145"/>
        <v>0</v>
      </c>
      <c r="D100" s="318">
        <f t="shared" si="145"/>
        <v>0</v>
      </c>
      <c r="E100" s="318">
        <f t="shared" si="145"/>
        <v>0</v>
      </c>
      <c r="G100" s="318">
        <f t="shared" ref="G100:AA100" si="147">G89/G$86</f>
        <v>0</v>
      </c>
      <c r="H100" s="318">
        <f t="shared" si="147"/>
        <v>0</v>
      </c>
      <c r="I100" s="318">
        <f t="shared" si="147"/>
        <v>0</v>
      </c>
      <c r="J100" s="318">
        <f t="shared" si="147"/>
        <v>0.3392568659127625</v>
      </c>
      <c r="K100" s="318">
        <f t="shared" si="147"/>
        <v>0</v>
      </c>
      <c r="L100" s="318">
        <f t="shared" si="147"/>
        <v>0</v>
      </c>
      <c r="M100" s="318">
        <f t="shared" si="147"/>
        <v>0</v>
      </c>
      <c r="N100" s="318">
        <f t="shared" si="147"/>
        <v>0</v>
      </c>
      <c r="O100" s="318">
        <f t="shared" si="147"/>
        <v>0</v>
      </c>
      <c r="P100" s="318">
        <f t="shared" si="147"/>
        <v>0</v>
      </c>
      <c r="Q100" s="318">
        <f t="shared" si="147"/>
        <v>0</v>
      </c>
      <c r="R100" s="318">
        <f t="shared" si="147"/>
        <v>0</v>
      </c>
      <c r="S100" s="318">
        <f t="shared" si="147"/>
        <v>0</v>
      </c>
      <c r="T100" s="318">
        <f t="shared" si="147"/>
        <v>0.187</v>
      </c>
      <c r="U100" s="318">
        <f t="shared" si="147"/>
        <v>0</v>
      </c>
      <c r="V100" s="318">
        <f t="shared" si="147"/>
        <v>0</v>
      </c>
      <c r="W100" s="318">
        <f t="shared" si="147"/>
        <v>0</v>
      </c>
      <c r="X100" s="318">
        <f t="shared" si="147"/>
        <v>0</v>
      </c>
      <c r="Y100" s="318">
        <f t="shared" si="147"/>
        <v>9.9403578528827058E-3</v>
      </c>
      <c r="Z100" s="318">
        <f t="shared" si="147"/>
        <v>0</v>
      </c>
      <c r="AA100" s="318">
        <f t="shared" si="147"/>
        <v>0.38654204407196718</v>
      </c>
    </row>
    <row r="101" spans="1:27">
      <c r="A101" s="318">
        <f>'1.1 Алыкулова'!A110</f>
        <v>1</v>
      </c>
      <c r="B101" s="318">
        <f t="shared" si="145"/>
        <v>0</v>
      </c>
      <c r="C101" s="318">
        <f t="shared" si="145"/>
        <v>0</v>
      </c>
      <c r="D101" s="318">
        <f t="shared" si="145"/>
        <v>0</v>
      </c>
      <c r="E101" s="318">
        <f t="shared" si="145"/>
        <v>0</v>
      </c>
      <c r="G101" s="318"/>
      <c r="H101" s="318"/>
      <c r="I101" s="318"/>
      <c r="J101" s="318"/>
      <c r="K101" s="318"/>
      <c r="L101" s="318"/>
      <c r="M101" s="318"/>
      <c r="N101" s="318"/>
      <c r="O101" s="318"/>
      <c r="P101" s="318"/>
      <c r="Q101" s="318"/>
      <c r="R101" s="318"/>
      <c r="S101" s="318"/>
      <c r="T101" s="318"/>
      <c r="U101" s="318"/>
      <c r="V101" s="318"/>
      <c r="W101" s="318"/>
      <c r="X101" s="318"/>
      <c r="Y101" s="318"/>
      <c r="Z101" s="318"/>
      <c r="AA101" s="318"/>
    </row>
    <row r="102" spans="1:27">
      <c r="A102" s="318">
        <f>'1.1 Алыкулова'!A111</f>
        <v>0.33</v>
      </c>
      <c r="B102" s="318">
        <f t="shared" si="145"/>
        <v>3.4988166111570647E-3</v>
      </c>
      <c r="C102" s="318">
        <f t="shared" si="145"/>
        <v>0</v>
      </c>
      <c r="D102" s="318">
        <f t="shared" si="145"/>
        <v>0.35536602700781805</v>
      </c>
      <c r="E102" s="318">
        <f t="shared" si="145"/>
        <v>1.2833333333333334E-2</v>
      </c>
      <c r="G102" s="318"/>
      <c r="H102" s="318"/>
      <c r="I102" s="318"/>
      <c r="J102" s="318"/>
      <c r="K102" s="318"/>
      <c r="L102" s="318"/>
      <c r="M102" s="318"/>
      <c r="N102" s="318"/>
      <c r="O102" s="318"/>
      <c r="P102" s="318"/>
      <c r="Q102" s="318"/>
      <c r="R102" s="318"/>
      <c r="S102" s="318"/>
      <c r="T102" s="318"/>
      <c r="U102" s="318"/>
      <c r="V102" s="318"/>
      <c r="W102" s="318"/>
      <c r="X102" s="318"/>
      <c r="Y102" s="318"/>
      <c r="Z102" s="318"/>
      <c r="AA102" s="318"/>
    </row>
    <row r="103" spans="1:27">
      <c r="A103" s="318">
        <f>'1.1 Алыкулова'!A112</f>
        <v>0.55000000000000004</v>
      </c>
      <c r="B103" s="318">
        <f t="shared" si="145"/>
        <v>0.26475490874490559</v>
      </c>
      <c r="C103" s="318">
        <f t="shared" si="145"/>
        <v>5.1457975986277875E-2</v>
      </c>
      <c r="D103" s="318">
        <f t="shared" si="145"/>
        <v>0</v>
      </c>
      <c r="E103" s="318">
        <f t="shared" si="145"/>
        <v>0</v>
      </c>
      <c r="G103" s="318"/>
      <c r="H103" s="318"/>
      <c r="I103" s="318"/>
      <c r="J103" s="318"/>
      <c r="K103" s="318"/>
      <c r="L103" s="318"/>
      <c r="M103" s="318"/>
      <c r="N103" s="318"/>
      <c r="O103" s="318"/>
      <c r="P103" s="318"/>
      <c r="Q103" s="318"/>
      <c r="R103" s="318"/>
      <c r="S103" s="318"/>
      <c r="T103" s="318"/>
      <c r="U103" s="318"/>
      <c r="V103" s="318"/>
      <c r="W103" s="318"/>
      <c r="X103" s="318"/>
      <c r="Y103" s="318"/>
      <c r="Z103" s="318"/>
      <c r="AA103" s="318"/>
    </row>
    <row r="104" spans="1:27">
      <c r="A104" s="318">
        <f>'1.1 Алыкулова'!A113</f>
        <v>0.77</v>
      </c>
      <c r="B104" s="318">
        <f t="shared" si="145"/>
        <v>0</v>
      </c>
      <c r="C104" s="318">
        <f t="shared" si="145"/>
        <v>0</v>
      </c>
      <c r="D104" s="318">
        <f t="shared" si="145"/>
        <v>0</v>
      </c>
      <c r="E104" s="318">
        <f t="shared" si="145"/>
        <v>0</v>
      </c>
      <c r="G104" s="318"/>
      <c r="H104" s="318"/>
      <c r="I104" s="318"/>
      <c r="J104" s="318"/>
      <c r="K104" s="318"/>
      <c r="L104" s="318"/>
      <c r="M104" s="318"/>
      <c r="N104" s="318"/>
      <c r="O104" s="318"/>
      <c r="P104" s="318"/>
      <c r="Q104" s="318"/>
      <c r="R104" s="318"/>
      <c r="S104" s="318"/>
      <c r="T104" s="318"/>
      <c r="U104" s="318"/>
      <c r="V104" s="318"/>
      <c r="W104" s="318"/>
      <c r="X104" s="318"/>
      <c r="Y104" s="318"/>
      <c r="Z104" s="318"/>
      <c r="AA104" s="318"/>
    </row>
    <row r="105" spans="1:27">
      <c r="A105" s="318">
        <f>'1.1 Алыкулова'!A114</f>
        <v>1</v>
      </c>
      <c r="B105" s="318">
        <f t="shared" si="145"/>
        <v>0</v>
      </c>
      <c r="C105" s="318">
        <f t="shared" si="145"/>
        <v>0</v>
      </c>
      <c r="D105" s="318">
        <f t="shared" si="145"/>
        <v>0</v>
      </c>
      <c r="E105" s="318">
        <f t="shared" si="145"/>
        <v>0</v>
      </c>
      <c r="G105" s="318"/>
      <c r="H105" s="318"/>
      <c r="I105" s="318"/>
      <c r="J105" s="318"/>
      <c r="K105" s="318"/>
      <c r="L105" s="318"/>
      <c r="M105" s="318"/>
      <c r="N105" s="318"/>
      <c r="O105" s="318"/>
      <c r="P105" s="318"/>
      <c r="Q105" s="318"/>
      <c r="R105" s="318"/>
      <c r="S105" s="318"/>
      <c r="T105" s="318"/>
      <c r="U105" s="318"/>
      <c r="V105" s="318"/>
      <c r="W105" s="318"/>
      <c r="X105" s="318"/>
      <c r="Y105" s="318"/>
      <c r="Z105" s="318"/>
      <c r="AA105" s="318"/>
    </row>
    <row r="106" spans="1:27">
      <c r="A106" s="318">
        <f>'1.1 Алыкулова'!A115</f>
        <v>0.05</v>
      </c>
      <c r="B106" s="318">
        <f t="shared" si="145"/>
        <v>3.5009525336576038E-2</v>
      </c>
      <c r="C106" s="318">
        <f t="shared" si="145"/>
        <v>0</v>
      </c>
      <c r="D106" s="318">
        <f t="shared" si="145"/>
        <v>6.041222459132907E-2</v>
      </c>
      <c r="E106" s="318">
        <f t="shared" si="145"/>
        <v>0</v>
      </c>
      <c r="G106" s="318">
        <f t="shared" ref="G106:Q106" si="148">G95/G$86</f>
        <v>0</v>
      </c>
      <c r="H106" s="318">
        <f t="shared" si="148"/>
        <v>0</v>
      </c>
      <c r="I106" s="318">
        <f t="shared" si="148"/>
        <v>0</v>
      </c>
      <c r="J106" s="318">
        <f t="shared" si="148"/>
        <v>0</v>
      </c>
      <c r="K106" s="318">
        <f t="shared" si="148"/>
        <v>0</v>
      </c>
      <c r="L106" s="318">
        <f t="shared" si="148"/>
        <v>0</v>
      </c>
      <c r="M106" s="318">
        <f t="shared" si="148"/>
        <v>0</v>
      </c>
      <c r="N106" s="318">
        <f t="shared" si="148"/>
        <v>0</v>
      </c>
      <c r="O106" s="318">
        <f t="shared" si="148"/>
        <v>0</v>
      </c>
      <c r="P106" s="318">
        <f t="shared" si="148"/>
        <v>0</v>
      </c>
      <c r="Q106" s="318">
        <f t="shared" si="148"/>
        <v>0</v>
      </c>
      <c r="R106" s="318">
        <f>R95/R$86</f>
        <v>0</v>
      </c>
      <c r="S106" s="318">
        <f t="shared" ref="S106:U106" si="149">S95/S$86</f>
        <v>0</v>
      </c>
      <c r="T106" s="318">
        <f t="shared" si="149"/>
        <v>0</v>
      </c>
      <c r="U106" s="318">
        <f t="shared" si="149"/>
        <v>0</v>
      </c>
      <c r="V106" s="318">
        <f>V95/V$86</f>
        <v>0</v>
      </c>
      <c r="W106" s="318">
        <f t="shared" ref="W106:X106" si="150">W95/W$86</f>
        <v>0</v>
      </c>
      <c r="X106" s="318">
        <f t="shared" si="150"/>
        <v>0</v>
      </c>
      <c r="Y106" s="318">
        <f>Y95/Y$86</f>
        <v>0</v>
      </c>
      <c r="Z106" s="318">
        <f t="shared" ref="Z106:AA106" si="151">Z95/Z$86</f>
        <v>0</v>
      </c>
      <c r="AA106" s="318">
        <f t="shared" si="151"/>
        <v>0</v>
      </c>
    </row>
    <row r="107" spans="1:27">
      <c r="B107" s="281"/>
      <c r="C107" s="278"/>
      <c r="D107" s="278"/>
      <c r="E107" s="278"/>
      <c r="G107" s="278"/>
      <c r="H107" s="278"/>
      <c r="I107" s="278"/>
      <c r="J107" s="278"/>
      <c r="K107" s="278"/>
      <c r="L107" s="278"/>
      <c r="M107" s="278"/>
      <c r="N107" s="278"/>
      <c r="O107" s="278"/>
      <c r="P107" s="278"/>
      <c r="Q107" s="278"/>
      <c r="R107" s="278"/>
      <c r="S107" s="278"/>
      <c r="T107" s="278"/>
      <c r="U107" s="278"/>
      <c r="V107" s="278"/>
      <c r="W107" s="278"/>
      <c r="X107" s="278"/>
      <c r="Y107" s="278"/>
      <c r="Z107" s="278"/>
      <c r="AA107" s="278"/>
    </row>
    <row r="108" spans="1:27" ht="15">
      <c r="A108" s="346" t="s">
        <v>278</v>
      </c>
      <c r="B108" s="281"/>
      <c r="C108" s="278"/>
      <c r="D108" s="278"/>
      <c r="E108" s="278"/>
      <c r="G108" s="278"/>
      <c r="H108" s="278"/>
      <c r="I108" s="278"/>
      <c r="J108" s="278"/>
      <c r="K108" s="278"/>
      <c r="L108" s="278"/>
      <c r="M108" s="278"/>
      <c r="N108" s="278"/>
      <c r="O108" s="278"/>
      <c r="P108" s="278"/>
      <c r="Q108" s="278"/>
      <c r="R108" s="278"/>
      <c r="S108" s="278"/>
      <c r="T108" s="278"/>
      <c r="U108" s="278"/>
      <c r="V108" s="278"/>
      <c r="W108" s="278"/>
      <c r="X108" s="278"/>
      <c r="Y108" s="278"/>
      <c r="Z108" s="278"/>
      <c r="AA108" s="278"/>
    </row>
    <row r="109" spans="1:27" ht="12.75" customHeight="1">
      <c r="A109" s="320"/>
      <c r="B109" s="319">
        <f>$A98*B98</f>
        <v>4.1823937371241182E-3</v>
      </c>
      <c r="C109" s="319">
        <f>$A98*C98</f>
        <v>5.2462264150943405E-2</v>
      </c>
      <c r="D109" s="319">
        <f>$A98*D98</f>
        <v>2.8614072494669511E-2</v>
      </c>
      <c r="E109" s="319">
        <f>$A98*E98</f>
        <v>0</v>
      </c>
      <c r="G109" s="319">
        <f t="shared" ref="G109:AA109" si="152">$A98*G98</f>
        <v>9.9000000000000005E-2</v>
      </c>
      <c r="H109" s="319">
        <f t="shared" si="152"/>
        <v>0</v>
      </c>
      <c r="I109" s="319">
        <f t="shared" si="152"/>
        <v>0.33</v>
      </c>
      <c r="J109" s="319">
        <f t="shared" si="152"/>
        <v>9.969305331179323E-3</v>
      </c>
      <c r="K109" s="319">
        <f t="shared" si="152"/>
        <v>0.22</v>
      </c>
      <c r="L109" s="319">
        <f t="shared" si="152"/>
        <v>0.33</v>
      </c>
      <c r="M109" s="319">
        <f t="shared" si="152"/>
        <v>0.33</v>
      </c>
      <c r="N109" s="319">
        <f t="shared" si="152"/>
        <v>0.33</v>
      </c>
      <c r="O109" s="319">
        <f t="shared" si="152"/>
        <v>0</v>
      </c>
      <c r="P109" s="319">
        <f t="shared" si="152"/>
        <v>0.16019417475728157</v>
      </c>
      <c r="Q109" s="319">
        <f t="shared" si="152"/>
        <v>0.33</v>
      </c>
      <c r="R109" s="319">
        <f t="shared" si="152"/>
        <v>0.33</v>
      </c>
      <c r="S109" s="319">
        <f t="shared" si="152"/>
        <v>0.33</v>
      </c>
      <c r="T109" s="319">
        <f t="shared" si="152"/>
        <v>3.8610000000000005E-2</v>
      </c>
      <c r="U109" s="319">
        <f t="shared" si="152"/>
        <v>0.3234866956993942</v>
      </c>
      <c r="V109" s="319">
        <f t="shared" si="152"/>
        <v>0.33</v>
      </c>
      <c r="W109" s="319">
        <f t="shared" si="152"/>
        <v>2.3023255813953491E-2</v>
      </c>
      <c r="X109" s="319">
        <f t="shared" si="152"/>
        <v>4.1250000000000002E-2</v>
      </c>
      <c r="Y109" s="319">
        <f t="shared" si="152"/>
        <v>0.31611555158842869</v>
      </c>
      <c r="Z109" s="319">
        <f t="shared" si="152"/>
        <v>0.16019417475728157</v>
      </c>
      <c r="AA109" s="319">
        <f t="shared" si="152"/>
        <v>5.5908016829788647E-3</v>
      </c>
    </row>
    <row r="110" spans="1:27" ht="12.75" customHeight="1">
      <c r="A110" s="320"/>
      <c r="B110" s="319">
        <f t="shared" ref="B110:E117" si="153">$A99*B99</f>
        <v>0.37623455589050853</v>
      </c>
      <c r="C110" s="319">
        <f t="shared" si="153"/>
        <v>0.43426100628930819</v>
      </c>
      <c r="D110" s="319">
        <f t="shared" si="153"/>
        <v>0.27363184079601993</v>
      </c>
      <c r="E110" s="319">
        <f t="shared" si="153"/>
        <v>0.54294166666666677</v>
      </c>
      <c r="G110" s="319">
        <f t="shared" ref="G110:AA110" si="154">$A99*G99</f>
        <v>0.38500000000000001</v>
      </c>
      <c r="H110" s="319">
        <f t="shared" si="154"/>
        <v>0.55000000000000004</v>
      </c>
      <c r="I110" s="319">
        <f t="shared" si="154"/>
        <v>0</v>
      </c>
      <c r="J110" s="319">
        <f t="shared" si="154"/>
        <v>0.34679321486268178</v>
      </c>
      <c r="K110" s="319">
        <f t="shared" si="154"/>
        <v>0.18333333333333335</v>
      </c>
      <c r="L110" s="319">
        <f t="shared" si="154"/>
        <v>0</v>
      </c>
      <c r="M110" s="319">
        <f t="shared" si="154"/>
        <v>0</v>
      </c>
      <c r="N110" s="319">
        <f t="shared" si="154"/>
        <v>0</v>
      </c>
      <c r="O110" s="319">
        <f t="shared" si="154"/>
        <v>0.55000000000000004</v>
      </c>
      <c r="P110" s="319">
        <f t="shared" si="154"/>
        <v>0.28300970873786407</v>
      </c>
      <c r="Q110" s="319">
        <f t="shared" si="154"/>
        <v>0</v>
      </c>
      <c r="R110" s="319">
        <f t="shared" si="154"/>
        <v>0</v>
      </c>
      <c r="S110" s="319">
        <f t="shared" si="154"/>
        <v>0</v>
      </c>
      <c r="T110" s="319">
        <f t="shared" si="154"/>
        <v>0.38280000000000003</v>
      </c>
      <c r="U110" s="319">
        <f t="shared" si="154"/>
        <v>1.0855507167676425E-2</v>
      </c>
      <c r="V110" s="319">
        <f t="shared" si="154"/>
        <v>0</v>
      </c>
      <c r="W110" s="319">
        <f t="shared" si="154"/>
        <v>0.51162790697674421</v>
      </c>
      <c r="X110" s="319">
        <f t="shared" si="154"/>
        <v>0.48125000000000007</v>
      </c>
      <c r="Y110" s="319">
        <f t="shared" si="154"/>
        <v>1.7673550533533498E-2</v>
      </c>
      <c r="Z110" s="319">
        <f t="shared" si="154"/>
        <v>0.28300970873786407</v>
      </c>
      <c r="AA110" s="319">
        <f t="shared" si="154"/>
        <v>0.32808387295545327</v>
      </c>
    </row>
    <row r="111" spans="1:27" ht="12.75" customHeight="1">
      <c r="A111" s="320"/>
      <c r="B111" s="319">
        <f t="shared" si="153"/>
        <v>0</v>
      </c>
      <c r="C111" s="319">
        <f t="shared" si="153"/>
        <v>0</v>
      </c>
      <c r="D111" s="319">
        <f t="shared" si="153"/>
        <v>0</v>
      </c>
      <c r="E111" s="319">
        <f t="shared" si="153"/>
        <v>0</v>
      </c>
      <c r="G111" s="319">
        <f t="shared" ref="G111:AA111" si="155">$A100*G100</f>
        <v>0</v>
      </c>
      <c r="H111" s="319">
        <f t="shared" si="155"/>
        <v>0</v>
      </c>
      <c r="I111" s="319">
        <f t="shared" si="155"/>
        <v>0</v>
      </c>
      <c r="J111" s="319">
        <f t="shared" si="155"/>
        <v>0.26122778675282715</v>
      </c>
      <c r="K111" s="319">
        <f t="shared" si="155"/>
        <v>0</v>
      </c>
      <c r="L111" s="319">
        <f t="shared" si="155"/>
        <v>0</v>
      </c>
      <c r="M111" s="319">
        <f t="shared" si="155"/>
        <v>0</v>
      </c>
      <c r="N111" s="319">
        <f t="shared" si="155"/>
        <v>0</v>
      </c>
      <c r="O111" s="319">
        <f t="shared" si="155"/>
        <v>0</v>
      </c>
      <c r="P111" s="319">
        <f t="shared" si="155"/>
        <v>0</v>
      </c>
      <c r="Q111" s="319">
        <f t="shared" si="155"/>
        <v>0</v>
      </c>
      <c r="R111" s="319">
        <f t="shared" si="155"/>
        <v>0</v>
      </c>
      <c r="S111" s="319">
        <f t="shared" si="155"/>
        <v>0</v>
      </c>
      <c r="T111" s="319">
        <f t="shared" si="155"/>
        <v>0.14399000000000001</v>
      </c>
      <c r="U111" s="319">
        <f t="shared" si="155"/>
        <v>0</v>
      </c>
      <c r="V111" s="319">
        <f t="shared" si="155"/>
        <v>0</v>
      </c>
      <c r="W111" s="319">
        <f t="shared" si="155"/>
        <v>0</v>
      </c>
      <c r="X111" s="319">
        <f t="shared" si="155"/>
        <v>0</v>
      </c>
      <c r="Y111" s="319">
        <f t="shared" si="155"/>
        <v>7.654075546719684E-3</v>
      </c>
      <c r="Z111" s="319">
        <f t="shared" si="155"/>
        <v>0</v>
      </c>
      <c r="AA111" s="319">
        <f t="shared" si="155"/>
        <v>0.29763737393541473</v>
      </c>
    </row>
    <row r="112" spans="1:27" ht="12.75" customHeight="1">
      <c r="A112" s="320"/>
      <c r="B112" s="319">
        <f t="shared" si="153"/>
        <v>0</v>
      </c>
      <c r="C112" s="319">
        <f t="shared" si="153"/>
        <v>0</v>
      </c>
      <c r="D112" s="319">
        <f t="shared" si="153"/>
        <v>0</v>
      </c>
      <c r="E112" s="319">
        <f t="shared" si="153"/>
        <v>0</v>
      </c>
      <c r="G112" s="319"/>
      <c r="H112" s="319"/>
      <c r="I112" s="319"/>
      <c r="J112" s="319"/>
      <c r="K112" s="319"/>
      <c r="L112" s="319"/>
      <c r="M112" s="319"/>
      <c r="N112" s="319"/>
      <c r="O112" s="319"/>
      <c r="P112" s="319"/>
      <c r="Q112" s="319"/>
      <c r="R112" s="319"/>
      <c r="S112" s="319"/>
      <c r="T112" s="319"/>
      <c r="U112" s="319"/>
      <c r="V112" s="319"/>
      <c r="W112" s="319"/>
      <c r="X112" s="319"/>
      <c r="Y112" s="319"/>
      <c r="Z112" s="319"/>
      <c r="AA112" s="319"/>
    </row>
    <row r="113" spans="1:27" ht="12.75" customHeight="1">
      <c r="A113" s="320"/>
      <c r="B113" s="319">
        <f t="shared" si="153"/>
        <v>1.1546094816818314E-3</v>
      </c>
      <c r="C113" s="319">
        <f t="shared" si="153"/>
        <v>0</v>
      </c>
      <c r="D113" s="319">
        <f t="shared" si="153"/>
        <v>0.11727078891257996</v>
      </c>
      <c r="E113" s="319">
        <f t="shared" si="153"/>
        <v>4.235E-3</v>
      </c>
      <c r="G113" s="319"/>
      <c r="H113" s="319"/>
      <c r="I113" s="319"/>
      <c r="J113" s="319"/>
      <c r="K113" s="319"/>
      <c r="L113" s="319"/>
      <c r="M113" s="319"/>
      <c r="N113" s="319"/>
      <c r="O113" s="319"/>
      <c r="P113" s="319"/>
      <c r="Q113" s="319"/>
      <c r="R113" s="319"/>
      <c r="S113" s="319"/>
      <c r="T113" s="319"/>
      <c r="U113" s="319"/>
      <c r="V113" s="319"/>
      <c r="W113" s="319"/>
      <c r="X113" s="319"/>
      <c r="Y113" s="319"/>
      <c r="Z113" s="319"/>
      <c r="AA113" s="319"/>
    </row>
    <row r="114" spans="1:27" ht="12.75" customHeight="1">
      <c r="A114" s="320"/>
      <c r="B114" s="319">
        <f t="shared" si="153"/>
        <v>0.14561519980969809</v>
      </c>
      <c r="C114" s="319">
        <f t="shared" si="153"/>
        <v>2.8301886792452834E-2</v>
      </c>
      <c r="D114" s="319">
        <f t="shared" si="153"/>
        <v>0</v>
      </c>
      <c r="E114" s="319">
        <f t="shared" si="153"/>
        <v>0</v>
      </c>
      <c r="G114" s="319"/>
      <c r="H114" s="319"/>
      <c r="I114" s="319"/>
      <c r="J114" s="319"/>
      <c r="K114" s="319"/>
      <c r="L114" s="319"/>
      <c r="M114" s="319"/>
      <c r="N114" s="319"/>
      <c r="O114" s="319"/>
      <c r="P114" s="319"/>
      <c r="Q114" s="319"/>
      <c r="R114" s="319"/>
      <c r="S114" s="319"/>
      <c r="T114" s="319"/>
      <c r="U114" s="319"/>
      <c r="V114" s="319"/>
      <c r="W114" s="319"/>
      <c r="X114" s="319"/>
      <c r="Y114" s="319"/>
      <c r="Z114" s="319"/>
      <c r="AA114" s="319"/>
    </row>
    <row r="115" spans="1:27" ht="12.75" customHeight="1">
      <c r="A115" s="320"/>
      <c r="B115" s="319">
        <f t="shared" si="153"/>
        <v>0</v>
      </c>
      <c r="C115" s="319">
        <f t="shared" si="153"/>
        <v>0</v>
      </c>
      <c r="D115" s="319">
        <f t="shared" si="153"/>
        <v>0</v>
      </c>
      <c r="E115" s="319">
        <f t="shared" si="153"/>
        <v>0</v>
      </c>
      <c r="G115" s="319"/>
      <c r="H115" s="319"/>
      <c r="I115" s="319"/>
      <c r="J115" s="319"/>
      <c r="K115" s="319"/>
      <c r="L115" s="319"/>
      <c r="M115" s="319"/>
      <c r="N115" s="319"/>
      <c r="O115" s="319"/>
      <c r="P115" s="319"/>
      <c r="Q115" s="319"/>
      <c r="R115" s="319"/>
      <c r="S115" s="319"/>
      <c r="T115" s="319"/>
      <c r="U115" s="319"/>
      <c r="V115" s="319"/>
      <c r="W115" s="319"/>
      <c r="X115" s="319"/>
      <c r="Y115" s="319"/>
      <c r="Z115" s="319"/>
      <c r="AA115" s="319"/>
    </row>
    <row r="116" spans="1:27" ht="12.75" customHeight="1">
      <c r="A116" s="320"/>
      <c r="B116" s="319">
        <f t="shared" si="153"/>
        <v>0</v>
      </c>
      <c r="C116" s="319">
        <f t="shared" si="153"/>
        <v>0</v>
      </c>
      <c r="D116" s="319">
        <f t="shared" si="153"/>
        <v>0</v>
      </c>
      <c r="E116" s="319">
        <f t="shared" si="153"/>
        <v>0</v>
      </c>
      <c r="G116" s="319"/>
      <c r="H116" s="319"/>
      <c r="I116" s="319"/>
      <c r="J116" s="319"/>
      <c r="K116" s="319"/>
      <c r="L116" s="319"/>
      <c r="M116" s="319"/>
      <c r="N116" s="319"/>
      <c r="O116" s="319"/>
      <c r="P116" s="319"/>
      <c r="Q116" s="319"/>
      <c r="R116" s="319"/>
      <c r="S116" s="319"/>
      <c r="T116" s="319"/>
      <c r="U116" s="319"/>
      <c r="V116" s="319"/>
      <c r="W116" s="319"/>
      <c r="X116" s="319"/>
      <c r="Y116" s="319"/>
      <c r="Z116" s="319"/>
      <c r="AA116" s="319"/>
    </row>
    <row r="117" spans="1:27" ht="12.75" customHeight="1">
      <c r="A117" s="320"/>
      <c r="B117" s="319">
        <f t="shared" si="153"/>
        <v>1.7504762668288021E-3</v>
      </c>
      <c r="C117" s="319">
        <f t="shared" si="153"/>
        <v>0</v>
      </c>
      <c r="D117" s="319">
        <f t="shared" si="153"/>
        <v>3.0206112295664538E-3</v>
      </c>
      <c r="E117" s="319">
        <f t="shared" si="153"/>
        <v>0</v>
      </c>
      <c r="G117" s="319">
        <f t="shared" ref="G117:AA117" si="156">$A106*G106</f>
        <v>0</v>
      </c>
      <c r="H117" s="319">
        <f t="shared" si="156"/>
        <v>0</v>
      </c>
      <c r="I117" s="319">
        <f t="shared" si="156"/>
        <v>0</v>
      </c>
      <c r="J117" s="319">
        <f t="shared" si="156"/>
        <v>0</v>
      </c>
      <c r="K117" s="319">
        <f t="shared" si="156"/>
        <v>0</v>
      </c>
      <c r="L117" s="319">
        <f t="shared" si="156"/>
        <v>0</v>
      </c>
      <c r="M117" s="319">
        <f t="shared" si="156"/>
        <v>0</v>
      </c>
      <c r="N117" s="319">
        <f t="shared" si="156"/>
        <v>0</v>
      </c>
      <c r="O117" s="319">
        <f t="shared" si="156"/>
        <v>0</v>
      </c>
      <c r="P117" s="319">
        <f t="shared" si="156"/>
        <v>0</v>
      </c>
      <c r="Q117" s="319">
        <f t="shared" si="156"/>
        <v>0</v>
      </c>
      <c r="R117" s="319">
        <f t="shared" si="156"/>
        <v>0</v>
      </c>
      <c r="S117" s="319">
        <f t="shared" si="156"/>
        <v>0</v>
      </c>
      <c r="T117" s="319">
        <f t="shared" si="156"/>
        <v>0</v>
      </c>
      <c r="U117" s="319">
        <f t="shared" si="156"/>
        <v>0</v>
      </c>
      <c r="V117" s="319">
        <f t="shared" si="156"/>
        <v>0</v>
      </c>
      <c r="W117" s="319">
        <f t="shared" si="156"/>
        <v>0</v>
      </c>
      <c r="X117" s="319">
        <f t="shared" si="156"/>
        <v>0</v>
      </c>
      <c r="Y117" s="319">
        <f t="shared" si="156"/>
        <v>0</v>
      </c>
      <c r="Z117" s="319">
        <f t="shared" si="156"/>
        <v>0</v>
      </c>
      <c r="AA117" s="319">
        <f t="shared" si="156"/>
        <v>0</v>
      </c>
    </row>
    <row r="118" spans="1:27">
      <c r="A118" s="320" t="s">
        <v>279</v>
      </c>
      <c r="B118" s="321">
        <f t="shared" ref="B118:C118" si="157">SUM(B109:B117)</f>
        <v>0.52893723518584135</v>
      </c>
      <c r="C118" s="321">
        <f t="shared" si="157"/>
        <v>0.51502515723270448</v>
      </c>
      <c r="D118" s="321">
        <f>SUM(D109:D117)</f>
        <v>0.42253731343283585</v>
      </c>
      <c r="E118" s="321">
        <f>SUM(E109:E117)</f>
        <v>0.54717666666666676</v>
      </c>
      <c r="G118" s="321">
        <f>SUM(G109:G117)</f>
        <v>0.48399999999999999</v>
      </c>
      <c r="H118" s="321">
        <f>SUM(H109:H117)</f>
        <v>0.55000000000000004</v>
      </c>
      <c r="I118" s="321">
        <f t="shared" ref="I118:K118" si="158">SUM(I109:I117)</f>
        <v>0.33</v>
      </c>
      <c r="J118" s="321">
        <f t="shared" si="158"/>
        <v>0.61799030694668833</v>
      </c>
      <c r="K118" s="321">
        <f t="shared" si="158"/>
        <v>0.40333333333333332</v>
      </c>
      <c r="L118" s="321">
        <f>SUM(L109:L117)</f>
        <v>0.33</v>
      </c>
      <c r="M118" s="321">
        <f>SUM(M109:M117)</f>
        <v>0.33</v>
      </c>
      <c r="N118" s="321">
        <f t="shared" ref="N118:O118" si="159">SUM(N109:N117)</f>
        <v>0.33</v>
      </c>
      <c r="O118" s="321">
        <f t="shared" si="159"/>
        <v>0.55000000000000004</v>
      </c>
      <c r="P118" s="321">
        <f>SUM(P109:P117)</f>
        <v>0.44320388349514561</v>
      </c>
      <c r="Q118" s="321">
        <f t="shared" ref="Q118:Y118" si="160">SUM(Q109:Q117)</f>
        <v>0.33</v>
      </c>
      <c r="R118" s="321">
        <f t="shared" si="160"/>
        <v>0.33</v>
      </c>
      <c r="S118" s="321">
        <f t="shared" si="160"/>
        <v>0.33</v>
      </c>
      <c r="T118" s="321">
        <f t="shared" si="160"/>
        <v>0.56540000000000012</v>
      </c>
      <c r="U118" s="321">
        <f t="shared" si="160"/>
        <v>0.33434220286707061</v>
      </c>
      <c r="V118" s="321">
        <f t="shared" si="160"/>
        <v>0.33</v>
      </c>
      <c r="W118" s="321">
        <f t="shared" si="160"/>
        <v>0.53465116279069769</v>
      </c>
      <c r="X118" s="321">
        <f t="shared" si="160"/>
        <v>0.52250000000000008</v>
      </c>
      <c r="Y118" s="321">
        <f t="shared" si="160"/>
        <v>0.34144317766868187</v>
      </c>
      <c r="Z118" s="321">
        <f>SUM(Z109:Z117)</f>
        <v>0.44320388349514561</v>
      </c>
      <c r="AA118" s="321">
        <f>SUM(AA109:AA117)</f>
        <v>0.63131204857384682</v>
      </c>
    </row>
    <row r="119" spans="1:27">
      <c r="A119" s="322" t="s">
        <v>280</v>
      </c>
      <c r="B119" s="323"/>
      <c r="C119" s="324">
        <f t="shared" ref="C119" si="161">$B$118/C118</f>
        <v>1.0270124240685412</v>
      </c>
      <c r="D119" s="324">
        <f>$B$118/D118</f>
        <v>1.2518118953532804</v>
      </c>
      <c r="E119" s="324">
        <f>$B$118/E118</f>
        <v>0.96666628423332124</v>
      </c>
      <c r="G119" s="324">
        <f t="shared" ref="G119:Q119" si="162">$B$118/G118</f>
        <v>1.0928455272434738</v>
      </c>
      <c r="H119" s="324">
        <f t="shared" si="162"/>
        <v>0.9617040639742569</v>
      </c>
      <c r="I119" s="324">
        <f t="shared" si="162"/>
        <v>1.6028401066237616</v>
      </c>
      <c r="J119" s="324">
        <f t="shared" si="162"/>
        <v>0.8558989182195551</v>
      </c>
      <c r="K119" s="324">
        <f t="shared" si="162"/>
        <v>1.3114146326921687</v>
      </c>
      <c r="L119" s="324">
        <f t="shared" si="162"/>
        <v>1.6028401066237616</v>
      </c>
      <c r="M119" s="324">
        <f t="shared" si="162"/>
        <v>1.6028401066237616</v>
      </c>
      <c r="N119" s="324">
        <f t="shared" si="162"/>
        <v>1.6028401066237616</v>
      </c>
      <c r="O119" s="324">
        <f t="shared" si="162"/>
        <v>0.9617040639742569</v>
      </c>
      <c r="P119" s="324">
        <f t="shared" si="162"/>
        <v>1.1934399830041984</v>
      </c>
      <c r="Q119" s="324">
        <f t="shared" si="162"/>
        <v>1.6028401066237616</v>
      </c>
      <c r="R119" s="324">
        <f>$B$118/R118</f>
        <v>1.6028401066237616</v>
      </c>
      <c r="S119" s="324">
        <f>$B$118/S118</f>
        <v>1.6028401066237616</v>
      </c>
      <c r="T119" s="324">
        <f t="shared" ref="T119:AA119" si="163">$B$118/T118</f>
        <v>0.93550978985822641</v>
      </c>
      <c r="U119" s="324">
        <f t="shared" si="163"/>
        <v>1.5820235395055369</v>
      </c>
      <c r="V119" s="324">
        <f t="shared" si="163"/>
        <v>1.6028401066237616</v>
      </c>
      <c r="W119" s="324">
        <f t="shared" si="163"/>
        <v>0.98931279308356579</v>
      </c>
      <c r="X119" s="324">
        <f t="shared" si="163"/>
        <v>1.0123200673413231</v>
      </c>
      <c r="Y119" s="324">
        <f t="shared" si="163"/>
        <v>1.5491222838228551</v>
      </c>
      <c r="Z119" s="324">
        <f t="shared" si="163"/>
        <v>1.1934399830041984</v>
      </c>
      <c r="AA119" s="324">
        <f t="shared" si="163"/>
        <v>0.83783801747602737</v>
      </c>
    </row>
    <row r="120" spans="1:27">
      <c r="A120" s="320" t="s">
        <v>281</v>
      </c>
      <c r="B120" s="325">
        <f>$B$125*B27</f>
        <v>8916578.1818181816</v>
      </c>
      <c r="C120" s="325">
        <f>$B$125*C27</f>
        <v>4068229.0909090908</v>
      </c>
      <c r="D120" s="325">
        <f>$B$125*D27</f>
        <v>967090.90909090918</v>
      </c>
      <c r="E120" s="325">
        <f>$B$125*E27</f>
        <v>1031563.6363636364</v>
      </c>
      <c r="G120" s="325">
        <f t="shared" ref="G120:AA120" si="164">$B$125*G27</f>
        <v>161181.81818181818</v>
      </c>
      <c r="H120" s="325">
        <f t="shared" si="164"/>
        <v>2421918</v>
      </c>
      <c r="I120" s="325">
        <f t="shared" si="164"/>
        <v>128945.45454545454</v>
      </c>
      <c r="J120" s="325">
        <f t="shared" si="164"/>
        <v>1934181.8181818184</v>
      </c>
      <c r="K120" s="325">
        <f t="shared" si="164"/>
        <v>967090.90909090918</v>
      </c>
      <c r="L120" s="325">
        <f t="shared" si="164"/>
        <v>225654.54545454547</v>
      </c>
      <c r="M120" s="325">
        <f t="shared" si="164"/>
        <v>48354.545454545456</v>
      </c>
      <c r="N120" s="325">
        <f t="shared" si="164"/>
        <v>1131496.3636363638</v>
      </c>
      <c r="O120" s="325">
        <f t="shared" si="164"/>
        <v>709200</v>
      </c>
      <c r="P120" s="325">
        <f t="shared" si="164"/>
        <v>773672.72727272729</v>
      </c>
      <c r="Q120" s="325">
        <f t="shared" si="164"/>
        <v>1934181.8181818184</v>
      </c>
      <c r="R120" s="325">
        <f t="shared" si="164"/>
        <v>1611818.1818181819</v>
      </c>
      <c r="S120" s="325">
        <f t="shared" si="164"/>
        <v>451309.09090909094</v>
      </c>
      <c r="T120" s="325">
        <f t="shared" si="164"/>
        <v>145063.63636363638</v>
      </c>
      <c r="U120" s="325">
        <f t="shared" si="164"/>
        <v>3868363.6363636367</v>
      </c>
      <c r="V120" s="325">
        <f t="shared" si="164"/>
        <v>145063.63636363638</v>
      </c>
      <c r="W120" s="325">
        <f t="shared" si="164"/>
        <v>3352581.8181818184</v>
      </c>
      <c r="X120" s="325">
        <f t="shared" si="164"/>
        <v>161181.81818181818</v>
      </c>
      <c r="Y120" s="325">
        <f t="shared" si="164"/>
        <v>1622133.8181818181</v>
      </c>
      <c r="Z120" s="325">
        <f t="shared" si="164"/>
        <v>773672.72727272729</v>
      </c>
      <c r="AA120" s="325">
        <f t="shared" si="164"/>
        <v>548018.18181818188</v>
      </c>
    </row>
    <row r="121" spans="1:27">
      <c r="A121" s="322" t="s">
        <v>282</v>
      </c>
      <c r="B121" s="326"/>
      <c r="C121" s="327">
        <f>1-C120/C35</f>
        <v>0.43496818181818186</v>
      </c>
      <c r="D121" s="327">
        <f>1-D120/D35</f>
        <v>0.35527272727272718</v>
      </c>
      <c r="E121" s="327">
        <f>1-E120/E35</f>
        <v>0.31229090909090906</v>
      </c>
      <c r="G121" s="327">
        <f t="shared" ref="G121:AA121" si="165">1-G120/G35</f>
        <v>0.752027972027972</v>
      </c>
      <c r="H121" s="327">
        <f t="shared" si="165"/>
        <v>3.1232799999999949E-2</v>
      </c>
      <c r="I121" s="327">
        <f t="shared" si="165"/>
        <v>0.85592686642965976</v>
      </c>
      <c r="J121" s="327">
        <f t="shared" si="165"/>
        <v>0.28363636363636358</v>
      </c>
      <c r="K121" s="327">
        <f t="shared" si="165"/>
        <v>0.76974025974025972</v>
      </c>
      <c r="L121" s="327">
        <f t="shared" si="165"/>
        <v>0.90973818181818178</v>
      </c>
      <c r="M121" s="327">
        <f t="shared" si="165"/>
        <v>0.78020661157024795</v>
      </c>
      <c r="N121" s="327">
        <f t="shared" si="165"/>
        <v>0.12874692874692861</v>
      </c>
      <c r="O121" s="327">
        <f t="shared" si="165"/>
        <v>6.6842105263157925E-2</v>
      </c>
      <c r="P121" s="327">
        <f t="shared" si="165"/>
        <v>0.3552727272727273</v>
      </c>
      <c r="Q121" s="327">
        <f t="shared" si="165"/>
        <v>0.28363636363636358</v>
      </c>
      <c r="R121" s="327">
        <f t="shared" si="165"/>
        <v>0.46272727272727265</v>
      </c>
      <c r="S121" s="327">
        <f t="shared" si="165"/>
        <v>0.46904812834224596</v>
      </c>
      <c r="T121" s="327">
        <f t="shared" si="165"/>
        <v>0.61825358851674639</v>
      </c>
      <c r="U121" s="327">
        <f t="shared" si="165"/>
        <v>0.35527272727272718</v>
      </c>
      <c r="V121" s="327">
        <f t="shared" si="165"/>
        <v>0.61825358851674639</v>
      </c>
      <c r="W121" s="327">
        <f t="shared" si="165"/>
        <v>-0.1175272727272727</v>
      </c>
      <c r="X121" s="327">
        <f t="shared" si="165"/>
        <v>0.67763636363636359</v>
      </c>
      <c r="Y121" s="327">
        <f t="shared" si="165"/>
        <v>-0.35177818181818177</v>
      </c>
      <c r="Z121" s="327">
        <f t="shared" si="165"/>
        <v>0.3552727272727273</v>
      </c>
      <c r="AA121" s="327">
        <f t="shared" si="165"/>
        <v>-0.24549586776859522</v>
      </c>
    </row>
    <row r="122" spans="1:27" ht="15.75">
      <c r="A122" s="328" t="s">
        <v>283</v>
      </c>
      <c r="B122" s="329"/>
      <c r="C122" s="330">
        <f t="shared" ref="C122" si="166">1-(1-C119)*C121</f>
        <v>1.0117495449835952</v>
      </c>
      <c r="D122" s="330">
        <f>1-(1-D119)*D121</f>
        <v>1.0894618988218745</v>
      </c>
      <c r="E122" s="330">
        <f>1-(1-E119)*E121</f>
        <v>0.98959018359984596</v>
      </c>
      <c r="G122" s="330">
        <f t="shared" ref="G122:Q122" si="167">1-(1-G119)*G121</f>
        <v>1.0698224335647775</v>
      </c>
      <c r="H122" s="330">
        <f t="shared" si="167"/>
        <v>0.99880391068929519</v>
      </c>
      <c r="I122" s="330">
        <f t="shared" si="167"/>
        <v>1.5159870434205982</v>
      </c>
      <c r="J122" s="330">
        <f t="shared" si="167"/>
        <v>0.95912769316772839</v>
      </c>
      <c r="K122" s="330">
        <f t="shared" si="167"/>
        <v>1.2397083802553874</v>
      </c>
      <c r="L122" s="330">
        <f t="shared" si="167"/>
        <v>1.5484266625269798</v>
      </c>
      <c r="M122" s="330">
        <f t="shared" si="167"/>
        <v>1.4703398369075722</v>
      </c>
      <c r="N122" s="330">
        <f t="shared" si="167"/>
        <v>1.0776138122532803</v>
      </c>
      <c r="O122" s="330">
        <f t="shared" si="167"/>
        <v>0.99744021901301616</v>
      </c>
      <c r="P122" s="330">
        <f t="shared" si="167"/>
        <v>1.0687239503254915</v>
      </c>
      <c r="Q122" s="330">
        <f t="shared" si="167"/>
        <v>1.1709873756969214</v>
      </c>
      <c r="R122" s="330">
        <f>1-(1-R119)*R121</f>
        <v>1.2789505584286314</v>
      </c>
      <c r="S122" s="330">
        <f>1-(1-S119)*S121</f>
        <v>1.2827610237015155</v>
      </c>
      <c r="T122" s="330">
        <f t="shared" ref="T122:AA122" si="168">1-(1-T119)*T121</f>
        <v>0.96012869615564944</v>
      </c>
      <c r="U122" s="330">
        <f t="shared" si="168"/>
        <v>1.206777090217058</v>
      </c>
      <c r="V122" s="330">
        <f t="shared" si="168"/>
        <v>1.3727080592219587</v>
      </c>
      <c r="W122" s="330">
        <f t="shared" si="168"/>
        <v>1.0012560382819606</v>
      </c>
      <c r="X122" s="330">
        <f t="shared" si="168"/>
        <v>1.0083485256329292</v>
      </c>
      <c r="Y122" s="330">
        <f t="shared" si="168"/>
        <v>0.80683076140094845</v>
      </c>
      <c r="Z122" s="330">
        <f t="shared" si="168"/>
        <v>1.0687239503254915</v>
      </c>
      <c r="AA122" s="330">
        <f t="shared" si="168"/>
        <v>1.0398100966187984</v>
      </c>
    </row>
    <row r="124" spans="1:27">
      <c r="A124" s="331" t="s">
        <v>284</v>
      </c>
      <c r="B124" s="318">
        <f>B27/B13</f>
        <v>1.6186196264359325</v>
      </c>
      <c r="C124" s="318">
        <f>C27/C13</f>
        <v>1.8038879359634077</v>
      </c>
      <c r="D124" s="318">
        <f>D27/D13</f>
        <v>2.1321961620469083</v>
      </c>
      <c r="E124" s="318">
        <f>E27/E13</f>
        <v>1.7777777777777777</v>
      </c>
      <c r="G124" s="318">
        <f t="shared" ref="G124:AA124" si="169">G27/G13</f>
        <v>0.5</v>
      </c>
      <c r="H124" s="318">
        <f t="shared" si="169"/>
        <v>1.4979264694154237</v>
      </c>
      <c r="I124" s="318">
        <f t="shared" si="169"/>
        <v>0.55788005578800559</v>
      </c>
      <c r="J124" s="318">
        <f t="shared" si="169"/>
        <v>2.4232633279483036</v>
      </c>
      <c r="K124" s="318">
        <f t="shared" si="169"/>
        <v>1</v>
      </c>
      <c r="L124" s="318">
        <f t="shared" si="169"/>
        <v>0.5</v>
      </c>
      <c r="M124" s="318">
        <f t="shared" si="169"/>
        <v>0.45454545454545453</v>
      </c>
      <c r="N124" s="318">
        <f t="shared" si="169"/>
        <v>7.8</v>
      </c>
      <c r="O124" s="318">
        <f t="shared" si="169"/>
        <v>1.6058394160583942</v>
      </c>
      <c r="P124" s="318">
        <f t="shared" si="169"/>
        <v>1.1650485436893203</v>
      </c>
      <c r="Q124" s="318">
        <f t="shared" si="169"/>
        <v>4.2857142857142856</v>
      </c>
      <c r="R124" s="318">
        <f t="shared" si="169"/>
        <v>3.3333333333333335</v>
      </c>
      <c r="S124" s="318">
        <f t="shared" si="169"/>
        <v>1.0144927536231885</v>
      </c>
      <c r="T124" s="318">
        <f t="shared" si="169"/>
        <v>0.9</v>
      </c>
      <c r="U124" s="318">
        <f t="shared" si="169"/>
        <v>0.21295399129018178</v>
      </c>
      <c r="V124" s="318">
        <f t="shared" si="169"/>
        <v>0.83798882681564246</v>
      </c>
      <c r="W124" s="318">
        <f t="shared" si="169"/>
        <v>2.4186046511627906</v>
      </c>
      <c r="X124" s="318">
        <f t="shared" si="169"/>
        <v>0.625</v>
      </c>
      <c r="Y124" s="318">
        <f t="shared" si="169"/>
        <v>5.1040694607863033</v>
      </c>
      <c r="Z124" s="318">
        <f t="shared" si="169"/>
        <v>1.1650485436893203</v>
      </c>
      <c r="AA124" s="318">
        <f t="shared" si="169"/>
        <v>2.3226693208856473</v>
      </c>
    </row>
    <row r="125" spans="1:27" ht="20.25">
      <c r="A125" s="332" t="s">
        <v>285</v>
      </c>
      <c r="B125" s="333">
        <v>322.36363636363637</v>
      </c>
      <c r="C125" s="318">
        <f t="shared" ref="C125" si="170">$B$124-C124</f>
        <v>-0.18526830952747519</v>
      </c>
      <c r="D125" s="318">
        <f>$B$124-D124</f>
        <v>-0.51357653561097583</v>
      </c>
      <c r="E125" s="318">
        <f>$B$124-E124</f>
        <v>-0.15915815134184519</v>
      </c>
      <c r="G125" s="318">
        <f t="shared" ref="G125:Q125" si="171">$B$124-G124</f>
        <v>1.1186196264359325</v>
      </c>
      <c r="H125" s="318">
        <f t="shared" si="171"/>
        <v>0.12069315702050876</v>
      </c>
      <c r="I125" s="318">
        <f t="shared" si="171"/>
        <v>1.060739570647927</v>
      </c>
      <c r="J125" s="318">
        <f t="shared" si="171"/>
        <v>-0.80464370151237108</v>
      </c>
      <c r="K125" s="318">
        <f t="shared" si="171"/>
        <v>0.61861962643593249</v>
      </c>
      <c r="L125" s="318">
        <f t="shared" si="171"/>
        <v>1.1186196264359325</v>
      </c>
      <c r="M125" s="318">
        <f t="shared" si="171"/>
        <v>1.1640741718904779</v>
      </c>
      <c r="N125" s="318">
        <f t="shared" si="171"/>
        <v>-6.1813803735640676</v>
      </c>
      <c r="O125" s="318">
        <f t="shared" si="171"/>
        <v>1.2780210377538292E-2</v>
      </c>
      <c r="P125" s="318">
        <f t="shared" si="171"/>
        <v>0.45357108274661218</v>
      </c>
      <c r="Q125" s="318">
        <f t="shared" si="171"/>
        <v>-2.6670946592783533</v>
      </c>
      <c r="R125" s="318">
        <f>$B$124-R124</f>
        <v>-1.714713706897401</v>
      </c>
      <c r="S125" s="318">
        <f>$B$124-S124</f>
        <v>0.60412687281274402</v>
      </c>
      <c r="T125" s="318">
        <f t="shared" ref="T125:AA125" si="172">$B$124-T124</f>
        <v>0.71861962643593247</v>
      </c>
      <c r="U125" s="318">
        <f t="shared" si="172"/>
        <v>1.4056656351457506</v>
      </c>
      <c r="V125" s="318">
        <f t="shared" si="172"/>
        <v>0.78063079962029003</v>
      </c>
      <c r="W125" s="318">
        <f t="shared" si="172"/>
        <v>-0.79998502472685806</v>
      </c>
      <c r="X125" s="318">
        <f t="shared" si="172"/>
        <v>0.99361962643593249</v>
      </c>
      <c r="Y125" s="318">
        <f t="shared" si="172"/>
        <v>-3.485449834350371</v>
      </c>
      <c r="Z125" s="318">
        <f t="shared" si="172"/>
        <v>0.45357108274661218</v>
      </c>
      <c r="AA125" s="318">
        <f t="shared" si="172"/>
        <v>-0.70404969444971477</v>
      </c>
    </row>
    <row r="126" spans="1:27">
      <c r="A126" s="334"/>
      <c r="B126" s="334"/>
      <c r="C126" s="318">
        <f t="shared" ref="C126" si="173">$B$125*C125</f>
        <v>-59.723765962220639</v>
      </c>
      <c r="D126" s="318">
        <f>$B$125*D125</f>
        <v>-165.55839957059277</v>
      </c>
      <c r="E126" s="318">
        <f>$B$125*E125</f>
        <v>-51.306800423471188</v>
      </c>
      <c r="G126" s="318">
        <f t="shared" ref="G126:Q126" si="174">$B$125*G125</f>
        <v>360.60229048561968</v>
      </c>
      <c r="H126" s="318">
        <f t="shared" si="174"/>
        <v>38.907084981338549</v>
      </c>
      <c r="I126" s="318">
        <f t="shared" si="174"/>
        <v>341.94386522886811</v>
      </c>
      <c r="J126" s="318">
        <f t="shared" si="174"/>
        <v>-259.38786959662434</v>
      </c>
      <c r="K126" s="318">
        <f t="shared" si="174"/>
        <v>199.42047230380152</v>
      </c>
      <c r="L126" s="318">
        <f t="shared" si="174"/>
        <v>360.60229048561968</v>
      </c>
      <c r="M126" s="318">
        <f t="shared" si="174"/>
        <v>375.25518304760317</v>
      </c>
      <c r="N126" s="318">
        <f t="shared" si="174"/>
        <v>-1992.6522549689259</v>
      </c>
      <c r="O126" s="318">
        <f t="shared" si="174"/>
        <v>4.1198750907955262</v>
      </c>
      <c r="P126" s="318">
        <f t="shared" si="174"/>
        <v>146.21482358358972</v>
      </c>
      <c r="Q126" s="318">
        <f t="shared" si="174"/>
        <v>-859.77433289100372</v>
      </c>
      <c r="R126" s="318">
        <f>$B$125*R125</f>
        <v>-552.76134587801675</v>
      </c>
      <c r="S126" s="318">
        <f>$B$125*S125</f>
        <v>194.74853554490821</v>
      </c>
      <c r="T126" s="318">
        <f t="shared" ref="T126:AA126" si="175">$B$125*T125</f>
        <v>231.65683594016514</v>
      </c>
      <c r="U126" s="318">
        <f t="shared" si="175"/>
        <v>453.13548565698471</v>
      </c>
      <c r="V126" s="318">
        <f t="shared" si="175"/>
        <v>251.64698322304986</v>
      </c>
      <c r="W126" s="318">
        <f t="shared" si="175"/>
        <v>-257.88608160740353</v>
      </c>
      <c r="X126" s="318">
        <f t="shared" si="175"/>
        <v>320.30683594016517</v>
      </c>
      <c r="Y126" s="318">
        <f t="shared" si="175"/>
        <v>-1123.5822829642198</v>
      </c>
      <c r="Z126" s="318">
        <f t="shared" si="175"/>
        <v>146.21482358358972</v>
      </c>
      <c r="AA126" s="318">
        <f t="shared" si="175"/>
        <v>-226.96001968351715</v>
      </c>
    </row>
    <row r="127" spans="1:27">
      <c r="A127" s="334"/>
      <c r="B127" s="334"/>
      <c r="C127" s="325">
        <f t="shared" ref="C127" si="176">C126*долл</f>
        <v>-5222.8433333961948</v>
      </c>
      <c r="D127" s="325">
        <f>D126*долл</f>
        <v>-14478.082042448337</v>
      </c>
      <c r="E127" s="325">
        <f>E126*долл</f>
        <v>-4486.7796970325553</v>
      </c>
      <c r="G127" s="325">
        <f t="shared" ref="G127:Q127" si="177">G126*долл</f>
        <v>31534.670302967443</v>
      </c>
      <c r="H127" s="325">
        <f t="shared" si="177"/>
        <v>3402.4245816180564</v>
      </c>
      <c r="I127" s="325">
        <f t="shared" si="177"/>
        <v>29902.991014264517</v>
      </c>
      <c r="J127" s="325">
        <f t="shared" si="177"/>
        <v>-22683.4691962248</v>
      </c>
      <c r="K127" s="325">
        <f t="shared" si="177"/>
        <v>17439.320302967444</v>
      </c>
      <c r="L127" s="325">
        <f t="shared" si="177"/>
        <v>31534.670302967443</v>
      </c>
      <c r="M127" s="325">
        <f t="shared" si="177"/>
        <v>32816.065757512901</v>
      </c>
      <c r="N127" s="325">
        <f t="shared" si="177"/>
        <v>-174257.43969703259</v>
      </c>
      <c r="O127" s="325">
        <f t="shared" si="177"/>
        <v>360.28307669006875</v>
      </c>
      <c r="P127" s="325">
        <f t="shared" si="177"/>
        <v>12786.486322384921</v>
      </c>
      <c r="Q127" s="325">
        <f t="shared" si="177"/>
        <v>-75187.26541131828</v>
      </c>
      <c r="R127" s="325">
        <f>R126*долл</f>
        <v>-48338.97969703257</v>
      </c>
      <c r="S127" s="325">
        <f>S126*долл</f>
        <v>17030.759433402225</v>
      </c>
      <c r="T127" s="325">
        <f t="shared" ref="T127:AA127" si="178">T126*долл</f>
        <v>20258.39030296744</v>
      </c>
      <c r="U127" s="325">
        <f t="shared" si="178"/>
        <v>39626.698220703314</v>
      </c>
      <c r="V127" s="325">
        <f t="shared" si="178"/>
        <v>22006.528682855711</v>
      </c>
      <c r="W127" s="325">
        <f t="shared" si="178"/>
        <v>-22552.137836567439</v>
      </c>
      <c r="X127" s="325">
        <f t="shared" si="178"/>
        <v>28010.832802967445</v>
      </c>
      <c r="Y127" s="325">
        <f t="shared" si="178"/>
        <v>-98257.270645221026</v>
      </c>
      <c r="Z127" s="325">
        <f t="shared" si="178"/>
        <v>12786.486322384921</v>
      </c>
      <c r="AA127" s="325">
        <f t="shared" si="178"/>
        <v>-19847.653721323575</v>
      </c>
    </row>
    <row r="128" spans="1:27">
      <c r="A128" s="334"/>
      <c r="B128" s="334"/>
      <c r="C128" s="326">
        <f>1+C127/C69</f>
        <v>0.91764304526572849</v>
      </c>
      <c r="D128" s="326">
        <f>1+D127/D69</f>
        <v>0.82210588130845808</v>
      </c>
      <c r="E128" s="326">
        <f>1+E127/E69</f>
        <v>0.92677462951502421</v>
      </c>
      <c r="G128" s="326">
        <f t="shared" ref="G128:AA128" si="179">1+G127/G69</f>
        <v>1.818308096357697</v>
      </c>
      <c r="H128" s="326">
        <f t="shared" si="179"/>
        <v>1.0636122833217854</v>
      </c>
      <c r="I128" s="326">
        <f t="shared" si="179"/>
        <v>1.3425493503882155</v>
      </c>
      <c r="J128" s="326">
        <f t="shared" si="179"/>
        <v>0.65638563182880105</v>
      </c>
      <c r="K128" s="326">
        <f t="shared" si="179"/>
        <v>1.1937067793659031</v>
      </c>
      <c r="L128" s="326">
        <f t="shared" si="179"/>
        <v>1.2208414603569209</v>
      </c>
      <c r="M128" s="326">
        <f t="shared" si="179"/>
        <v>1.5426877626456843</v>
      </c>
      <c r="N128" s="326">
        <f t="shared" si="179"/>
        <v>8.7768177523800395E-2</v>
      </c>
      <c r="O128" s="326">
        <f t="shared" si="179"/>
        <v>1.006190911866055</v>
      </c>
      <c r="P128" s="326">
        <f t="shared" si="179"/>
        <v>1.2839355670654427</v>
      </c>
      <c r="Q128" s="326">
        <f t="shared" si="179"/>
        <v>0.42065118472918683</v>
      </c>
      <c r="R128" s="326">
        <f t="shared" si="179"/>
        <v>0.63871807458953156</v>
      </c>
      <c r="S128" s="326">
        <f t="shared" si="179"/>
        <v>1.4032907848919167</v>
      </c>
      <c r="T128" s="326">
        <f t="shared" si="179"/>
        <v>1.3536754226272387</v>
      </c>
      <c r="U128" s="326">
        <f t="shared" si="179"/>
        <v>4.7777849647537121</v>
      </c>
      <c r="V128" s="326">
        <f t="shared" si="179"/>
        <v>1.2969829628817209</v>
      </c>
      <c r="W128" s="326">
        <f t="shared" si="179"/>
        <v>0.58012946263622434</v>
      </c>
      <c r="X128" s="326">
        <f t="shared" si="179"/>
        <v>1.6339849028886224</v>
      </c>
      <c r="Y128" s="326">
        <f t="shared" si="179"/>
        <v>-0.37248862600714649</v>
      </c>
      <c r="Z128" s="326">
        <f t="shared" si="179"/>
        <v>1.3014663379959837</v>
      </c>
      <c r="AA128" s="326">
        <f t="shared" si="179"/>
        <v>0.50906186787169339</v>
      </c>
    </row>
    <row r="129" spans="1:27">
      <c r="A129" s="335"/>
      <c r="B129" s="336"/>
      <c r="C129" s="337"/>
      <c r="D129" s="337"/>
      <c r="E129" s="337"/>
      <c r="G129" s="337"/>
      <c r="H129" s="337"/>
      <c r="I129" s="337"/>
      <c r="J129" s="337"/>
      <c r="K129" s="337"/>
      <c r="L129" s="337"/>
      <c r="M129" s="337"/>
      <c r="N129" s="337"/>
      <c r="O129" s="337"/>
      <c r="P129" s="337"/>
      <c r="Q129" s="337"/>
      <c r="R129" s="337"/>
      <c r="S129" s="337"/>
      <c r="T129" s="337"/>
      <c r="U129" s="337"/>
      <c r="V129" s="337"/>
      <c r="W129" s="337"/>
      <c r="X129" s="337"/>
      <c r="Y129" s="337"/>
      <c r="Z129" s="337"/>
      <c r="AA129" s="337"/>
    </row>
    <row r="130" spans="1:27" ht="18">
      <c r="A130" s="338" t="s">
        <v>286</v>
      </c>
      <c r="B130" s="339">
        <v>0.02</v>
      </c>
      <c r="C130" s="340">
        <f>C127/C69</f>
        <v>-8.235695473427157E-2</v>
      </c>
      <c r="D130" s="340">
        <f>D127/D69</f>
        <v>-0.1778941186915419</v>
      </c>
      <c r="E130" s="340">
        <f>E127/E69</f>
        <v>-7.322537048497578E-2</v>
      </c>
      <c r="G130" s="340">
        <f t="shared" ref="G130:AA130" si="180">G127/G69</f>
        <v>0.81830809635769708</v>
      </c>
      <c r="H130" s="340">
        <f t="shared" si="180"/>
        <v>6.3612283321785326E-2</v>
      </c>
      <c r="I130" s="340">
        <f t="shared" si="180"/>
        <v>0.3425493503882156</v>
      </c>
      <c r="J130" s="340">
        <f t="shared" si="180"/>
        <v>-0.34361436817119889</v>
      </c>
      <c r="K130" s="340">
        <f t="shared" si="180"/>
        <v>0.19370677936590303</v>
      </c>
      <c r="L130" s="340">
        <f t="shared" si="180"/>
        <v>0.22084146035692087</v>
      </c>
      <c r="M130" s="340">
        <f t="shared" si="180"/>
        <v>0.54268776264568441</v>
      </c>
      <c r="N130" s="340">
        <f t="shared" si="180"/>
        <v>-0.91223182247619961</v>
      </c>
      <c r="O130" s="340">
        <f t="shared" si="180"/>
        <v>6.1909118660550821E-3</v>
      </c>
      <c r="P130" s="340">
        <f t="shared" si="180"/>
        <v>0.28393556706544276</v>
      </c>
      <c r="Q130" s="340">
        <f t="shared" si="180"/>
        <v>-0.57934881527081317</v>
      </c>
      <c r="R130" s="340">
        <f t="shared" si="180"/>
        <v>-0.3612819254104685</v>
      </c>
      <c r="S130" s="340">
        <f t="shared" si="180"/>
        <v>0.40329078489191678</v>
      </c>
      <c r="T130" s="340">
        <f t="shared" si="180"/>
        <v>0.35367542262723872</v>
      </c>
      <c r="U130" s="340">
        <f t="shared" si="180"/>
        <v>3.7777849647537116</v>
      </c>
      <c r="V130" s="340">
        <f t="shared" si="180"/>
        <v>0.29698296288172077</v>
      </c>
      <c r="W130" s="340">
        <f t="shared" si="180"/>
        <v>-0.41987053736377561</v>
      </c>
      <c r="X130" s="340">
        <f t="shared" si="180"/>
        <v>0.63398490288862253</v>
      </c>
      <c r="Y130" s="340">
        <f t="shared" si="180"/>
        <v>-1.3724886260071465</v>
      </c>
      <c r="Z130" s="340">
        <f t="shared" si="180"/>
        <v>0.30146633799598377</v>
      </c>
      <c r="AA130" s="340">
        <f t="shared" si="180"/>
        <v>-0.49093813212830667</v>
      </c>
    </row>
    <row r="131" spans="1:27" ht="20.25">
      <c r="A131" s="341" t="s">
        <v>493</v>
      </c>
      <c r="B131" s="342">
        <v>0.4</v>
      </c>
      <c r="C131" s="343">
        <f t="shared" ref="C131" si="181">MROUND((1+C130)^$B$131,$B$130)</f>
        <v>0.96</v>
      </c>
      <c r="D131" s="343">
        <f>MROUND((1+D130)^$B$131,$B$130)</f>
        <v>0.92</v>
      </c>
      <c r="E131" s="343">
        <f>MROUND((1+E130)^$B$131,$B$130)</f>
        <v>0.98</v>
      </c>
      <c r="G131" s="343">
        <f t="shared" ref="G131:Q131" si="182">MROUND((1+G130)^$B$131,$B$130)</f>
        <v>1.28</v>
      </c>
      <c r="H131" s="343">
        <f t="shared" si="182"/>
        <v>1.02</v>
      </c>
      <c r="I131" s="343">
        <f t="shared" si="182"/>
        <v>1.1200000000000001</v>
      </c>
      <c r="J131" s="343">
        <f t="shared" si="182"/>
        <v>0.84</v>
      </c>
      <c r="K131" s="343">
        <f t="shared" si="182"/>
        <v>1.08</v>
      </c>
      <c r="L131" s="343">
        <f t="shared" si="182"/>
        <v>1.08</v>
      </c>
      <c r="M131" s="343">
        <f t="shared" si="182"/>
        <v>1.18</v>
      </c>
      <c r="N131" s="343">
        <f t="shared" si="182"/>
        <v>0.38</v>
      </c>
      <c r="O131" s="343">
        <f t="shared" si="182"/>
        <v>1</v>
      </c>
      <c r="P131" s="343">
        <f t="shared" si="182"/>
        <v>1.1000000000000001</v>
      </c>
      <c r="Q131" s="343">
        <f t="shared" si="182"/>
        <v>0.70000000000000007</v>
      </c>
      <c r="R131" s="343">
        <f>MROUND((1+R130)^$B$131,$B$130)</f>
        <v>0.84</v>
      </c>
      <c r="S131" s="343">
        <f>MROUND((1+S130)^$B$131,$B$130)</f>
        <v>1.1400000000000001</v>
      </c>
      <c r="T131" s="343">
        <f t="shared" ref="T131:AA131" si="183">MROUND((1+T130)^$B$131,$B$130)</f>
        <v>1.1200000000000001</v>
      </c>
      <c r="U131" s="343">
        <f t="shared" si="183"/>
        <v>1.86</v>
      </c>
      <c r="V131" s="343">
        <f t="shared" si="183"/>
        <v>1.1000000000000001</v>
      </c>
      <c r="W131" s="343">
        <f t="shared" si="183"/>
        <v>0.8</v>
      </c>
      <c r="X131" s="343">
        <f t="shared" si="183"/>
        <v>1.22</v>
      </c>
      <c r="Y131" s="343" t="e">
        <f t="shared" si="183"/>
        <v>#NUM!</v>
      </c>
      <c r="Z131" s="343">
        <f t="shared" si="183"/>
        <v>1.1200000000000001</v>
      </c>
      <c r="AA131" s="343">
        <f t="shared" si="183"/>
        <v>0.76</v>
      </c>
    </row>
    <row r="132" spans="1:27" ht="15.75">
      <c r="A132" s="256" t="s">
        <v>287</v>
      </c>
      <c r="B132" s="257">
        <v>0</v>
      </c>
    </row>
    <row r="133" spans="1:27" ht="15.75">
      <c r="A133" s="258" t="s">
        <v>289</v>
      </c>
      <c r="B133" s="259">
        <v>0.3</v>
      </c>
    </row>
    <row r="134" spans="1:27" ht="15.75">
      <c r="A134" s="258" t="s">
        <v>291</v>
      </c>
      <c r="B134" s="259">
        <v>0.5</v>
      </c>
    </row>
    <row r="135" spans="1:27" ht="15.75">
      <c r="A135" s="258" t="s">
        <v>293</v>
      </c>
      <c r="B135" s="259">
        <v>0.7</v>
      </c>
    </row>
    <row r="136" spans="1:27" ht="15.75">
      <c r="A136" s="256" t="s">
        <v>295</v>
      </c>
      <c r="B136" s="257">
        <v>1</v>
      </c>
    </row>
    <row r="137" spans="1:27" ht="15.75">
      <c r="A137" s="257">
        <v>0</v>
      </c>
      <c r="B137" s="344" t="s">
        <v>359</v>
      </c>
    </row>
    <row r="138" spans="1:27" ht="15.75">
      <c r="A138" s="259">
        <v>0.3</v>
      </c>
      <c r="B138" s="345" t="s">
        <v>360</v>
      </c>
    </row>
    <row r="139" spans="1:27" ht="15.75">
      <c r="A139" s="259">
        <v>0.5</v>
      </c>
      <c r="B139" s="345" t="s">
        <v>361</v>
      </c>
    </row>
    <row r="140" spans="1:27" ht="15.75">
      <c r="A140" s="259">
        <v>0.7</v>
      </c>
      <c r="B140" s="345" t="s">
        <v>362</v>
      </c>
    </row>
    <row r="141" spans="1:27" ht="15.75">
      <c r="A141" s="257">
        <v>1</v>
      </c>
      <c r="B141" s="344" t="s">
        <v>363</v>
      </c>
    </row>
  </sheetData>
  <hyperlinks>
    <hyperlink ref="Z4" r:id="rId1" xr:uid="{3106B2A5-D9E4-4EE3-9B02-B99A944B6134}"/>
    <hyperlink ref="AA4" r:id="rId2" xr:uid="{BA1034A3-6981-4526-BEDB-B5D382BBD475}"/>
    <hyperlink ref="S4" r:id="rId3" xr:uid="{13B647B8-598D-4908-A807-3179362C64D7}"/>
    <hyperlink ref="J4" r:id="rId4" xr:uid="{556136D8-D3DC-4795-8D0C-4322BF049711}"/>
    <hyperlink ref="R4" r:id="rId5" xr:uid="{8FC150CA-E608-4EEE-8D6D-064F8AD1FABE}"/>
    <hyperlink ref="P4" r:id="rId6" xr:uid="{F2FB850B-17AF-4AB4-AE58-C47D77BD6B01}"/>
    <hyperlink ref="H4" r:id="rId7" xr:uid="{7C4DEC11-23C0-49E4-81D1-5188C3AC2094}"/>
    <hyperlink ref="O4" r:id="rId8" xr:uid="{D12C9CF6-37A7-455D-B9E3-92277F824451}"/>
    <hyperlink ref="C4" r:id="rId9" xr:uid="{7374F8CE-2C31-4938-A5F5-1542C1E48CC5}"/>
    <hyperlink ref="G4" r:id="rId10" xr:uid="{4E915168-F296-4322-914F-653F2862B52F}"/>
    <hyperlink ref="I4" r:id="rId11" xr:uid="{D06DA3E3-D9AD-44DB-BE34-9CA2FB6526FF}"/>
    <hyperlink ref="D4" r:id="rId12" xr:uid="{2EFF1502-E97C-4A38-92AE-72AB8204244F}"/>
    <hyperlink ref="E3" r:id="rId13" xr:uid="{68E0A0DC-60B3-4DE5-8F7B-0E181C79FDD5}"/>
    <hyperlink ref="E2" r:id="rId14" xr:uid="{FC866245-61A5-4B5D-8C82-99C32351CF40}"/>
    <hyperlink ref="E4" r:id="rId15" xr:uid="{0442F4F4-262E-4DD5-8B36-423A7974F6EA}"/>
  </hyperlinks>
  <pageMargins left="0.7" right="0.7" top="0.75" bottom="0.75" header="0.3" footer="0.3"/>
  <pageSetup paperSize="9" orientation="portrait" verticalDpi="300" r:id="rId16"/>
  <legacyDrawing r:id="rId1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8CB-5ECC-4A5A-9EB1-92F1C0FC0E24}">
  <sheetPr>
    <tabColor theme="8" tint="-0.249977111117893"/>
  </sheetPr>
  <dimension ref="A1:AA127"/>
  <sheetViews>
    <sheetView topLeftCell="A29" zoomScale="85" zoomScaleNormal="85" workbookViewId="0">
      <selection activeCell="D4" sqref="D4"/>
    </sheetView>
  </sheetViews>
  <sheetFormatPr defaultRowHeight="12.75" outlineLevelRow="1"/>
  <cols>
    <col min="1" max="1" width="50.125" style="260" bestFit="1" customWidth="1"/>
    <col min="2" max="5" width="39.75" style="260" customWidth="1"/>
    <col min="6" max="6" width="9" style="76"/>
    <col min="7" max="7" width="38.625" style="260" customWidth="1"/>
    <col min="8" max="8" width="34.125" style="260" customWidth="1"/>
    <col min="9" max="9" width="38.625" style="260" customWidth="1"/>
    <col min="10" max="10" width="30.5" style="260" customWidth="1"/>
    <col min="11" max="16" width="34.125" style="260" customWidth="1"/>
    <col min="17" max="18" width="32.875" style="260" customWidth="1"/>
    <col min="19" max="27" width="30.5" style="260" customWidth="1"/>
    <col min="28" max="216" width="9" style="260"/>
    <col min="217" max="217" width="41.25" style="260" customWidth="1"/>
    <col min="218" max="218" width="22.375" style="260" customWidth="1"/>
    <col min="219" max="222" width="17.875" style="260" customWidth="1"/>
    <col min="223" max="223" width="16.25" style="260" customWidth="1"/>
    <col min="224" max="225" width="17.875" style="260" customWidth="1"/>
    <col min="226" max="16384" width="9" style="260"/>
  </cols>
  <sheetData>
    <row r="1" spans="1:27">
      <c r="E1" s="260" t="s">
        <v>368</v>
      </c>
      <c r="H1" s="278"/>
    </row>
    <row r="2" spans="1:27">
      <c r="C2" s="279"/>
      <c r="E2" s="280" t="s">
        <v>369</v>
      </c>
      <c r="G2" s="260" t="s">
        <v>370</v>
      </c>
      <c r="H2" s="278"/>
      <c r="J2" s="279" t="s">
        <v>371</v>
      </c>
      <c r="P2" s="279"/>
      <c r="Q2" s="279"/>
      <c r="T2" s="279"/>
      <c r="W2" s="279"/>
    </row>
    <row r="3" spans="1:27" ht="13.5">
      <c r="B3" s="281"/>
      <c r="C3" s="279" t="s">
        <v>315</v>
      </c>
      <c r="D3" s="279" t="s">
        <v>323</v>
      </c>
      <c r="E3" s="86" t="s">
        <v>142</v>
      </c>
      <c r="G3" s="279" t="s">
        <v>314</v>
      </c>
      <c r="H3" s="278"/>
      <c r="I3" s="279" t="s">
        <v>320</v>
      </c>
      <c r="J3" s="260" t="s">
        <v>316</v>
      </c>
      <c r="K3" s="279" t="s">
        <v>318</v>
      </c>
      <c r="L3" s="279" t="s">
        <v>317</v>
      </c>
      <c r="M3" s="279" t="s">
        <v>321</v>
      </c>
      <c r="N3" s="279" t="s">
        <v>322</v>
      </c>
      <c r="P3" s="76" t="s">
        <v>372</v>
      </c>
      <c r="Q3" s="260" t="s">
        <v>124</v>
      </c>
      <c r="R3" s="260" t="s">
        <v>126</v>
      </c>
      <c r="S3" s="282"/>
      <c r="T3" s="260" t="s">
        <v>123</v>
      </c>
      <c r="U3" s="282"/>
      <c r="X3" s="282"/>
    </row>
    <row r="4" spans="1:27" ht="18" customHeight="1">
      <c r="A4" s="283"/>
      <c r="B4" s="281"/>
      <c r="C4" s="200" t="s">
        <v>152</v>
      </c>
      <c r="D4" s="86" t="s">
        <v>325</v>
      </c>
      <c r="E4" s="86" t="s">
        <v>157</v>
      </c>
      <c r="G4" s="200" t="s">
        <v>373</v>
      </c>
      <c r="H4" s="284" t="s">
        <v>374</v>
      </c>
      <c r="I4" s="200" t="s">
        <v>375</v>
      </c>
      <c r="J4" s="200" t="s">
        <v>324</v>
      </c>
      <c r="K4" s="200" t="s">
        <v>376</v>
      </c>
      <c r="L4" s="200" t="s">
        <v>377</v>
      </c>
      <c r="M4" s="200" t="s">
        <v>378</v>
      </c>
      <c r="N4" s="200" t="s">
        <v>379</v>
      </c>
      <c r="O4" s="86" t="s">
        <v>380</v>
      </c>
      <c r="P4" s="200" t="s">
        <v>381</v>
      </c>
      <c r="Q4" s="200"/>
      <c r="R4" s="200" t="s">
        <v>382</v>
      </c>
      <c r="S4" s="200" t="s">
        <v>383</v>
      </c>
      <c r="T4" s="200"/>
      <c r="U4" s="282"/>
      <c r="V4" s="200"/>
      <c r="W4" s="200"/>
      <c r="X4" s="282"/>
      <c r="Y4" s="200"/>
      <c r="Z4" s="280" t="s">
        <v>381</v>
      </c>
      <c r="AA4" s="86" t="s">
        <v>384</v>
      </c>
    </row>
    <row r="5" spans="1:27">
      <c r="A5" s="87" t="s">
        <v>158</v>
      </c>
      <c r="B5" s="87" t="s">
        <v>159</v>
      </c>
      <c r="C5" s="87" t="s">
        <v>123</v>
      </c>
      <c r="D5" s="87" t="s">
        <v>124</v>
      </c>
      <c r="E5" s="87" t="s">
        <v>126</v>
      </c>
      <c r="G5" s="87" t="s">
        <v>124</v>
      </c>
      <c r="H5" s="87" t="s">
        <v>126</v>
      </c>
      <c r="I5" s="87" t="s">
        <v>126</v>
      </c>
      <c r="J5" s="87" t="s">
        <v>127</v>
      </c>
      <c r="K5" s="87" t="s">
        <v>124</v>
      </c>
      <c r="L5" s="87" t="s">
        <v>127</v>
      </c>
      <c r="M5" s="87" t="s">
        <v>124</v>
      </c>
      <c r="N5" s="87" t="s">
        <v>124</v>
      </c>
      <c r="O5" s="87" t="s">
        <v>127</v>
      </c>
      <c r="P5" s="87" t="s">
        <v>124</v>
      </c>
      <c r="Q5" s="87" t="s">
        <v>124</v>
      </c>
      <c r="R5" s="87" t="s">
        <v>126</v>
      </c>
      <c r="S5" s="87" t="s">
        <v>124</v>
      </c>
      <c r="T5" s="87" t="s">
        <v>123</v>
      </c>
      <c r="U5" s="87" t="s">
        <v>124</v>
      </c>
      <c r="V5" s="87" t="s">
        <v>126</v>
      </c>
      <c r="W5" s="87" t="s">
        <v>123</v>
      </c>
      <c r="X5" s="87" t="s">
        <v>124</v>
      </c>
      <c r="Y5" s="87" t="s">
        <v>126</v>
      </c>
      <c r="Z5" s="87" t="s">
        <v>124</v>
      </c>
      <c r="AA5" s="87" t="s">
        <v>126</v>
      </c>
    </row>
    <row r="6" spans="1:27">
      <c r="A6" s="88" t="s">
        <v>160</v>
      </c>
      <c r="B6" s="89" t="e">
        <f>дата_оц</f>
        <v>#NAME?</v>
      </c>
      <c r="C6" s="89" t="e">
        <f t="shared" ref="C6:P6" si="0">дата_оц</f>
        <v>#NAME?</v>
      </c>
      <c r="D6" s="89" t="e">
        <f t="shared" ref="D6:N6" si="1">дата_оц</f>
        <v>#NAME?</v>
      </c>
      <c r="E6" s="89" t="e">
        <f>дата_оц</f>
        <v>#NAME?</v>
      </c>
      <c r="G6" s="89" t="e">
        <f t="shared" si="1"/>
        <v>#NAME?</v>
      </c>
      <c r="H6" s="89" t="e">
        <f>дата_оц</f>
        <v>#NAME?</v>
      </c>
      <c r="I6" s="89" t="e">
        <f t="shared" si="1"/>
        <v>#NAME?</v>
      </c>
      <c r="J6" s="89" t="e">
        <f t="shared" ref="J6" si="2">дата_оц</f>
        <v>#NAME?</v>
      </c>
      <c r="K6" s="89" t="e">
        <f t="shared" si="1"/>
        <v>#NAME?</v>
      </c>
      <c r="L6" s="89" t="e">
        <f t="shared" si="1"/>
        <v>#NAME?</v>
      </c>
      <c r="M6" s="89" t="e">
        <f t="shared" si="1"/>
        <v>#NAME?</v>
      </c>
      <c r="N6" s="89" t="e">
        <f t="shared" si="1"/>
        <v>#NAME?</v>
      </c>
      <c r="O6" s="89" t="e">
        <f>дата_оц</f>
        <v>#NAME?</v>
      </c>
      <c r="P6" s="89" t="e">
        <f t="shared" si="0"/>
        <v>#NAME?</v>
      </c>
      <c r="Q6" s="89" t="e">
        <f t="shared" ref="Q6" si="3">дата_оц</f>
        <v>#NAME?</v>
      </c>
      <c r="R6" s="89" t="e">
        <f>дата_оц</f>
        <v>#NAME?</v>
      </c>
      <c r="S6" s="89" t="e">
        <f>дата_оц</f>
        <v>#NAME?</v>
      </c>
      <c r="T6" s="89" t="e">
        <f t="shared" ref="T6" si="4">дата_оц</f>
        <v>#NAME?</v>
      </c>
      <c r="U6" s="89" t="e">
        <f>дата_оц</f>
        <v>#NAME?</v>
      </c>
      <c r="V6" s="89" t="e">
        <f>дата_оц</f>
        <v>#NAME?</v>
      </c>
      <c r="W6" s="89" t="e">
        <f t="shared" ref="W6" si="5">дата_оц</f>
        <v>#NAME?</v>
      </c>
      <c r="X6" s="89" t="e">
        <f>дата_оц</f>
        <v>#NAME?</v>
      </c>
      <c r="Y6" s="89" t="e">
        <f>дата_оц</f>
        <v>#NAME?</v>
      </c>
      <c r="Z6" s="89" t="e">
        <f>дата_оц</f>
        <v>#NAME?</v>
      </c>
      <c r="AA6" s="89" t="e">
        <f>дата_оц</f>
        <v>#NAME?</v>
      </c>
    </row>
    <row r="7" spans="1:27">
      <c r="A7" s="88" t="s">
        <v>161</v>
      </c>
      <c r="B7" s="90"/>
      <c r="C7" s="91" t="s">
        <v>163</v>
      </c>
      <c r="D7" s="98" t="s">
        <v>329</v>
      </c>
      <c r="E7" s="93" t="s">
        <v>385</v>
      </c>
      <c r="G7" s="92" t="s">
        <v>386</v>
      </c>
      <c r="H7" s="91" t="s">
        <v>387</v>
      </c>
      <c r="I7" s="92" t="s">
        <v>388</v>
      </c>
      <c r="J7" s="97" t="s">
        <v>328</v>
      </c>
      <c r="K7" s="92" t="s">
        <v>389</v>
      </c>
      <c r="L7" s="92" t="s">
        <v>390</v>
      </c>
      <c r="M7" s="92" t="s">
        <v>391</v>
      </c>
      <c r="N7" s="92" t="s">
        <v>392</v>
      </c>
      <c r="O7" s="91" t="s">
        <v>393</v>
      </c>
      <c r="P7" s="91" t="s">
        <v>394</v>
      </c>
      <c r="Q7" s="118" t="s">
        <v>395</v>
      </c>
      <c r="R7" s="98" t="s">
        <v>396</v>
      </c>
      <c r="S7" s="118" t="s">
        <v>397</v>
      </c>
      <c r="T7" s="201" t="s">
        <v>398</v>
      </c>
      <c r="U7" s="118" t="s">
        <v>163</v>
      </c>
      <c r="V7" s="98" t="s">
        <v>399</v>
      </c>
      <c r="W7" s="98" t="s">
        <v>400</v>
      </c>
      <c r="X7" s="92" t="s">
        <v>386</v>
      </c>
      <c r="Y7" s="92" t="s">
        <v>401</v>
      </c>
      <c r="Z7" s="98" t="s">
        <v>394</v>
      </c>
      <c r="AA7" s="98" t="s">
        <v>402</v>
      </c>
    </row>
    <row r="8" spans="1:27">
      <c r="A8" s="88" t="s">
        <v>169</v>
      </c>
      <c r="B8" s="94" t="s">
        <v>170</v>
      </c>
      <c r="C8" s="94" t="s">
        <v>170</v>
      </c>
      <c r="D8" s="94" t="s">
        <v>170</v>
      </c>
      <c r="E8" s="94" t="s">
        <v>170</v>
      </c>
      <c r="G8" s="94" t="s">
        <v>170</v>
      </c>
      <c r="H8" s="94" t="s">
        <v>170</v>
      </c>
      <c r="I8" s="94" t="s">
        <v>170</v>
      </c>
      <c r="J8" s="94" t="s">
        <v>170</v>
      </c>
      <c r="K8" s="94" t="s">
        <v>170</v>
      </c>
      <c r="L8" s="94" t="s">
        <v>170</v>
      </c>
      <c r="M8" s="94" t="s">
        <v>170</v>
      </c>
      <c r="N8" s="94" t="s">
        <v>170</v>
      </c>
      <c r="O8" s="94" t="s">
        <v>170</v>
      </c>
      <c r="P8" s="93" t="s">
        <v>170</v>
      </c>
      <c r="Q8" s="94" t="s">
        <v>170</v>
      </c>
      <c r="R8" s="94" t="s">
        <v>170</v>
      </c>
      <c r="S8" s="94" t="s">
        <v>170</v>
      </c>
      <c r="T8" s="94" t="s">
        <v>170</v>
      </c>
      <c r="U8" s="94" t="s">
        <v>170</v>
      </c>
      <c r="V8" s="94" t="s">
        <v>170</v>
      </c>
      <c r="W8" s="94" t="s">
        <v>170</v>
      </c>
      <c r="X8" s="94" t="s">
        <v>170</v>
      </c>
      <c r="Y8" s="94" t="s">
        <v>170</v>
      </c>
      <c r="Z8" s="94" t="s">
        <v>170</v>
      </c>
      <c r="AA8" s="94" t="s">
        <v>170</v>
      </c>
    </row>
    <row r="9" spans="1:27" ht="38.25">
      <c r="A9" s="88" t="s">
        <v>172</v>
      </c>
      <c r="B9" s="93" t="s">
        <v>494</v>
      </c>
      <c r="C9" s="98" t="s">
        <v>174</v>
      </c>
      <c r="D9" s="97" t="s">
        <v>333</v>
      </c>
      <c r="E9" s="99" t="s">
        <v>179</v>
      </c>
      <c r="G9" s="96" t="s">
        <v>403</v>
      </c>
      <c r="H9" s="97" t="s">
        <v>404</v>
      </c>
      <c r="I9" s="96" t="s">
        <v>405</v>
      </c>
      <c r="J9" s="202" t="s">
        <v>307</v>
      </c>
      <c r="K9" s="96" t="s">
        <v>406</v>
      </c>
      <c r="L9" s="96" t="s">
        <v>407</v>
      </c>
      <c r="M9" s="96" t="s">
        <v>408</v>
      </c>
      <c r="N9" s="96" t="s">
        <v>409</v>
      </c>
      <c r="O9" s="98" t="s">
        <v>410</v>
      </c>
      <c r="P9" s="98" t="s">
        <v>411</v>
      </c>
      <c r="Q9" s="101" t="s">
        <v>412</v>
      </c>
      <c r="R9" s="96" t="s">
        <v>413</v>
      </c>
      <c r="S9" s="101" t="s">
        <v>414</v>
      </c>
      <c r="T9" s="97" t="s">
        <v>415</v>
      </c>
      <c r="U9" s="101" t="s">
        <v>416</v>
      </c>
      <c r="V9" s="285" t="s">
        <v>417</v>
      </c>
      <c r="W9" s="98" t="s">
        <v>418</v>
      </c>
      <c r="X9" s="96" t="s">
        <v>403</v>
      </c>
      <c r="Y9" s="96" t="s">
        <v>417</v>
      </c>
      <c r="Z9" s="98" t="s">
        <v>411</v>
      </c>
      <c r="AA9" s="93" t="s">
        <v>419</v>
      </c>
    </row>
    <row r="10" spans="1:27" ht="25.5">
      <c r="A10" s="88" t="s">
        <v>180</v>
      </c>
      <c r="B10" s="101" t="s">
        <v>428</v>
      </c>
      <c r="C10" s="93" t="s">
        <v>181</v>
      </c>
      <c r="D10" s="93" t="s">
        <v>336</v>
      </c>
      <c r="E10" s="99" t="s">
        <v>185</v>
      </c>
      <c r="G10" s="286" t="s">
        <v>420</v>
      </c>
      <c r="H10" s="93" t="s">
        <v>421</v>
      </c>
      <c r="I10" s="286" t="s">
        <v>422</v>
      </c>
      <c r="J10" s="203" t="s">
        <v>181</v>
      </c>
      <c r="K10" s="286" t="s">
        <v>423</v>
      </c>
      <c r="L10" s="286" t="s">
        <v>424</v>
      </c>
      <c r="M10" s="286" t="s">
        <v>425</v>
      </c>
      <c r="N10" s="286" t="s">
        <v>426</v>
      </c>
      <c r="O10" s="286" t="s">
        <v>181</v>
      </c>
      <c r="P10" s="286" t="s">
        <v>427</v>
      </c>
      <c r="Q10" s="101" t="s">
        <v>181</v>
      </c>
      <c r="R10" s="286" t="s">
        <v>181</v>
      </c>
      <c r="S10" s="101" t="s">
        <v>181</v>
      </c>
      <c r="T10" s="93" t="s">
        <v>428</v>
      </c>
      <c r="U10" s="101" t="s">
        <v>181</v>
      </c>
      <c r="V10" s="286" t="s">
        <v>181</v>
      </c>
      <c r="W10" s="286" t="s">
        <v>336</v>
      </c>
      <c r="X10" s="286" t="s">
        <v>181</v>
      </c>
      <c r="Y10" s="286" t="s">
        <v>181</v>
      </c>
      <c r="Z10" s="286" t="s">
        <v>427</v>
      </c>
      <c r="AA10" s="286" t="s">
        <v>429</v>
      </c>
    </row>
    <row r="11" spans="1:27" hidden="1">
      <c r="A11" s="88" t="s">
        <v>338</v>
      </c>
      <c r="B11" s="206"/>
      <c r="C11" s="287" t="s">
        <v>181</v>
      </c>
      <c r="D11" s="287"/>
      <c r="E11" s="287"/>
      <c r="G11" s="287"/>
      <c r="H11" s="287"/>
      <c r="I11" s="287"/>
      <c r="J11" s="287" t="s">
        <v>181</v>
      </c>
      <c r="K11" s="287"/>
      <c r="L11" s="287"/>
      <c r="M11" s="288"/>
      <c r="N11" s="287"/>
      <c r="O11" s="287"/>
      <c r="P11" s="287" t="s">
        <v>181</v>
      </c>
      <c r="Q11" s="287" t="s">
        <v>181</v>
      </c>
      <c r="R11" s="288"/>
      <c r="S11" s="288" t="s">
        <v>181</v>
      </c>
      <c r="T11" s="289" t="s">
        <v>181</v>
      </c>
      <c r="U11" s="288" t="s">
        <v>181</v>
      </c>
      <c r="V11" s="101"/>
      <c r="W11" s="289" t="s">
        <v>181</v>
      </c>
      <c r="X11" s="101" t="s">
        <v>181</v>
      </c>
      <c r="Y11" s="101"/>
      <c r="Z11" s="101" t="s">
        <v>181</v>
      </c>
      <c r="AA11" s="101" t="s">
        <v>181</v>
      </c>
    </row>
    <row r="12" spans="1:27" ht="25.5">
      <c r="A12" s="88" t="s">
        <v>430</v>
      </c>
      <c r="B12" s="94" t="s">
        <v>495</v>
      </c>
      <c r="C12" s="93" t="s">
        <v>187</v>
      </c>
      <c r="D12" s="94" t="s">
        <v>187</v>
      </c>
      <c r="E12" s="102" t="s">
        <v>187</v>
      </c>
      <c r="G12" s="94" t="s">
        <v>187</v>
      </c>
      <c r="H12" s="94" t="s">
        <v>431</v>
      </c>
      <c r="I12" s="94" t="s">
        <v>432</v>
      </c>
      <c r="J12" s="94" t="s">
        <v>187</v>
      </c>
      <c r="K12" s="94" t="s">
        <v>339</v>
      </c>
      <c r="L12" s="94" t="s">
        <v>433</v>
      </c>
      <c r="M12" s="94" t="s">
        <v>434</v>
      </c>
      <c r="N12" s="94" t="s">
        <v>435</v>
      </c>
      <c r="O12" s="94" t="s">
        <v>340</v>
      </c>
      <c r="P12" s="91" t="s">
        <v>340</v>
      </c>
      <c r="Q12" s="94" t="s">
        <v>436</v>
      </c>
      <c r="R12" s="94" t="s">
        <v>437</v>
      </c>
      <c r="S12" s="94" t="s">
        <v>438</v>
      </c>
      <c r="T12" s="94" t="s">
        <v>439</v>
      </c>
      <c r="U12" s="94" t="s">
        <v>187</v>
      </c>
      <c r="V12" s="94" t="s">
        <v>187</v>
      </c>
      <c r="W12" s="94" t="s">
        <v>187</v>
      </c>
      <c r="X12" s="94" t="s">
        <v>187</v>
      </c>
      <c r="Y12" s="94" t="s">
        <v>440</v>
      </c>
      <c r="Z12" s="91" t="s">
        <v>340</v>
      </c>
      <c r="AA12" s="94" t="s">
        <v>441</v>
      </c>
    </row>
    <row r="13" spans="1:27" ht="15">
      <c r="A13" s="88" t="s">
        <v>341</v>
      </c>
      <c r="B13" s="103">
        <f t="shared" ref="B13:C13" si="6">SUM(B14:B17)</f>
        <v>17088.634999999998</v>
      </c>
      <c r="C13" s="103">
        <f t="shared" si="6"/>
        <v>6996</v>
      </c>
      <c r="D13" s="103">
        <f>SUM(D14:D17)</f>
        <v>1407</v>
      </c>
      <c r="E13" s="103">
        <f>SUM(E14:E17)</f>
        <v>1800</v>
      </c>
      <c r="G13" s="103">
        <f t="shared" ref="G13:AA13" si="7">SUM(G14:G17)</f>
        <v>1000</v>
      </c>
      <c r="H13" s="103">
        <f t="shared" si="7"/>
        <v>5015.6000000000004</v>
      </c>
      <c r="I13" s="103">
        <f t="shared" si="7"/>
        <v>717</v>
      </c>
      <c r="J13" s="103">
        <f t="shared" si="7"/>
        <v>2476</v>
      </c>
      <c r="K13" s="103">
        <f t="shared" si="7"/>
        <v>3000</v>
      </c>
      <c r="L13" s="103">
        <f t="shared" si="7"/>
        <v>1400</v>
      </c>
      <c r="M13" s="103">
        <f t="shared" si="7"/>
        <v>330</v>
      </c>
      <c r="N13" s="103">
        <f t="shared" si="7"/>
        <v>450</v>
      </c>
      <c r="O13" s="103">
        <f t="shared" si="7"/>
        <v>1370</v>
      </c>
      <c r="P13" s="103">
        <f t="shared" si="7"/>
        <v>2060</v>
      </c>
      <c r="Q13" s="103">
        <f t="shared" si="7"/>
        <v>1400</v>
      </c>
      <c r="R13" s="103">
        <f t="shared" si="7"/>
        <v>1500</v>
      </c>
      <c r="S13" s="103">
        <f t="shared" si="7"/>
        <v>1380</v>
      </c>
      <c r="T13" s="103">
        <f t="shared" si="7"/>
        <v>500</v>
      </c>
      <c r="U13" s="103">
        <f t="shared" si="7"/>
        <v>56350.2</v>
      </c>
      <c r="V13" s="103">
        <f t="shared" si="7"/>
        <v>537</v>
      </c>
      <c r="W13" s="103">
        <f t="shared" si="7"/>
        <v>4300</v>
      </c>
      <c r="X13" s="103">
        <f t="shared" si="7"/>
        <v>800</v>
      </c>
      <c r="Y13" s="103">
        <f t="shared" si="7"/>
        <v>985.87999999999988</v>
      </c>
      <c r="Z13" s="103">
        <f t="shared" si="7"/>
        <v>2060</v>
      </c>
      <c r="AA13" s="103">
        <f t="shared" si="7"/>
        <v>731.91650000000004</v>
      </c>
    </row>
    <row r="14" spans="1:27">
      <c r="A14" s="290" t="s">
        <v>442</v>
      </c>
      <c r="B14" s="106">
        <v>4565.9599999999982</v>
      </c>
      <c r="C14" s="106">
        <v>360</v>
      </c>
      <c r="D14" s="106">
        <v>500</v>
      </c>
      <c r="E14" s="106">
        <v>23.1</v>
      </c>
      <c r="G14" s="106">
        <v>300</v>
      </c>
      <c r="H14" s="106">
        <v>0</v>
      </c>
      <c r="I14" s="106">
        <v>717</v>
      </c>
      <c r="J14" s="106">
        <f>13+15.6+32.7+13.5</f>
        <v>74.800000000000011</v>
      </c>
      <c r="K14" s="106">
        <v>2000</v>
      </c>
      <c r="L14" s="106">
        <v>1400</v>
      </c>
      <c r="M14" s="106">
        <v>330</v>
      </c>
      <c r="N14" s="106">
        <v>450</v>
      </c>
      <c r="O14" s="106">
        <v>0</v>
      </c>
      <c r="P14" s="106">
        <v>1000</v>
      </c>
      <c r="Q14" s="106">
        <v>1400</v>
      </c>
      <c r="R14" s="106">
        <v>1500</v>
      </c>
      <c r="S14" s="106">
        <v>1380</v>
      </c>
      <c r="T14" s="106">
        <v>58.5</v>
      </c>
      <c r="U14" s="106">
        <v>55238</v>
      </c>
      <c r="V14" s="106">
        <v>537</v>
      </c>
      <c r="W14" s="106">
        <v>300</v>
      </c>
      <c r="X14" s="106">
        <v>100</v>
      </c>
      <c r="Y14" s="106">
        <v>944.4</v>
      </c>
      <c r="Z14" s="106">
        <v>1000</v>
      </c>
      <c r="AA14" s="106">
        <v>12.4</v>
      </c>
    </row>
    <row r="15" spans="1:27">
      <c r="A15" s="291" t="s">
        <v>443</v>
      </c>
      <c r="B15" s="106">
        <v>11835.02</v>
      </c>
      <c r="C15" s="106">
        <v>6636</v>
      </c>
      <c r="D15" s="106">
        <v>700</v>
      </c>
      <c r="E15" s="106">
        <f>800+976.9</f>
        <v>1776.9</v>
      </c>
      <c r="G15" s="106">
        <v>700</v>
      </c>
      <c r="H15" s="106">
        <v>5015.6000000000004</v>
      </c>
      <c r="I15" s="106">
        <v>0</v>
      </c>
      <c r="J15" s="106">
        <f>1636-J14</f>
        <v>1561.2</v>
      </c>
      <c r="K15" s="106">
        <v>1000</v>
      </c>
      <c r="L15" s="106">
        <v>0</v>
      </c>
      <c r="M15" s="106">
        <v>0</v>
      </c>
      <c r="N15" s="106">
        <v>0</v>
      </c>
      <c r="O15" s="106">
        <v>1370</v>
      </c>
      <c r="P15" s="106">
        <v>1060</v>
      </c>
      <c r="Q15" s="106">
        <v>0</v>
      </c>
      <c r="R15" s="106">
        <v>0</v>
      </c>
      <c r="S15" s="106">
        <v>0</v>
      </c>
      <c r="T15" s="106">
        <v>348</v>
      </c>
      <c r="U15" s="106">
        <v>1112.2</v>
      </c>
      <c r="V15" s="106">
        <v>0</v>
      </c>
      <c r="W15" s="106">
        <v>4000</v>
      </c>
      <c r="X15" s="106">
        <v>700</v>
      </c>
      <c r="Y15" s="106">
        <v>31.680000000000003</v>
      </c>
      <c r="Z15" s="106">
        <v>1060</v>
      </c>
      <c r="AA15" s="106">
        <v>436.6</v>
      </c>
    </row>
    <row r="16" spans="1:27">
      <c r="A16" s="292" t="s">
        <v>194</v>
      </c>
      <c r="B16" s="106">
        <v>171.85499999999999</v>
      </c>
      <c r="C16" s="106">
        <v>0</v>
      </c>
      <c r="D16" s="106">
        <v>122</v>
      </c>
      <c r="E16" s="106">
        <v>0</v>
      </c>
      <c r="G16" s="106">
        <v>0</v>
      </c>
      <c r="H16" s="106">
        <v>0</v>
      </c>
      <c r="I16" s="106">
        <v>0</v>
      </c>
      <c r="J16" s="106">
        <v>840</v>
      </c>
      <c r="K16" s="106">
        <v>0</v>
      </c>
      <c r="L16" s="106">
        <v>0</v>
      </c>
      <c r="M16" s="106">
        <v>0</v>
      </c>
      <c r="N16" s="106">
        <v>0</v>
      </c>
      <c r="O16" s="106">
        <v>0</v>
      </c>
      <c r="P16" s="106">
        <v>0</v>
      </c>
      <c r="Q16" s="106">
        <v>0</v>
      </c>
      <c r="R16" s="106">
        <v>0</v>
      </c>
      <c r="S16" s="106">
        <v>0</v>
      </c>
      <c r="T16" s="106">
        <v>93.5</v>
      </c>
      <c r="U16" s="106">
        <v>0</v>
      </c>
      <c r="V16" s="106">
        <v>0</v>
      </c>
      <c r="W16" s="106">
        <v>0</v>
      </c>
      <c r="X16" s="106">
        <v>0</v>
      </c>
      <c r="Y16" s="106">
        <v>9.8000000000000007</v>
      </c>
      <c r="Z16" s="106">
        <v>0</v>
      </c>
      <c r="AA16" s="106">
        <v>282.91649999999998</v>
      </c>
    </row>
    <row r="17" spans="1:27" s="294" customFormat="1">
      <c r="A17" s="293" t="s">
        <v>201</v>
      </c>
      <c r="B17" s="103">
        <v>515.79999999999995</v>
      </c>
      <c r="C17" s="103">
        <v>0</v>
      </c>
      <c r="D17" s="103">
        <v>85</v>
      </c>
      <c r="E17" s="103">
        <v>0</v>
      </c>
      <c r="G17" s="103">
        <v>0</v>
      </c>
      <c r="H17" s="103">
        <v>0</v>
      </c>
      <c r="I17" s="103">
        <v>0</v>
      </c>
      <c r="J17" s="103">
        <v>0</v>
      </c>
      <c r="K17" s="103">
        <v>0</v>
      </c>
      <c r="L17" s="103">
        <v>0</v>
      </c>
      <c r="M17" s="103">
        <v>0</v>
      </c>
      <c r="N17" s="103">
        <v>0</v>
      </c>
      <c r="O17" s="103">
        <v>0</v>
      </c>
      <c r="P17" s="103">
        <v>0</v>
      </c>
      <c r="Q17" s="103">
        <v>0</v>
      </c>
      <c r="R17" s="103">
        <v>0</v>
      </c>
      <c r="S17" s="103">
        <v>0</v>
      </c>
      <c r="T17" s="103">
        <v>0</v>
      </c>
      <c r="U17" s="103">
        <v>0</v>
      </c>
      <c r="V17" s="103">
        <v>0</v>
      </c>
      <c r="W17" s="103">
        <v>0</v>
      </c>
      <c r="X17" s="103">
        <v>0</v>
      </c>
      <c r="Y17" s="103">
        <v>0</v>
      </c>
      <c r="Z17" s="103">
        <v>0</v>
      </c>
      <c r="AA17" s="103">
        <v>0</v>
      </c>
    </row>
    <row r="18" spans="1:27" hidden="1" outlineLevel="1">
      <c r="A18" s="88" t="s">
        <v>444</v>
      </c>
      <c r="B18" s="295" t="s">
        <v>224</v>
      </c>
      <c r="C18" s="296" t="s">
        <v>224</v>
      </c>
      <c r="D18" s="296" t="s">
        <v>224</v>
      </c>
      <c r="E18" s="296" t="s">
        <v>224</v>
      </c>
      <c r="G18" s="296" t="s">
        <v>224</v>
      </c>
      <c r="H18" s="296" t="s">
        <v>224</v>
      </c>
      <c r="I18" s="296" t="s">
        <v>224</v>
      </c>
      <c r="J18" s="297" t="s">
        <v>224</v>
      </c>
      <c r="K18" s="296" t="s">
        <v>224</v>
      </c>
      <c r="L18" s="297" t="s">
        <v>224</v>
      </c>
      <c r="M18" s="297" t="s">
        <v>224</v>
      </c>
      <c r="N18" s="296" t="s">
        <v>224</v>
      </c>
      <c r="O18" s="296" t="s">
        <v>224</v>
      </c>
      <c r="P18" s="296" t="s">
        <v>224</v>
      </c>
      <c r="Q18" s="297" t="s">
        <v>224</v>
      </c>
      <c r="R18" s="297" t="s">
        <v>224</v>
      </c>
      <c r="S18" s="297" t="s">
        <v>224</v>
      </c>
      <c r="T18" s="297" t="s">
        <v>224</v>
      </c>
      <c r="U18" s="297" t="s">
        <v>224</v>
      </c>
      <c r="V18" s="297" t="s">
        <v>224</v>
      </c>
      <c r="W18" s="94" t="s">
        <v>224</v>
      </c>
      <c r="X18" s="94" t="s">
        <v>224</v>
      </c>
      <c r="Y18" s="94" t="s">
        <v>224</v>
      </c>
      <c r="Z18" s="94" t="s">
        <v>224</v>
      </c>
      <c r="AA18" s="94" t="s">
        <v>224</v>
      </c>
    </row>
    <row r="19" spans="1:27" ht="25.5" collapsed="1">
      <c r="A19" s="88" t="s">
        <v>202</v>
      </c>
      <c r="B19" s="94" t="s">
        <v>445</v>
      </c>
      <c r="C19" s="94" t="s">
        <v>205</v>
      </c>
      <c r="D19" s="94" t="s">
        <v>345</v>
      </c>
      <c r="E19" s="115" t="s">
        <v>210</v>
      </c>
      <c r="G19" s="94" t="s">
        <v>446</v>
      </c>
      <c r="H19" s="94" t="s">
        <v>447</v>
      </c>
      <c r="I19" s="94" t="s">
        <v>448</v>
      </c>
      <c r="J19" s="94" t="s">
        <v>345</v>
      </c>
      <c r="K19" s="94" t="s">
        <v>446</v>
      </c>
      <c r="L19" s="94" t="s">
        <v>206</v>
      </c>
      <c r="M19" s="94" t="s">
        <v>448</v>
      </c>
      <c r="N19" s="94" t="s">
        <v>448</v>
      </c>
      <c r="O19" s="94" t="s">
        <v>449</v>
      </c>
      <c r="P19" s="94" t="s">
        <v>450</v>
      </c>
      <c r="Q19" s="94" t="s">
        <v>206</v>
      </c>
      <c r="R19" s="94" t="s">
        <v>448</v>
      </c>
      <c r="S19" s="94" t="s">
        <v>451</v>
      </c>
      <c r="T19" s="94" t="s">
        <v>452</v>
      </c>
      <c r="U19" s="94" t="s">
        <v>453</v>
      </c>
      <c r="V19" s="94" t="s">
        <v>448</v>
      </c>
      <c r="W19" s="94" t="s">
        <v>446</v>
      </c>
      <c r="X19" s="94" t="s">
        <v>446</v>
      </c>
      <c r="Y19" s="94" t="s">
        <v>454</v>
      </c>
      <c r="Z19" s="94" t="s">
        <v>448</v>
      </c>
      <c r="AA19" s="94" t="s">
        <v>455</v>
      </c>
    </row>
    <row r="20" spans="1:27">
      <c r="A20" s="88" t="s">
        <v>211</v>
      </c>
      <c r="B20" s="94" t="s">
        <v>214</v>
      </c>
      <c r="C20" s="94" t="s">
        <v>214</v>
      </c>
      <c r="D20" s="94" t="s">
        <v>212</v>
      </c>
      <c r="E20" s="94" t="s">
        <v>214</v>
      </c>
      <c r="G20" s="94" t="s">
        <v>214</v>
      </c>
      <c r="H20" s="94" t="s">
        <v>214</v>
      </c>
      <c r="I20" s="94" t="s">
        <v>213</v>
      </c>
      <c r="J20" s="94" t="s">
        <v>214</v>
      </c>
      <c r="K20" s="94" t="s">
        <v>214</v>
      </c>
      <c r="L20" s="94" t="s">
        <v>456</v>
      </c>
      <c r="M20" s="94" t="s">
        <v>214</v>
      </c>
      <c r="N20" s="94" t="s">
        <v>456</v>
      </c>
      <c r="O20" s="94" t="s">
        <v>212</v>
      </c>
      <c r="P20" s="94" t="s">
        <v>214</v>
      </c>
      <c r="Q20" s="94" t="s">
        <v>214</v>
      </c>
      <c r="R20" s="94" t="s">
        <v>214</v>
      </c>
      <c r="S20" s="94" t="s">
        <v>214</v>
      </c>
      <c r="T20" s="94" t="s">
        <v>214</v>
      </c>
      <c r="U20" s="94" t="s">
        <v>214</v>
      </c>
      <c r="V20" s="94" t="s">
        <v>214</v>
      </c>
      <c r="W20" s="94" t="s">
        <v>214</v>
      </c>
      <c r="X20" s="94" t="s">
        <v>214</v>
      </c>
      <c r="Y20" s="94" t="s">
        <v>214</v>
      </c>
      <c r="Z20" s="94" t="s">
        <v>456</v>
      </c>
      <c r="AA20" s="94" t="s">
        <v>213</v>
      </c>
    </row>
    <row r="21" spans="1:27" ht="38.25">
      <c r="A21" s="88" t="s">
        <v>215</v>
      </c>
      <c r="B21" s="94" t="s">
        <v>217</v>
      </c>
      <c r="C21" s="94" t="s">
        <v>217</v>
      </c>
      <c r="D21" s="94" t="s">
        <v>216</v>
      </c>
      <c r="E21" s="102" t="s">
        <v>219</v>
      </c>
      <c r="G21" s="94" t="s">
        <v>219</v>
      </c>
      <c r="H21" s="94" t="s">
        <v>457</v>
      </c>
      <c r="I21" s="94" t="s">
        <v>458</v>
      </c>
      <c r="J21" s="94" t="s">
        <v>349</v>
      </c>
      <c r="K21" s="94" t="s">
        <v>217</v>
      </c>
      <c r="L21" s="94" t="s">
        <v>219</v>
      </c>
      <c r="M21" s="94" t="s">
        <v>219</v>
      </c>
      <c r="N21" s="94" t="s">
        <v>219</v>
      </c>
      <c r="O21" s="94" t="s">
        <v>217</v>
      </c>
      <c r="P21" s="94" t="s">
        <v>219</v>
      </c>
      <c r="Q21" s="94" t="s">
        <v>216</v>
      </c>
      <c r="R21" s="94" t="s">
        <v>216</v>
      </c>
      <c r="S21" s="94" t="s">
        <v>459</v>
      </c>
      <c r="T21" s="94" t="s">
        <v>216</v>
      </c>
      <c r="U21" s="94" t="s">
        <v>216</v>
      </c>
      <c r="V21" s="94" t="s">
        <v>216</v>
      </c>
      <c r="W21" s="94" t="s">
        <v>216</v>
      </c>
      <c r="X21" s="94" t="s">
        <v>219</v>
      </c>
      <c r="Y21" s="94" t="s">
        <v>216</v>
      </c>
      <c r="Z21" s="94" t="s">
        <v>219</v>
      </c>
      <c r="AA21" s="94" t="s">
        <v>217</v>
      </c>
    </row>
    <row r="22" spans="1:27">
      <c r="A22" s="88" t="s">
        <v>220</v>
      </c>
      <c r="B22" s="94" t="s">
        <v>221</v>
      </c>
      <c r="C22" s="94" t="s">
        <v>221</v>
      </c>
      <c r="D22" s="94" t="s">
        <v>221</v>
      </c>
      <c r="E22" s="94" t="s">
        <v>221</v>
      </c>
      <c r="G22" s="94" t="s">
        <v>221</v>
      </c>
      <c r="H22" s="94" t="s">
        <v>221</v>
      </c>
      <c r="I22" s="94" t="s">
        <v>221</v>
      </c>
      <c r="J22" s="94" t="s">
        <v>221</v>
      </c>
      <c r="K22" s="94" t="s">
        <v>221</v>
      </c>
      <c r="L22" s="94" t="s">
        <v>221</v>
      </c>
      <c r="M22" s="94" t="s">
        <v>221</v>
      </c>
      <c r="N22" s="94" t="s">
        <v>221</v>
      </c>
      <c r="O22" s="94" t="s">
        <v>221</v>
      </c>
      <c r="P22" s="94" t="s">
        <v>221</v>
      </c>
      <c r="Q22" s="94" t="s">
        <v>221</v>
      </c>
      <c r="R22" s="94" t="s">
        <v>221</v>
      </c>
      <c r="S22" s="94" t="s">
        <v>221</v>
      </c>
      <c r="T22" s="94" t="s">
        <v>221</v>
      </c>
      <c r="U22" s="94" t="s">
        <v>221</v>
      </c>
      <c r="V22" s="94" t="s">
        <v>221</v>
      </c>
      <c r="W22" s="94" t="s">
        <v>221</v>
      </c>
      <c r="X22" s="94" t="s">
        <v>221</v>
      </c>
      <c r="Y22" s="94" t="s">
        <v>221</v>
      </c>
      <c r="Z22" s="94" t="s">
        <v>221</v>
      </c>
      <c r="AA22" s="94" t="s">
        <v>221</v>
      </c>
    </row>
    <row r="23" spans="1:27" ht="15">
      <c r="A23" s="88" t="s">
        <v>350</v>
      </c>
      <c r="B23" s="103">
        <v>27660</v>
      </c>
      <c r="C23" s="103">
        <v>12620</v>
      </c>
      <c r="D23" s="103">
        <v>3000</v>
      </c>
      <c r="E23" s="104">
        <v>3200</v>
      </c>
      <c r="G23" s="94">
        <v>500</v>
      </c>
      <c r="H23" s="103">
        <v>7513</v>
      </c>
      <c r="I23" s="94">
        <v>400</v>
      </c>
      <c r="J23" s="103">
        <v>6000</v>
      </c>
      <c r="K23" s="94">
        <v>3000</v>
      </c>
      <c r="L23" s="94">
        <v>700</v>
      </c>
      <c r="M23" s="94">
        <v>150</v>
      </c>
      <c r="N23" s="94">
        <v>3510</v>
      </c>
      <c r="O23" s="103">
        <v>2200</v>
      </c>
      <c r="P23" s="94">
        <v>2400</v>
      </c>
      <c r="Q23" s="94">
        <f>60*100</f>
        <v>6000</v>
      </c>
      <c r="R23" s="94">
        <f>50*100</f>
        <v>5000</v>
      </c>
      <c r="S23" s="94">
        <f>14*100</f>
        <v>1400</v>
      </c>
      <c r="T23" s="94">
        <v>450</v>
      </c>
      <c r="U23" s="94">
        <v>12000</v>
      </c>
      <c r="V23" s="94">
        <v>450</v>
      </c>
      <c r="W23" s="94">
        <v>10400</v>
      </c>
      <c r="X23" s="94">
        <v>500</v>
      </c>
      <c r="Y23" s="94">
        <v>5032</v>
      </c>
      <c r="Z23" s="94">
        <v>2400</v>
      </c>
      <c r="AA23" s="94">
        <v>1700</v>
      </c>
    </row>
    <row r="24" spans="1:27" hidden="1">
      <c r="A24" s="88" t="s">
        <v>460</v>
      </c>
      <c r="B24" s="295" t="s">
        <v>224</v>
      </c>
      <c r="C24" s="296" t="s">
        <v>224</v>
      </c>
      <c r="D24" s="297" t="s">
        <v>224</v>
      </c>
      <c r="E24" s="296" t="s">
        <v>224</v>
      </c>
      <c r="G24" s="296" t="s">
        <v>224</v>
      </c>
      <c r="H24" s="296" t="s">
        <v>224</v>
      </c>
      <c r="I24" s="297" t="s">
        <v>224</v>
      </c>
      <c r="J24" s="297" t="s">
        <v>224</v>
      </c>
      <c r="K24" s="296" t="s">
        <v>224</v>
      </c>
      <c r="L24" s="297" t="s">
        <v>224</v>
      </c>
      <c r="M24" s="297" t="s">
        <v>224</v>
      </c>
      <c r="N24" s="296" t="s">
        <v>224</v>
      </c>
      <c r="O24" s="296" t="s">
        <v>224</v>
      </c>
      <c r="P24" s="296" t="s">
        <v>224</v>
      </c>
      <c r="Q24" s="297" t="s">
        <v>224</v>
      </c>
      <c r="R24" s="297" t="s">
        <v>224</v>
      </c>
      <c r="S24" s="297" t="s">
        <v>224</v>
      </c>
      <c r="T24" s="297" t="s">
        <v>224</v>
      </c>
      <c r="U24" s="297" t="s">
        <v>224</v>
      </c>
      <c r="V24" s="94" t="s">
        <v>224</v>
      </c>
      <c r="W24" s="94" t="s">
        <v>224</v>
      </c>
      <c r="X24" s="94" t="s">
        <v>224</v>
      </c>
      <c r="Y24" s="94" t="s">
        <v>224</v>
      </c>
      <c r="Z24" s="94" t="s">
        <v>224</v>
      </c>
      <c r="AA24" s="94" t="s">
        <v>224</v>
      </c>
    </row>
    <row r="25" spans="1:27" ht="25.5">
      <c r="A25" s="88" t="s">
        <v>226</v>
      </c>
      <c r="B25" s="94" t="s">
        <v>227</v>
      </c>
      <c r="C25" s="94" t="s">
        <v>228</v>
      </c>
      <c r="D25" s="94" t="s">
        <v>227</v>
      </c>
      <c r="E25" s="94" t="s">
        <v>227</v>
      </c>
      <c r="G25" s="94" t="s">
        <v>227</v>
      </c>
      <c r="H25" s="94" t="s">
        <v>461</v>
      </c>
      <c r="I25" s="94" t="s">
        <v>227</v>
      </c>
      <c r="J25" s="94" t="s">
        <v>227</v>
      </c>
      <c r="K25" s="94" t="s">
        <v>227</v>
      </c>
      <c r="L25" s="94" t="s">
        <v>227</v>
      </c>
      <c r="M25" s="94" t="s">
        <v>462</v>
      </c>
      <c r="N25" s="94" t="s">
        <v>227</v>
      </c>
      <c r="O25" s="94" t="s">
        <v>461</v>
      </c>
      <c r="P25" s="94" t="s">
        <v>461</v>
      </c>
      <c r="Q25" s="94" t="s">
        <v>227</v>
      </c>
      <c r="R25" s="94" t="s">
        <v>351</v>
      </c>
      <c r="S25" s="94" t="s">
        <v>227</v>
      </c>
      <c r="T25" s="94" t="s">
        <v>229</v>
      </c>
      <c r="U25" s="94" t="s">
        <v>461</v>
      </c>
      <c r="V25" s="94" t="s">
        <v>351</v>
      </c>
      <c r="W25" s="94" t="s">
        <v>229</v>
      </c>
      <c r="X25" s="94" t="s">
        <v>229</v>
      </c>
      <c r="Y25" s="94" t="s">
        <v>351</v>
      </c>
      <c r="Z25" s="94" t="s">
        <v>351</v>
      </c>
      <c r="AA25" s="94" t="s">
        <v>351</v>
      </c>
    </row>
    <row r="26" spans="1:27" ht="25.5">
      <c r="A26" s="88" t="s">
        <v>230</v>
      </c>
      <c r="B26" s="97" t="s">
        <v>231</v>
      </c>
      <c r="C26" s="97" t="s">
        <v>232</v>
      </c>
      <c r="D26" s="213" t="s">
        <v>231</v>
      </c>
      <c r="E26" s="116" t="s">
        <v>234</v>
      </c>
      <c r="G26" s="97" t="s">
        <v>233</v>
      </c>
      <c r="H26" s="97" t="s">
        <v>231</v>
      </c>
      <c r="I26" s="97" t="s">
        <v>463</v>
      </c>
      <c r="J26" s="97" t="s">
        <v>231</v>
      </c>
      <c r="K26" s="97" t="s">
        <v>231</v>
      </c>
      <c r="L26" s="97" t="s">
        <v>231</v>
      </c>
      <c r="M26" s="97" t="s">
        <v>463</v>
      </c>
      <c r="N26" s="97" t="s">
        <v>463</v>
      </c>
      <c r="O26" s="97" t="s">
        <v>233</v>
      </c>
      <c r="P26" s="97" t="s">
        <v>231</v>
      </c>
      <c r="Q26" s="97" t="s">
        <v>464</v>
      </c>
      <c r="R26" s="97" t="s">
        <v>233</v>
      </c>
      <c r="S26" s="97" t="s">
        <v>233</v>
      </c>
      <c r="T26" s="97" t="s">
        <v>233</v>
      </c>
      <c r="U26" s="97" t="s">
        <v>464</v>
      </c>
      <c r="V26" s="97" t="s">
        <v>233</v>
      </c>
      <c r="W26" s="97" t="s">
        <v>231</v>
      </c>
      <c r="X26" s="97" t="s">
        <v>233</v>
      </c>
      <c r="Y26" s="97" t="s">
        <v>233</v>
      </c>
      <c r="Z26" s="97" t="s">
        <v>231</v>
      </c>
      <c r="AA26" s="213" t="s">
        <v>231</v>
      </c>
    </row>
    <row r="27" spans="1:27" ht="25.5">
      <c r="A27" s="88" t="s">
        <v>465</v>
      </c>
      <c r="B27" s="94" t="s">
        <v>466</v>
      </c>
      <c r="C27" s="94" t="s">
        <v>224</v>
      </c>
      <c r="D27" s="97" t="s">
        <v>224</v>
      </c>
      <c r="E27" s="97" t="s">
        <v>224</v>
      </c>
      <c r="G27" s="97" t="s">
        <v>224</v>
      </c>
      <c r="H27" s="94" t="s">
        <v>467</v>
      </c>
      <c r="I27" s="97" t="s">
        <v>468</v>
      </c>
      <c r="J27" s="97" t="s">
        <v>469</v>
      </c>
      <c r="K27" s="97" t="s">
        <v>224</v>
      </c>
      <c r="L27" s="97" t="s">
        <v>470</v>
      </c>
      <c r="M27" s="97" t="s">
        <v>224</v>
      </c>
      <c r="N27" s="97" t="s">
        <v>224</v>
      </c>
      <c r="O27" s="94" t="s">
        <v>471</v>
      </c>
      <c r="P27" s="94" t="s">
        <v>224</v>
      </c>
      <c r="Q27" s="97" t="s">
        <v>469</v>
      </c>
      <c r="R27" s="97" t="s">
        <v>469</v>
      </c>
      <c r="S27" s="97" t="s">
        <v>469</v>
      </c>
      <c r="T27" s="97" t="s">
        <v>469</v>
      </c>
      <c r="U27" s="97" t="s">
        <v>224</v>
      </c>
      <c r="V27" s="97" t="s">
        <v>239</v>
      </c>
      <c r="W27" s="97" t="s">
        <v>469</v>
      </c>
      <c r="X27" s="97" t="s">
        <v>224</v>
      </c>
      <c r="Y27" s="97" t="s">
        <v>239</v>
      </c>
      <c r="Z27" s="97" t="s">
        <v>472</v>
      </c>
      <c r="AA27" s="97" t="s">
        <v>224</v>
      </c>
    </row>
    <row r="28" spans="1:27">
      <c r="A28" s="88" t="s">
        <v>235</v>
      </c>
      <c r="B28" s="94" t="s">
        <v>224</v>
      </c>
      <c r="C28" s="94" t="s">
        <v>237</v>
      </c>
      <c r="D28" s="94" t="s">
        <v>224</v>
      </c>
      <c r="E28" s="94" t="s">
        <v>224</v>
      </c>
      <c r="G28" s="94" t="s">
        <v>224</v>
      </c>
      <c r="H28" s="94" t="s">
        <v>473</v>
      </c>
      <c r="I28" s="94" t="s">
        <v>224</v>
      </c>
      <c r="J28" s="213" t="s">
        <v>474</v>
      </c>
      <c r="K28" s="94" t="s">
        <v>224</v>
      </c>
      <c r="L28" s="94" t="s">
        <v>224</v>
      </c>
      <c r="M28" s="94" t="s">
        <v>224</v>
      </c>
      <c r="N28" s="94" t="s">
        <v>224</v>
      </c>
      <c r="O28" s="94" t="s">
        <v>473</v>
      </c>
      <c r="P28" s="94" t="s">
        <v>224</v>
      </c>
      <c r="Q28" s="213" t="s">
        <v>474</v>
      </c>
      <c r="R28" s="213" t="s">
        <v>224</v>
      </c>
      <c r="S28" s="97" t="s">
        <v>224</v>
      </c>
      <c r="T28" s="213" t="s">
        <v>224</v>
      </c>
      <c r="U28" s="97" t="s">
        <v>475</v>
      </c>
      <c r="V28" s="213" t="s">
        <v>224</v>
      </c>
      <c r="W28" s="213" t="s">
        <v>224</v>
      </c>
      <c r="X28" s="213" t="s">
        <v>224</v>
      </c>
      <c r="Y28" s="213" t="s">
        <v>476</v>
      </c>
      <c r="Z28" s="213" t="s">
        <v>224</v>
      </c>
      <c r="AA28" s="213" t="s">
        <v>224</v>
      </c>
    </row>
    <row r="29" spans="1:27" ht="55.5">
      <c r="A29" s="88" t="s">
        <v>477</v>
      </c>
      <c r="B29" s="94" t="s">
        <v>478</v>
      </c>
      <c r="C29" s="94" t="s">
        <v>224</v>
      </c>
      <c r="D29" s="94" t="s">
        <v>224</v>
      </c>
      <c r="E29" s="94" t="s">
        <v>224</v>
      </c>
      <c r="G29" s="94" t="s">
        <v>224</v>
      </c>
      <c r="H29" s="94" t="s">
        <v>224</v>
      </c>
      <c r="I29" s="94" t="s">
        <v>224</v>
      </c>
      <c r="J29" s="94" t="s">
        <v>224</v>
      </c>
      <c r="K29" s="94" t="s">
        <v>224</v>
      </c>
      <c r="L29" s="94" t="s">
        <v>224</v>
      </c>
      <c r="M29" s="94" t="s">
        <v>224</v>
      </c>
      <c r="N29" s="94" t="s">
        <v>224</v>
      </c>
      <c r="O29" s="94" t="s">
        <v>224</v>
      </c>
      <c r="P29" s="94" t="s">
        <v>224</v>
      </c>
      <c r="Q29" s="94" t="s">
        <v>224</v>
      </c>
      <c r="R29" s="94" t="s">
        <v>224</v>
      </c>
      <c r="S29" s="94" t="s">
        <v>224</v>
      </c>
      <c r="T29" s="94" t="s">
        <v>224</v>
      </c>
      <c r="U29" s="94" t="s">
        <v>224</v>
      </c>
      <c r="V29" s="297" t="s">
        <v>224</v>
      </c>
      <c r="W29" s="94" t="s">
        <v>224</v>
      </c>
      <c r="X29" s="94" t="s">
        <v>224</v>
      </c>
      <c r="Y29" s="94" t="s">
        <v>224</v>
      </c>
      <c r="Z29" s="94" t="s">
        <v>224</v>
      </c>
      <c r="AA29" s="94" t="s">
        <v>224</v>
      </c>
    </row>
    <row r="30" spans="1:27">
      <c r="A30" s="88" t="s">
        <v>243</v>
      </c>
      <c r="B30" s="117"/>
      <c r="C30" s="118" t="s">
        <v>245</v>
      </c>
      <c r="D30" s="118" t="s">
        <v>245</v>
      </c>
      <c r="E30" s="118" t="s">
        <v>245</v>
      </c>
      <c r="G30" s="118" t="s">
        <v>244</v>
      </c>
      <c r="H30" s="118" t="s">
        <v>244</v>
      </c>
      <c r="I30" s="101" t="s">
        <v>479</v>
      </c>
      <c r="J30" s="215" t="s">
        <v>244</v>
      </c>
      <c r="K30" s="101" t="s">
        <v>245</v>
      </c>
      <c r="L30" s="101" t="s">
        <v>245</v>
      </c>
      <c r="M30" s="101" t="s">
        <v>245</v>
      </c>
      <c r="N30" s="101" t="s">
        <v>245</v>
      </c>
      <c r="O30" s="118" t="s">
        <v>480</v>
      </c>
      <c r="P30" s="118" t="s">
        <v>481</v>
      </c>
      <c r="Q30" s="101" t="s">
        <v>482</v>
      </c>
      <c r="R30" s="101" t="s">
        <v>482</v>
      </c>
      <c r="S30" s="118" t="s">
        <v>483</v>
      </c>
      <c r="T30" s="118" t="s">
        <v>245</v>
      </c>
      <c r="U30" s="101" t="s">
        <v>483</v>
      </c>
      <c r="V30" s="288" t="s">
        <v>484</v>
      </c>
      <c r="W30" s="118" t="s">
        <v>245</v>
      </c>
      <c r="X30" s="101" t="s">
        <v>245</v>
      </c>
      <c r="Y30" s="101" t="s">
        <v>485</v>
      </c>
      <c r="Z30" s="118" t="s">
        <v>480</v>
      </c>
      <c r="AA30" s="118" t="s">
        <v>244</v>
      </c>
    </row>
    <row r="31" spans="1:27">
      <c r="A31" s="88" t="s">
        <v>122</v>
      </c>
      <c r="B31" s="117"/>
      <c r="C31" s="118">
        <v>7200000</v>
      </c>
      <c r="D31" s="118">
        <v>1500000</v>
      </c>
      <c r="E31" s="94">
        <v>1500000</v>
      </c>
      <c r="G31" s="94">
        <v>650000</v>
      </c>
      <c r="H31" s="118">
        <v>2500000</v>
      </c>
      <c r="I31" s="94">
        <v>895000</v>
      </c>
      <c r="J31" s="118">
        <v>2700000</v>
      </c>
      <c r="K31" s="94">
        <v>4200000</v>
      </c>
      <c r="L31" s="94">
        <v>2500000</v>
      </c>
      <c r="M31" s="94">
        <v>220000</v>
      </c>
      <c r="N31" s="94">
        <v>1298700</v>
      </c>
      <c r="O31" s="94">
        <v>760000</v>
      </c>
      <c r="P31" s="94">
        <v>1200000</v>
      </c>
      <c r="Q31" s="94">
        <f>60*45000</f>
        <v>2700000</v>
      </c>
      <c r="R31" s="94">
        <v>3000000</v>
      </c>
      <c r="S31" s="298">
        <v>850000</v>
      </c>
      <c r="T31" s="94">
        <v>380000</v>
      </c>
      <c r="U31" s="298">
        <v>6000000</v>
      </c>
      <c r="V31" s="298">
        <v>380000</v>
      </c>
      <c r="W31" s="115">
        <v>3000000</v>
      </c>
      <c r="X31" s="298">
        <v>500000</v>
      </c>
      <c r="Y31" s="298">
        <v>1200000</v>
      </c>
      <c r="Z31" s="94">
        <v>1200000</v>
      </c>
      <c r="AA31" s="115">
        <v>440000</v>
      </c>
    </row>
    <row r="32" spans="1:27">
      <c r="A32" s="88" t="s">
        <v>246</v>
      </c>
      <c r="B32" s="115"/>
      <c r="C32" s="115">
        <f t="shared" ref="C32" si="8">C31*долл</f>
        <v>629640000</v>
      </c>
      <c r="D32" s="115">
        <f>D31*долл</f>
        <v>131175000</v>
      </c>
      <c r="E32" s="115">
        <f>E31*долл</f>
        <v>131175000</v>
      </c>
      <c r="G32" s="115">
        <f t="shared" ref="G32:O32" si="9">G31*долл</f>
        <v>56842500</v>
      </c>
      <c r="H32" s="115">
        <f t="shared" si="9"/>
        <v>218625000</v>
      </c>
      <c r="I32" s="115">
        <f t="shared" si="9"/>
        <v>78267750</v>
      </c>
      <c r="J32" s="115">
        <f t="shared" si="9"/>
        <v>236115000</v>
      </c>
      <c r="K32" s="115">
        <f t="shared" si="9"/>
        <v>367290000</v>
      </c>
      <c r="L32" s="115">
        <f t="shared" si="9"/>
        <v>218625000</v>
      </c>
      <c r="M32" s="115">
        <f t="shared" si="9"/>
        <v>19239000</v>
      </c>
      <c r="N32" s="115">
        <f t="shared" si="9"/>
        <v>113571315</v>
      </c>
      <c r="O32" s="115">
        <f t="shared" si="9"/>
        <v>66462000</v>
      </c>
      <c r="P32" s="115">
        <f t="shared" ref="P32" si="10">P31*долл</f>
        <v>104940000</v>
      </c>
      <c r="Q32" s="115">
        <f t="shared" ref="Q32" si="11">Q31*долл</f>
        <v>236115000</v>
      </c>
      <c r="R32" s="115">
        <f>R31*долл</f>
        <v>262350000</v>
      </c>
      <c r="S32" s="115">
        <f>S31*долл</f>
        <v>74332500</v>
      </c>
      <c r="T32" s="115">
        <f t="shared" ref="T32:AA32" si="12">T31*долл</f>
        <v>33231000</v>
      </c>
      <c r="U32" s="115">
        <f t="shared" si="12"/>
        <v>524700000</v>
      </c>
      <c r="V32" s="115">
        <f t="shared" si="12"/>
        <v>33231000</v>
      </c>
      <c r="W32" s="115">
        <f t="shared" si="12"/>
        <v>262350000</v>
      </c>
      <c r="X32" s="115">
        <f t="shared" si="12"/>
        <v>43725000</v>
      </c>
      <c r="Y32" s="115">
        <f t="shared" si="12"/>
        <v>104940000</v>
      </c>
      <c r="Z32" s="115">
        <f t="shared" si="12"/>
        <v>104940000</v>
      </c>
      <c r="AA32" s="115">
        <f t="shared" si="12"/>
        <v>38478000</v>
      </c>
    </row>
    <row r="33" spans="1:27" ht="15">
      <c r="A33" s="88" t="s">
        <v>247</v>
      </c>
      <c r="B33" s="299"/>
      <c r="C33" s="115">
        <f t="shared" ref="C33" si="13">C31/C13</f>
        <v>1029.1595197255574</v>
      </c>
      <c r="D33" s="115">
        <f>D31/D13</f>
        <v>1066.0980810234541</v>
      </c>
      <c r="E33" s="115">
        <f>E31/E13</f>
        <v>833.33333333333337</v>
      </c>
      <c r="G33" s="115">
        <f t="shared" ref="G33:AA33" si="14">G31/G13</f>
        <v>650</v>
      </c>
      <c r="H33" s="115">
        <f t="shared" si="14"/>
        <v>498.44485206156787</v>
      </c>
      <c r="I33" s="115">
        <f t="shared" si="14"/>
        <v>1248.2566248256626</v>
      </c>
      <c r="J33" s="115">
        <f t="shared" si="14"/>
        <v>1090.4684975767366</v>
      </c>
      <c r="K33" s="115">
        <f t="shared" si="14"/>
        <v>1400</v>
      </c>
      <c r="L33" s="115">
        <f t="shared" si="14"/>
        <v>1785.7142857142858</v>
      </c>
      <c r="M33" s="115">
        <f t="shared" si="14"/>
        <v>666.66666666666663</v>
      </c>
      <c r="N33" s="115">
        <f t="shared" si="14"/>
        <v>2886</v>
      </c>
      <c r="O33" s="115">
        <f t="shared" si="14"/>
        <v>554.74452554744528</v>
      </c>
      <c r="P33" s="115">
        <f t="shared" si="14"/>
        <v>582.52427184466023</v>
      </c>
      <c r="Q33" s="115">
        <f t="shared" si="14"/>
        <v>1928.5714285714287</v>
      </c>
      <c r="R33" s="115">
        <f t="shared" si="14"/>
        <v>2000</v>
      </c>
      <c r="S33" s="115">
        <f t="shared" si="14"/>
        <v>615.94202898550725</v>
      </c>
      <c r="T33" s="115">
        <f t="shared" si="14"/>
        <v>760</v>
      </c>
      <c r="U33" s="115">
        <f t="shared" si="14"/>
        <v>106.47699564509088</v>
      </c>
      <c r="V33" s="115">
        <f t="shared" si="14"/>
        <v>707.63500931098702</v>
      </c>
      <c r="W33" s="115">
        <f t="shared" si="14"/>
        <v>697.67441860465112</v>
      </c>
      <c r="X33" s="115">
        <f t="shared" si="14"/>
        <v>625</v>
      </c>
      <c r="Y33" s="115">
        <f t="shared" si="14"/>
        <v>1217.1866758631884</v>
      </c>
      <c r="Z33" s="115">
        <f t="shared" si="14"/>
        <v>582.52427184466023</v>
      </c>
      <c r="AA33" s="115">
        <f t="shared" si="14"/>
        <v>601.16147128804994</v>
      </c>
    </row>
    <row r="34" spans="1:27" ht="15">
      <c r="A34" s="88" t="s">
        <v>248</v>
      </c>
      <c r="B34" s="115"/>
      <c r="C34" s="115">
        <f t="shared" ref="C34" si="15">C33*долл</f>
        <v>90000</v>
      </c>
      <c r="D34" s="115">
        <f>D33*долл</f>
        <v>93230.277185501065</v>
      </c>
      <c r="E34" s="115">
        <f>E33*долл</f>
        <v>72875</v>
      </c>
      <c r="G34" s="115">
        <f t="shared" ref="G34:O34" si="16">G33*долл</f>
        <v>56842.5</v>
      </c>
      <c r="H34" s="115">
        <f t="shared" si="16"/>
        <v>43589.002312784112</v>
      </c>
      <c r="I34" s="115">
        <f t="shared" si="16"/>
        <v>109160.04184100419</v>
      </c>
      <c r="J34" s="115">
        <f t="shared" si="16"/>
        <v>95361.470113085612</v>
      </c>
      <c r="K34" s="115">
        <f t="shared" si="16"/>
        <v>122430</v>
      </c>
      <c r="L34" s="115">
        <f t="shared" si="16"/>
        <v>156160.71428571429</v>
      </c>
      <c r="M34" s="115">
        <f t="shared" si="16"/>
        <v>58300</v>
      </c>
      <c r="N34" s="115">
        <f t="shared" si="16"/>
        <v>252380.7</v>
      </c>
      <c r="O34" s="115">
        <f t="shared" si="16"/>
        <v>48512.40875912409</v>
      </c>
      <c r="P34" s="115">
        <f t="shared" ref="P34" si="17">P33*долл</f>
        <v>50941.74757281554</v>
      </c>
      <c r="Q34" s="115">
        <f t="shared" ref="Q34" si="18">Q33*долл</f>
        <v>168653.57142857145</v>
      </c>
      <c r="R34" s="115">
        <f>R33*долл</f>
        <v>174900</v>
      </c>
      <c r="S34" s="115">
        <f>S33*долл</f>
        <v>53864.130434782608</v>
      </c>
      <c r="T34" s="115">
        <f t="shared" ref="T34:AA34" si="19">T33*долл</f>
        <v>66462</v>
      </c>
      <c r="U34" s="115">
        <f t="shared" si="19"/>
        <v>9311.4132691631985</v>
      </c>
      <c r="V34" s="115">
        <f t="shared" si="19"/>
        <v>61882.681564245817</v>
      </c>
      <c r="W34" s="115">
        <f t="shared" si="19"/>
        <v>61011.627906976741</v>
      </c>
      <c r="X34" s="115">
        <f t="shared" si="19"/>
        <v>54656.25</v>
      </c>
      <c r="Y34" s="115">
        <f t="shared" si="19"/>
        <v>106442.97480423583</v>
      </c>
      <c r="Z34" s="115">
        <f t="shared" si="19"/>
        <v>50941.74757281554</v>
      </c>
      <c r="AA34" s="115">
        <f t="shared" si="19"/>
        <v>52571.570664139967</v>
      </c>
    </row>
    <row r="35" spans="1:27">
      <c r="A35" s="119" t="s">
        <v>249</v>
      </c>
      <c r="B35" s="87" t="s">
        <v>159</v>
      </c>
      <c r="C35" s="87" t="str">
        <f t="shared" ref="C35" si="20">C5</f>
        <v>Аналог 1</v>
      </c>
      <c r="D35" s="87" t="str">
        <f>D5</f>
        <v>Аналог 2</v>
      </c>
      <c r="E35" s="87" t="str">
        <f>E5</f>
        <v>Аналог 3</v>
      </c>
      <c r="G35" s="87" t="str">
        <f t="shared" ref="G35:AA35" si="21">G5</f>
        <v>Аналог 2</v>
      </c>
      <c r="H35" s="87" t="str">
        <f t="shared" si="21"/>
        <v>Аналог 3</v>
      </c>
      <c r="I35" s="87" t="str">
        <f t="shared" si="21"/>
        <v>Аналог 3</v>
      </c>
      <c r="J35" s="87" t="str">
        <f t="shared" si="21"/>
        <v>Аналог 4</v>
      </c>
      <c r="K35" s="87" t="str">
        <f t="shared" si="21"/>
        <v>Аналог 2</v>
      </c>
      <c r="L35" s="87" t="str">
        <f t="shared" si="21"/>
        <v>Аналог 4</v>
      </c>
      <c r="M35" s="87" t="str">
        <f t="shared" si="21"/>
        <v>Аналог 2</v>
      </c>
      <c r="N35" s="87" t="str">
        <f t="shared" si="21"/>
        <v>Аналог 2</v>
      </c>
      <c r="O35" s="87" t="str">
        <f t="shared" si="21"/>
        <v>Аналог 4</v>
      </c>
      <c r="P35" s="87" t="str">
        <f t="shared" si="21"/>
        <v>Аналог 2</v>
      </c>
      <c r="Q35" s="87" t="str">
        <f t="shared" si="21"/>
        <v>Аналог 2</v>
      </c>
      <c r="R35" s="87" t="str">
        <f t="shared" si="21"/>
        <v>Аналог 3</v>
      </c>
      <c r="S35" s="87" t="str">
        <f t="shared" si="21"/>
        <v>Аналог 2</v>
      </c>
      <c r="T35" s="87" t="str">
        <f t="shared" si="21"/>
        <v>Аналог 1</v>
      </c>
      <c r="U35" s="87" t="str">
        <f t="shared" si="21"/>
        <v>Аналог 2</v>
      </c>
      <c r="V35" s="87" t="str">
        <f t="shared" si="21"/>
        <v>Аналог 3</v>
      </c>
      <c r="W35" s="87" t="str">
        <f t="shared" si="21"/>
        <v>Аналог 1</v>
      </c>
      <c r="X35" s="87" t="str">
        <f t="shared" si="21"/>
        <v>Аналог 2</v>
      </c>
      <c r="Y35" s="87" t="str">
        <f t="shared" si="21"/>
        <v>Аналог 3</v>
      </c>
      <c r="Z35" s="87" t="str">
        <f t="shared" si="21"/>
        <v>Аналог 2</v>
      </c>
      <c r="AA35" s="87" t="str">
        <f t="shared" si="21"/>
        <v>Аналог 3</v>
      </c>
    </row>
    <row r="36" spans="1:27" s="300" customFormat="1" hidden="1" outlineLevel="1">
      <c r="A36" s="120" t="s">
        <v>250</v>
      </c>
      <c r="B36" s="121"/>
      <c r="C36" s="122">
        <v>1</v>
      </c>
      <c r="D36" s="122">
        <v>1</v>
      </c>
      <c r="E36" s="122">
        <v>1</v>
      </c>
      <c r="G36" s="122">
        <v>1</v>
      </c>
      <c r="H36" s="122">
        <v>1</v>
      </c>
      <c r="I36" s="122">
        <v>1</v>
      </c>
      <c r="J36" s="122">
        <v>1</v>
      </c>
      <c r="K36" s="122">
        <v>1</v>
      </c>
      <c r="L36" s="122">
        <v>1</v>
      </c>
      <c r="M36" s="122">
        <v>1</v>
      </c>
      <c r="N36" s="122">
        <v>1</v>
      </c>
      <c r="O36" s="122">
        <v>1</v>
      </c>
      <c r="P36" s="122">
        <v>1</v>
      </c>
      <c r="Q36" s="122">
        <v>1</v>
      </c>
      <c r="R36" s="122">
        <v>1</v>
      </c>
      <c r="S36" s="122">
        <v>1</v>
      </c>
      <c r="T36" s="122">
        <v>1</v>
      </c>
      <c r="U36" s="122">
        <v>1</v>
      </c>
      <c r="V36" s="122">
        <v>1</v>
      </c>
      <c r="W36" s="122">
        <v>1</v>
      </c>
      <c r="X36" s="122">
        <v>1</v>
      </c>
      <c r="Y36" s="122">
        <v>1</v>
      </c>
      <c r="Z36" s="122">
        <v>1</v>
      </c>
      <c r="AA36" s="122">
        <v>1</v>
      </c>
    </row>
    <row r="37" spans="1:27" s="300" customFormat="1" ht="15" hidden="1" outlineLevel="1">
      <c r="A37" s="123" t="s">
        <v>352</v>
      </c>
      <c r="B37" s="124"/>
      <c r="C37" s="124">
        <f t="shared" ref="C37" si="22">C36*C34</f>
        <v>90000</v>
      </c>
      <c r="D37" s="124">
        <f>D36*D34</f>
        <v>93230.277185501065</v>
      </c>
      <c r="E37" s="124">
        <f>E36*E34</f>
        <v>72875</v>
      </c>
      <c r="G37" s="124">
        <f t="shared" ref="G37:Q37" si="23">G36*G34</f>
        <v>56842.5</v>
      </c>
      <c r="H37" s="124">
        <f t="shared" si="23"/>
        <v>43589.002312784112</v>
      </c>
      <c r="I37" s="124">
        <f t="shared" si="23"/>
        <v>109160.04184100419</v>
      </c>
      <c r="J37" s="124">
        <f t="shared" si="23"/>
        <v>95361.470113085612</v>
      </c>
      <c r="K37" s="124">
        <f t="shared" si="23"/>
        <v>122430</v>
      </c>
      <c r="L37" s="124">
        <f t="shared" si="23"/>
        <v>156160.71428571429</v>
      </c>
      <c r="M37" s="124">
        <f t="shared" si="23"/>
        <v>58300</v>
      </c>
      <c r="N37" s="124">
        <f t="shared" si="23"/>
        <v>252380.7</v>
      </c>
      <c r="O37" s="124">
        <f t="shared" si="23"/>
        <v>48512.40875912409</v>
      </c>
      <c r="P37" s="124">
        <f t="shared" si="23"/>
        <v>50941.74757281554</v>
      </c>
      <c r="Q37" s="124">
        <f t="shared" si="23"/>
        <v>168653.57142857145</v>
      </c>
      <c r="R37" s="124">
        <f>R36*R34</f>
        <v>174900</v>
      </c>
      <c r="S37" s="124">
        <f>S36*S34</f>
        <v>53864.130434782608</v>
      </c>
      <c r="T37" s="124">
        <f t="shared" ref="T37:AA37" si="24">T36*T34</f>
        <v>66462</v>
      </c>
      <c r="U37" s="124">
        <f t="shared" si="24"/>
        <v>9311.4132691631985</v>
      </c>
      <c r="V37" s="124">
        <f t="shared" si="24"/>
        <v>61882.681564245817</v>
      </c>
      <c r="W37" s="124">
        <f t="shared" si="24"/>
        <v>61011.627906976741</v>
      </c>
      <c r="X37" s="124">
        <f t="shared" si="24"/>
        <v>54656.25</v>
      </c>
      <c r="Y37" s="124">
        <f t="shared" si="24"/>
        <v>106442.97480423583</v>
      </c>
      <c r="Z37" s="124">
        <f t="shared" si="24"/>
        <v>50941.74757281554</v>
      </c>
      <c r="AA37" s="124">
        <f t="shared" si="24"/>
        <v>52571.570664139967</v>
      </c>
    </row>
    <row r="38" spans="1:27" collapsed="1">
      <c r="A38" s="130" t="s">
        <v>252</v>
      </c>
      <c r="B38" s="115"/>
      <c r="C38" s="131">
        <v>0.9</v>
      </c>
      <c r="D38" s="131">
        <v>0.9</v>
      </c>
      <c r="E38" s="131">
        <v>0.9</v>
      </c>
      <c r="G38" s="131">
        <v>0.95</v>
      </c>
      <c r="H38" s="131">
        <v>0.95</v>
      </c>
      <c r="I38" s="131">
        <v>0.82</v>
      </c>
      <c r="J38" s="131">
        <v>0.95</v>
      </c>
      <c r="K38" s="131">
        <v>0.9</v>
      </c>
      <c r="L38" s="131">
        <v>0.9</v>
      </c>
      <c r="M38" s="131">
        <v>0.9</v>
      </c>
      <c r="N38" s="131">
        <v>0.9</v>
      </c>
      <c r="O38" s="131">
        <v>0.98</v>
      </c>
      <c r="P38" s="131">
        <v>0.98</v>
      </c>
      <c r="Q38" s="131">
        <v>0.9</v>
      </c>
      <c r="R38" s="131">
        <v>0.9</v>
      </c>
      <c r="S38" s="131">
        <v>0.98</v>
      </c>
      <c r="T38" s="131">
        <v>0.95</v>
      </c>
      <c r="U38" s="131">
        <v>0.98</v>
      </c>
      <c r="V38" s="131">
        <v>1</v>
      </c>
      <c r="W38" s="131">
        <v>0.9</v>
      </c>
      <c r="X38" s="131">
        <v>0.9</v>
      </c>
      <c r="Y38" s="131">
        <v>1</v>
      </c>
      <c r="Z38" s="131">
        <v>0.98</v>
      </c>
      <c r="AA38" s="131">
        <v>0.95</v>
      </c>
    </row>
    <row r="39" spans="1:27" ht="15">
      <c r="A39" s="132" t="s">
        <v>352</v>
      </c>
      <c r="B39" s="133"/>
      <c r="C39" s="133">
        <f>C38*C37</f>
        <v>81000</v>
      </c>
      <c r="D39" s="133">
        <f>D38*D37</f>
        <v>83907.249466950962</v>
      </c>
      <c r="E39" s="133">
        <f>E38*E37</f>
        <v>65587.5</v>
      </c>
      <c r="G39" s="133">
        <f t="shared" ref="G39" si="25">G38*G37</f>
        <v>54000.375</v>
      </c>
      <c r="H39" s="133">
        <f>H38*H37</f>
        <v>41409.552197144905</v>
      </c>
      <c r="I39" s="133">
        <f t="shared" ref="I39" si="26">I38*I37</f>
        <v>89511.234309623425</v>
      </c>
      <c r="J39" s="133">
        <f>J38*J37</f>
        <v>90593.396607431321</v>
      </c>
      <c r="K39" s="133">
        <f t="shared" ref="K39" si="27">K38*K37</f>
        <v>110187</v>
      </c>
      <c r="L39" s="133">
        <f>L38*L37</f>
        <v>140544.64285714287</v>
      </c>
      <c r="M39" s="133">
        <f>M38*M37</f>
        <v>52470</v>
      </c>
      <c r="N39" s="133">
        <f>N38*N37</f>
        <v>227142.63</v>
      </c>
      <c r="O39" s="133">
        <f>O38*O37</f>
        <v>47542.160583941608</v>
      </c>
      <c r="P39" s="133">
        <f t="shared" ref="P39:Q39" si="28">P38*P37</f>
        <v>49922.912621359232</v>
      </c>
      <c r="Q39" s="133">
        <f t="shared" si="28"/>
        <v>151788.21428571432</v>
      </c>
      <c r="R39" s="133">
        <f>R38*R37</f>
        <v>157410</v>
      </c>
      <c r="S39" s="133">
        <f>S38*S37</f>
        <v>52786.847826086952</v>
      </c>
      <c r="T39" s="133">
        <f t="shared" ref="T39:AA39" si="29">T38*T37</f>
        <v>63138.899999999994</v>
      </c>
      <c r="U39" s="133">
        <f t="shared" si="29"/>
        <v>9125.185003779934</v>
      </c>
      <c r="V39" s="133">
        <f t="shared" si="29"/>
        <v>61882.681564245817</v>
      </c>
      <c r="W39" s="133">
        <f t="shared" si="29"/>
        <v>54910.465116279069</v>
      </c>
      <c r="X39" s="133">
        <f t="shared" si="29"/>
        <v>49190.625</v>
      </c>
      <c r="Y39" s="133">
        <f t="shared" si="29"/>
        <v>106442.97480423583</v>
      </c>
      <c r="Z39" s="133">
        <f t="shared" si="29"/>
        <v>49922.912621359232</v>
      </c>
      <c r="AA39" s="133">
        <f t="shared" si="29"/>
        <v>49942.992130932966</v>
      </c>
    </row>
    <row r="40" spans="1:27">
      <c r="A40" s="130" t="s">
        <v>253</v>
      </c>
      <c r="B40" s="115"/>
      <c r="C40" s="131">
        <v>1</v>
      </c>
      <c r="D40" s="131">
        <v>1</v>
      </c>
      <c r="E40" s="131">
        <v>1</v>
      </c>
      <c r="G40" s="131">
        <v>1</v>
      </c>
      <c r="H40" s="131">
        <v>1</v>
      </c>
      <c r="I40" s="131">
        <v>1</v>
      </c>
      <c r="J40" s="131">
        <v>1</v>
      </c>
      <c r="K40" s="131">
        <v>1</v>
      </c>
      <c r="L40" s="131">
        <v>1</v>
      </c>
      <c r="M40" s="131">
        <v>1</v>
      </c>
      <c r="N40" s="131">
        <v>1</v>
      </c>
      <c r="O40" s="131">
        <v>1</v>
      </c>
      <c r="P40" s="131">
        <v>1</v>
      </c>
      <c r="Q40" s="131">
        <v>1</v>
      </c>
      <c r="R40" s="131">
        <v>1</v>
      </c>
      <c r="S40" s="131">
        <v>1</v>
      </c>
      <c r="T40" s="131">
        <v>1</v>
      </c>
      <c r="U40" s="131">
        <v>1</v>
      </c>
      <c r="V40" s="131">
        <v>1</v>
      </c>
      <c r="W40" s="131">
        <v>1</v>
      </c>
      <c r="X40" s="131">
        <v>1</v>
      </c>
      <c r="Y40" s="131">
        <v>1</v>
      </c>
      <c r="Z40" s="131">
        <v>1</v>
      </c>
      <c r="AA40" s="131">
        <v>1</v>
      </c>
    </row>
    <row r="41" spans="1:27" ht="15">
      <c r="A41" s="132" t="s">
        <v>352</v>
      </c>
      <c r="B41" s="133"/>
      <c r="C41" s="133">
        <f>C40*C39</f>
        <v>81000</v>
      </c>
      <c r="D41" s="133">
        <f>D40*D39</f>
        <v>83907.249466950962</v>
      </c>
      <c r="E41" s="133">
        <f>E40*E39</f>
        <v>65587.5</v>
      </c>
      <c r="G41" s="133">
        <f t="shared" ref="G41" si="30">G40*G39</f>
        <v>54000.375</v>
      </c>
      <c r="H41" s="133">
        <f>H40*H39</f>
        <v>41409.552197144905</v>
      </c>
      <c r="I41" s="133">
        <f t="shared" ref="I41" si="31">I40*I39</f>
        <v>89511.234309623425</v>
      </c>
      <c r="J41" s="133">
        <f>J40*J39</f>
        <v>90593.396607431321</v>
      </c>
      <c r="K41" s="133">
        <f t="shared" ref="K41" si="32">K40*K39</f>
        <v>110187</v>
      </c>
      <c r="L41" s="133">
        <f>L40*L39</f>
        <v>140544.64285714287</v>
      </c>
      <c r="M41" s="133">
        <f>M40*M39</f>
        <v>52470</v>
      </c>
      <c r="N41" s="133">
        <f t="shared" ref="N41" si="33">N40*N39</f>
        <v>227142.63</v>
      </c>
      <c r="O41" s="133">
        <f>O40*O39</f>
        <v>47542.160583941608</v>
      </c>
      <c r="P41" s="133">
        <f t="shared" ref="P41:Q41" si="34">P40*P39</f>
        <v>49922.912621359232</v>
      </c>
      <c r="Q41" s="133">
        <f t="shared" si="34"/>
        <v>151788.21428571432</v>
      </c>
      <c r="R41" s="133">
        <f>R40*R39</f>
        <v>157410</v>
      </c>
      <c r="S41" s="133">
        <f>S40*S39</f>
        <v>52786.847826086952</v>
      </c>
      <c r="T41" s="133">
        <f t="shared" ref="T41:AA41" si="35">T40*T39</f>
        <v>63138.899999999994</v>
      </c>
      <c r="U41" s="133">
        <f t="shared" si="35"/>
        <v>9125.185003779934</v>
      </c>
      <c r="V41" s="133">
        <f t="shared" si="35"/>
        <v>61882.681564245817</v>
      </c>
      <c r="W41" s="133">
        <f t="shared" si="35"/>
        <v>54910.465116279069</v>
      </c>
      <c r="X41" s="133">
        <f t="shared" si="35"/>
        <v>49190.625</v>
      </c>
      <c r="Y41" s="133">
        <f t="shared" si="35"/>
        <v>106442.97480423583</v>
      </c>
      <c r="Z41" s="133">
        <f t="shared" si="35"/>
        <v>49922.912621359232</v>
      </c>
      <c r="AA41" s="133">
        <f t="shared" si="35"/>
        <v>49942.992130932966</v>
      </c>
    </row>
    <row r="42" spans="1:27">
      <c r="A42" s="130" t="s">
        <v>486</v>
      </c>
      <c r="B42" s="115"/>
      <c r="C42" s="131">
        <v>0.95</v>
      </c>
      <c r="D42" s="131">
        <v>1</v>
      </c>
      <c r="E42" s="131">
        <v>1</v>
      </c>
      <c r="G42" s="131">
        <v>0.95</v>
      </c>
      <c r="H42" s="131">
        <v>1</v>
      </c>
      <c r="I42" s="131">
        <v>1</v>
      </c>
      <c r="J42" s="131">
        <v>1</v>
      </c>
      <c r="K42" s="131">
        <v>1</v>
      </c>
      <c r="L42" s="131">
        <v>1</v>
      </c>
      <c r="M42" s="131">
        <v>1</v>
      </c>
      <c r="N42" s="131">
        <v>1</v>
      </c>
      <c r="O42" s="131">
        <v>1</v>
      </c>
      <c r="P42" s="131">
        <v>1</v>
      </c>
      <c r="Q42" s="131">
        <v>1</v>
      </c>
      <c r="R42" s="131">
        <v>1</v>
      </c>
      <c r="S42" s="131">
        <v>1</v>
      </c>
      <c r="T42" s="131">
        <v>1</v>
      </c>
      <c r="U42" s="131">
        <v>1</v>
      </c>
      <c r="V42" s="131">
        <v>1</v>
      </c>
      <c r="W42" s="131">
        <v>1</v>
      </c>
      <c r="X42" s="131">
        <v>1</v>
      </c>
      <c r="Y42" s="131">
        <v>1</v>
      </c>
      <c r="Z42" s="131">
        <v>1</v>
      </c>
      <c r="AA42" s="131">
        <v>1</v>
      </c>
    </row>
    <row r="43" spans="1:27" ht="15">
      <c r="A43" s="132" t="s">
        <v>352</v>
      </c>
      <c r="B43" s="133"/>
      <c r="C43" s="133">
        <f>C42*C41</f>
        <v>76950</v>
      </c>
      <c r="D43" s="133">
        <f>D42*D41</f>
        <v>83907.249466950962</v>
      </c>
      <c r="E43" s="133">
        <f>E42*E41</f>
        <v>65587.5</v>
      </c>
      <c r="G43" s="133">
        <f t="shared" ref="G43" si="36">G42*G41</f>
        <v>51300.356249999997</v>
      </c>
      <c r="H43" s="133">
        <f>H42*H41</f>
        <v>41409.552197144905</v>
      </c>
      <c r="I43" s="133">
        <f t="shared" ref="I43" si="37">I42*I41</f>
        <v>89511.234309623425</v>
      </c>
      <c r="J43" s="133">
        <f>J42*J41</f>
        <v>90593.396607431321</v>
      </c>
      <c r="K43" s="133">
        <f t="shared" ref="K43" si="38">K42*K41</f>
        <v>110187</v>
      </c>
      <c r="L43" s="133">
        <f>L42*L41</f>
        <v>140544.64285714287</v>
      </c>
      <c r="M43" s="133">
        <f>M42*M41</f>
        <v>52470</v>
      </c>
      <c r="N43" s="133">
        <f t="shared" ref="N43" si="39">N42*N41</f>
        <v>227142.63</v>
      </c>
      <c r="O43" s="133">
        <f>O42*O41</f>
        <v>47542.160583941608</v>
      </c>
      <c r="P43" s="133">
        <f t="shared" ref="P43:Q43" si="40">P42*P41</f>
        <v>49922.912621359232</v>
      </c>
      <c r="Q43" s="133">
        <f t="shared" si="40"/>
        <v>151788.21428571432</v>
      </c>
      <c r="R43" s="133">
        <f>R42*R41</f>
        <v>157410</v>
      </c>
      <c r="S43" s="133">
        <f>S42*S41</f>
        <v>52786.847826086952</v>
      </c>
      <c r="T43" s="133">
        <f t="shared" ref="T43:AA43" si="41">T42*T41</f>
        <v>63138.899999999994</v>
      </c>
      <c r="U43" s="133">
        <f t="shared" si="41"/>
        <v>9125.185003779934</v>
      </c>
      <c r="V43" s="133">
        <f t="shared" si="41"/>
        <v>61882.681564245817</v>
      </c>
      <c r="W43" s="133">
        <f t="shared" si="41"/>
        <v>54910.465116279069</v>
      </c>
      <c r="X43" s="133">
        <f t="shared" si="41"/>
        <v>49190.625</v>
      </c>
      <c r="Y43" s="133">
        <f t="shared" si="41"/>
        <v>106442.97480423583</v>
      </c>
      <c r="Z43" s="133">
        <f t="shared" si="41"/>
        <v>49922.912621359232</v>
      </c>
      <c r="AA43" s="133">
        <f t="shared" si="41"/>
        <v>49942.992130932966</v>
      </c>
    </row>
    <row r="44" spans="1:27">
      <c r="A44" s="130" t="s">
        <v>254</v>
      </c>
      <c r="B44" s="115"/>
      <c r="C44" s="131">
        <v>1</v>
      </c>
      <c r="D44" s="131">
        <v>1.3</v>
      </c>
      <c r="E44" s="131">
        <v>1.3</v>
      </c>
      <c r="G44" s="131">
        <v>1.05</v>
      </c>
      <c r="H44" s="131">
        <v>1.3</v>
      </c>
      <c r="I44" s="131">
        <v>1.02</v>
      </c>
      <c r="J44" s="131">
        <v>1</v>
      </c>
      <c r="K44" s="131">
        <v>1</v>
      </c>
      <c r="L44" s="131">
        <v>1</v>
      </c>
      <c r="M44" s="131">
        <v>1</v>
      </c>
      <c r="N44" s="131">
        <v>1</v>
      </c>
      <c r="O44" s="131">
        <v>1.3</v>
      </c>
      <c r="P44" s="131">
        <v>1</v>
      </c>
      <c r="Q44" s="131">
        <v>1</v>
      </c>
      <c r="R44" s="131">
        <v>1</v>
      </c>
      <c r="S44" s="131">
        <v>1</v>
      </c>
      <c r="T44" s="131">
        <v>1</v>
      </c>
      <c r="U44" s="131">
        <v>1</v>
      </c>
      <c r="V44" s="131">
        <v>1</v>
      </c>
      <c r="W44" s="131">
        <v>1.1000000000000001</v>
      </c>
      <c r="X44" s="131">
        <v>1</v>
      </c>
      <c r="Y44" s="131">
        <v>1</v>
      </c>
      <c r="Z44" s="131">
        <v>1</v>
      </c>
      <c r="AA44" s="131">
        <v>1</v>
      </c>
    </row>
    <row r="45" spans="1:27" ht="15">
      <c r="A45" s="132" t="s">
        <v>352</v>
      </c>
      <c r="B45" s="133"/>
      <c r="C45" s="301">
        <f>C44*C43</f>
        <v>76950</v>
      </c>
      <c r="D45" s="301">
        <f>D44*D43</f>
        <v>109079.42430703626</v>
      </c>
      <c r="E45" s="301">
        <f>E44*E43</f>
        <v>85263.75</v>
      </c>
      <c r="G45" s="301">
        <f t="shared" ref="G45" si="42">G44*G43</f>
        <v>53865.374062499999</v>
      </c>
      <c r="H45" s="301">
        <f>H44*H43</f>
        <v>53832.417856288375</v>
      </c>
      <c r="I45" s="301">
        <f t="shared" ref="I45" si="43">I44*I43</f>
        <v>91301.45899581589</v>
      </c>
      <c r="J45" s="301">
        <f>J44*J43</f>
        <v>90593.396607431321</v>
      </c>
      <c r="K45" s="301">
        <f t="shared" ref="K45" si="44">K44*K43</f>
        <v>110187</v>
      </c>
      <c r="L45" s="301">
        <f>L44*L43</f>
        <v>140544.64285714287</v>
      </c>
      <c r="M45" s="301">
        <f>M44*M43</f>
        <v>52470</v>
      </c>
      <c r="N45" s="301">
        <f t="shared" ref="N45" si="45">N44*N43</f>
        <v>227142.63</v>
      </c>
      <c r="O45" s="301">
        <f>O44*O43</f>
        <v>61804.808759124091</v>
      </c>
      <c r="P45" s="301">
        <f t="shared" ref="P45:Q45" si="46">P44*P43</f>
        <v>49922.912621359232</v>
      </c>
      <c r="Q45" s="301">
        <f t="shared" si="46"/>
        <v>151788.21428571432</v>
      </c>
      <c r="R45" s="301">
        <f>R44*R43</f>
        <v>157410</v>
      </c>
      <c r="S45" s="301">
        <f>S44*S43</f>
        <v>52786.847826086952</v>
      </c>
      <c r="T45" s="301">
        <f t="shared" ref="T45:AA45" si="47">T44*T43</f>
        <v>63138.899999999994</v>
      </c>
      <c r="U45" s="301">
        <f t="shared" si="47"/>
        <v>9125.185003779934</v>
      </c>
      <c r="V45" s="301">
        <f t="shared" si="47"/>
        <v>61882.681564245817</v>
      </c>
      <c r="W45" s="301">
        <f t="shared" si="47"/>
        <v>60401.511627906977</v>
      </c>
      <c r="X45" s="301">
        <f t="shared" si="47"/>
        <v>49190.625</v>
      </c>
      <c r="Y45" s="301">
        <f t="shared" si="47"/>
        <v>106442.97480423583</v>
      </c>
      <c r="Z45" s="301">
        <f t="shared" si="47"/>
        <v>49922.912621359232</v>
      </c>
      <c r="AA45" s="301">
        <f t="shared" si="47"/>
        <v>49942.992130932966</v>
      </c>
    </row>
    <row r="46" spans="1:27">
      <c r="A46" s="130" t="s">
        <v>255</v>
      </c>
      <c r="B46" s="115"/>
      <c r="C46" s="131">
        <v>1.05</v>
      </c>
      <c r="D46" s="131">
        <v>1</v>
      </c>
      <c r="E46" s="131">
        <v>0.98</v>
      </c>
      <c r="G46" s="131">
        <v>0.95</v>
      </c>
      <c r="H46" s="131">
        <v>1.05</v>
      </c>
      <c r="I46" s="131">
        <v>1</v>
      </c>
      <c r="J46" s="131">
        <v>1</v>
      </c>
      <c r="K46" s="131">
        <v>0.85</v>
      </c>
      <c r="L46" s="131">
        <v>1</v>
      </c>
      <c r="M46" s="131">
        <v>1</v>
      </c>
      <c r="N46" s="131">
        <v>1</v>
      </c>
      <c r="O46" s="131">
        <v>1.1000000000000001</v>
      </c>
      <c r="P46" s="131">
        <v>1</v>
      </c>
      <c r="Q46" s="131">
        <v>1</v>
      </c>
      <c r="R46" s="131">
        <v>1</v>
      </c>
      <c r="S46" s="131">
        <v>1</v>
      </c>
      <c r="T46" s="131">
        <v>1</v>
      </c>
      <c r="U46" s="131">
        <v>1</v>
      </c>
      <c r="V46" s="131">
        <v>1.1000000000000001</v>
      </c>
      <c r="W46" s="131">
        <v>1</v>
      </c>
      <c r="X46" s="131">
        <v>1.1000000000000001</v>
      </c>
      <c r="Y46" s="131">
        <v>1.1000000000000001</v>
      </c>
      <c r="Z46" s="131">
        <v>1.05</v>
      </c>
      <c r="AA46" s="131">
        <v>1.02</v>
      </c>
    </row>
    <row r="47" spans="1:27" ht="15">
      <c r="A47" s="132" t="s">
        <v>352</v>
      </c>
      <c r="B47" s="133"/>
      <c r="C47" s="301">
        <f>C46*C45</f>
        <v>80797.5</v>
      </c>
      <c r="D47" s="301">
        <f>D46*D45</f>
        <v>109079.42430703626</v>
      </c>
      <c r="E47" s="301">
        <f>E46*E45</f>
        <v>83558.474999999991</v>
      </c>
      <c r="G47" s="301">
        <f t="shared" ref="G47" si="48">G46*G45</f>
        <v>51172.105359374997</v>
      </c>
      <c r="H47" s="301">
        <f>H46*H45</f>
        <v>56524.038749102794</v>
      </c>
      <c r="I47" s="301">
        <f t="shared" ref="I47" si="49">I46*I45</f>
        <v>91301.45899581589</v>
      </c>
      <c r="J47" s="301">
        <f>J46*J45</f>
        <v>90593.396607431321</v>
      </c>
      <c r="K47" s="301">
        <f t="shared" ref="K47" si="50">K46*K45</f>
        <v>93658.95</v>
      </c>
      <c r="L47" s="301">
        <f>L46*L45</f>
        <v>140544.64285714287</v>
      </c>
      <c r="M47" s="301">
        <f>M46*M45</f>
        <v>52470</v>
      </c>
      <c r="N47" s="301">
        <f t="shared" ref="N47" si="51">N46*N45</f>
        <v>227142.63</v>
      </c>
      <c r="O47" s="301">
        <f>O46*O45</f>
        <v>67985.289635036504</v>
      </c>
      <c r="P47" s="301">
        <f t="shared" ref="P47:Q47" si="52">P46*P45</f>
        <v>49922.912621359232</v>
      </c>
      <c r="Q47" s="301">
        <f t="shared" si="52"/>
        <v>151788.21428571432</v>
      </c>
      <c r="R47" s="301">
        <f>R46*R45</f>
        <v>157410</v>
      </c>
      <c r="S47" s="301">
        <f>S46*S45</f>
        <v>52786.847826086952</v>
      </c>
      <c r="T47" s="301">
        <f t="shared" ref="T47:AA47" si="53">T46*T45</f>
        <v>63138.899999999994</v>
      </c>
      <c r="U47" s="301">
        <f t="shared" si="53"/>
        <v>9125.185003779934</v>
      </c>
      <c r="V47" s="301">
        <f t="shared" si="53"/>
        <v>68070.949720670411</v>
      </c>
      <c r="W47" s="301">
        <f t="shared" si="53"/>
        <v>60401.511627906977</v>
      </c>
      <c r="X47" s="301">
        <f t="shared" si="53"/>
        <v>54109.687500000007</v>
      </c>
      <c r="Y47" s="301">
        <f t="shared" si="53"/>
        <v>117087.27228465941</v>
      </c>
      <c r="Z47" s="301">
        <f t="shared" si="53"/>
        <v>52419.058252427196</v>
      </c>
      <c r="AA47" s="301">
        <f t="shared" si="53"/>
        <v>50941.851973551624</v>
      </c>
    </row>
    <row r="48" spans="1:27">
      <c r="A48" s="130" t="s">
        <v>257</v>
      </c>
      <c r="B48" s="115"/>
      <c r="C48" s="131">
        <v>1</v>
      </c>
      <c r="D48" s="131">
        <v>0.98</v>
      </c>
      <c r="E48" s="131">
        <v>0.95</v>
      </c>
      <c r="G48" s="131">
        <v>0.95</v>
      </c>
      <c r="H48" s="131">
        <v>1.1000000000000001</v>
      </c>
      <c r="I48" s="131">
        <v>0.98</v>
      </c>
      <c r="J48" s="131">
        <v>1</v>
      </c>
      <c r="K48" s="131">
        <v>1</v>
      </c>
      <c r="L48" s="131">
        <v>0.95</v>
      </c>
      <c r="M48" s="131">
        <v>0.98</v>
      </c>
      <c r="N48" s="131">
        <v>0.98</v>
      </c>
      <c r="O48" s="131">
        <v>1</v>
      </c>
      <c r="P48" s="131">
        <v>0.98</v>
      </c>
      <c r="Q48" s="131">
        <v>1</v>
      </c>
      <c r="R48" s="131">
        <v>1</v>
      </c>
      <c r="S48" s="131">
        <v>1</v>
      </c>
      <c r="T48" s="131">
        <v>1</v>
      </c>
      <c r="U48" s="131">
        <v>1</v>
      </c>
      <c r="V48" s="131">
        <v>0.95</v>
      </c>
      <c r="W48" s="131">
        <v>0.95</v>
      </c>
      <c r="X48" s="131">
        <v>0.95</v>
      </c>
      <c r="Y48" s="131">
        <v>0.95</v>
      </c>
      <c r="Z48" s="131">
        <v>0.95</v>
      </c>
      <c r="AA48" s="131">
        <v>1</v>
      </c>
    </row>
    <row r="49" spans="1:27" ht="15">
      <c r="A49" s="132" t="s">
        <v>352</v>
      </c>
      <c r="B49" s="133"/>
      <c r="C49" s="301">
        <f>C48*C47</f>
        <v>80797.5</v>
      </c>
      <c r="D49" s="301">
        <f>D48*D47</f>
        <v>106897.83582089553</v>
      </c>
      <c r="E49" s="301">
        <f>E48*E47</f>
        <v>79380.55124999999</v>
      </c>
      <c r="G49" s="301">
        <f t="shared" ref="G49" si="54">G48*G47</f>
        <v>48613.500091406248</v>
      </c>
      <c r="H49" s="301">
        <f>H48*H47</f>
        <v>62176.442624013078</v>
      </c>
      <c r="I49" s="301">
        <f t="shared" ref="I49" si="55">I48*I47</f>
        <v>89475.429815899566</v>
      </c>
      <c r="J49" s="301">
        <f>J48*J47</f>
        <v>90593.396607431321</v>
      </c>
      <c r="K49" s="301">
        <f t="shared" ref="K49" si="56">K48*K47</f>
        <v>93658.95</v>
      </c>
      <c r="L49" s="301">
        <f>L48*L47</f>
        <v>133517.41071428571</v>
      </c>
      <c r="M49" s="301">
        <f>M48*M47</f>
        <v>51420.6</v>
      </c>
      <c r="N49" s="301">
        <f t="shared" ref="N49" si="57">N48*N47</f>
        <v>222599.77739999999</v>
      </c>
      <c r="O49" s="301">
        <f>O48*O47</f>
        <v>67985.289635036504</v>
      </c>
      <c r="P49" s="301">
        <f t="shared" ref="P49:Q49" si="58">P48*P47</f>
        <v>48924.454368932049</v>
      </c>
      <c r="Q49" s="301">
        <f t="shared" si="58"/>
        <v>151788.21428571432</v>
      </c>
      <c r="R49" s="301">
        <f>R48*R47</f>
        <v>157410</v>
      </c>
      <c r="S49" s="301">
        <f>S48*S47</f>
        <v>52786.847826086952</v>
      </c>
      <c r="T49" s="301">
        <f t="shared" ref="T49:AA49" si="59">T48*T47</f>
        <v>63138.899999999994</v>
      </c>
      <c r="U49" s="301">
        <f t="shared" si="59"/>
        <v>9125.185003779934</v>
      </c>
      <c r="V49" s="301">
        <f t="shared" si="59"/>
        <v>64667.402234636887</v>
      </c>
      <c r="W49" s="301">
        <f t="shared" si="59"/>
        <v>57381.436046511626</v>
      </c>
      <c r="X49" s="301">
        <f t="shared" si="59"/>
        <v>51404.203125000007</v>
      </c>
      <c r="Y49" s="301">
        <f t="shared" si="59"/>
        <v>111232.90867042643</v>
      </c>
      <c r="Z49" s="301">
        <f t="shared" si="59"/>
        <v>49798.105339805836</v>
      </c>
      <c r="AA49" s="301">
        <f t="shared" si="59"/>
        <v>50941.851973551624</v>
      </c>
    </row>
    <row r="50" spans="1:27">
      <c r="A50" s="130" t="s">
        <v>258</v>
      </c>
      <c r="B50" s="133"/>
      <c r="C50" s="131">
        <f>MROUND(C108,0.02)</f>
        <v>1.02</v>
      </c>
      <c r="D50" s="131">
        <f>MROUND(D108,0.02)</f>
        <v>1</v>
      </c>
      <c r="E50" s="131">
        <f>MROUND(E108,0.02)</f>
        <v>1.02</v>
      </c>
      <c r="G50" s="131">
        <f t="shared" ref="G50" si="60">MROUND(G108,0.02)</f>
        <v>0.98</v>
      </c>
      <c r="H50" s="131">
        <f>MROUND(H108,0.02)</f>
        <v>1</v>
      </c>
      <c r="I50" s="131">
        <f t="shared" ref="I50" si="61">MROUND(I108,0.02)</f>
        <v>0.86</v>
      </c>
      <c r="J50" s="131">
        <f>MROUND(J108,0.01)</f>
        <v>1.04</v>
      </c>
      <c r="K50" s="131">
        <f t="shared" ref="K50" si="62">MROUND(K108,0.02)</f>
        <v>0.92</v>
      </c>
      <c r="L50" s="131">
        <f>MROUND(L108,0.02)</f>
        <v>0.86</v>
      </c>
      <c r="M50" s="131">
        <f>MROUND(M108,0.02)</f>
        <v>0.88</v>
      </c>
      <c r="N50" s="131">
        <f t="shared" ref="N50" si="63">MROUND(N108,0.02)</f>
        <v>0.98</v>
      </c>
      <c r="O50" s="131">
        <f>MROUND(O108,0.02)</f>
        <v>1</v>
      </c>
      <c r="P50" s="131">
        <f>MROUND(P108,0.01)</f>
        <v>0.98</v>
      </c>
      <c r="Q50" s="131">
        <v>1</v>
      </c>
      <c r="R50" s="131">
        <v>1</v>
      </c>
      <c r="S50" s="131">
        <v>1</v>
      </c>
      <c r="T50" s="131">
        <f t="shared" ref="T50:AA50" si="64">MROUND(T108,0.01)</f>
        <v>1.04</v>
      </c>
      <c r="U50" s="131">
        <f t="shared" si="64"/>
        <v>0.94000000000000006</v>
      </c>
      <c r="V50" s="131">
        <f t="shared" si="64"/>
        <v>0.9</v>
      </c>
      <c r="W50" s="131">
        <f t="shared" si="64"/>
        <v>1</v>
      </c>
      <c r="X50" s="131">
        <f t="shared" si="64"/>
        <v>1.01</v>
      </c>
      <c r="Y50" s="131">
        <f t="shared" si="64"/>
        <v>1.05</v>
      </c>
      <c r="Z50" s="131">
        <f t="shared" si="64"/>
        <v>0.98</v>
      </c>
      <c r="AA50" s="131">
        <f t="shared" si="64"/>
        <v>0.96</v>
      </c>
    </row>
    <row r="51" spans="1:27" s="300" customFormat="1" ht="15" hidden="1" outlineLevel="1">
      <c r="A51" s="123" t="s">
        <v>352</v>
      </c>
      <c r="B51" s="124"/>
      <c r="C51" s="302">
        <f>C50*C49</f>
        <v>82413.45</v>
      </c>
      <c r="D51" s="302">
        <f>D50*D49</f>
        <v>106897.83582089553</v>
      </c>
      <c r="E51" s="302">
        <f>E50*E49</f>
        <v>80968.162274999995</v>
      </c>
      <c r="G51" s="302">
        <f t="shared" ref="G51" si="65">G50*G49</f>
        <v>47641.230089578123</v>
      </c>
      <c r="H51" s="302">
        <f>H50*H49</f>
        <v>62176.442624013078</v>
      </c>
      <c r="I51" s="302">
        <f t="shared" ref="I51" si="66">I50*I49</f>
        <v>76948.86964167362</v>
      </c>
      <c r="J51" s="302">
        <f>J50*J49</f>
        <v>94217.132471728575</v>
      </c>
      <c r="K51" s="302">
        <f t="shared" ref="K51" si="67">K50*K49</f>
        <v>86166.233999999997</v>
      </c>
      <c r="L51" s="302">
        <f>L50*L49</f>
        <v>114824.97321428571</v>
      </c>
      <c r="M51" s="302">
        <f>M50*M49</f>
        <v>45250.127999999997</v>
      </c>
      <c r="N51" s="302">
        <f t="shared" ref="N51" si="68">N50*N49</f>
        <v>218147.78185199999</v>
      </c>
      <c r="O51" s="302">
        <f>O50*O49</f>
        <v>67985.289635036504</v>
      </c>
      <c r="P51" s="302">
        <f t="shared" ref="P51:Q51" si="69">P50*P49</f>
        <v>47945.965281553406</v>
      </c>
      <c r="Q51" s="302">
        <f t="shared" si="69"/>
        <v>151788.21428571432</v>
      </c>
      <c r="R51" s="302">
        <f>R50*R49</f>
        <v>157410</v>
      </c>
      <c r="S51" s="302">
        <f>S50*S49</f>
        <v>52786.847826086952</v>
      </c>
      <c r="T51" s="302">
        <f t="shared" ref="T51:AA51" si="70">T50*T49</f>
        <v>65664.455999999991</v>
      </c>
      <c r="U51" s="302">
        <f t="shared" si="70"/>
        <v>8577.6739035531391</v>
      </c>
      <c r="V51" s="302">
        <f t="shared" si="70"/>
        <v>58200.662011173197</v>
      </c>
      <c r="W51" s="302">
        <f t="shared" si="70"/>
        <v>57381.436046511626</v>
      </c>
      <c r="X51" s="302">
        <f t="shared" si="70"/>
        <v>51918.245156250006</v>
      </c>
      <c r="Y51" s="302">
        <f t="shared" si="70"/>
        <v>116794.55410394775</v>
      </c>
      <c r="Z51" s="302">
        <f t="shared" si="70"/>
        <v>48802.143233009716</v>
      </c>
      <c r="AA51" s="302">
        <f t="shared" si="70"/>
        <v>48904.177894609558</v>
      </c>
    </row>
    <row r="52" spans="1:27" s="300" customFormat="1" hidden="1" outlineLevel="1">
      <c r="A52" s="120" t="s">
        <v>487</v>
      </c>
      <c r="B52" s="121"/>
      <c r="C52" s="122">
        <v>1</v>
      </c>
      <c r="D52" s="122">
        <v>1</v>
      </c>
      <c r="E52" s="122">
        <v>1</v>
      </c>
      <c r="G52" s="122">
        <v>1</v>
      </c>
      <c r="H52" s="122">
        <v>1</v>
      </c>
      <c r="I52" s="122">
        <v>1</v>
      </c>
      <c r="J52" s="122">
        <v>1</v>
      </c>
      <c r="K52" s="122">
        <v>1</v>
      </c>
      <c r="L52" s="122">
        <v>1</v>
      </c>
      <c r="M52" s="122">
        <v>1</v>
      </c>
      <c r="N52" s="122">
        <v>1</v>
      </c>
      <c r="O52" s="122">
        <v>1</v>
      </c>
      <c r="P52" s="122">
        <v>1</v>
      </c>
      <c r="Q52" s="122">
        <v>1</v>
      </c>
      <c r="R52" s="122">
        <v>1</v>
      </c>
      <c r="S52" s="122">
        <v>1</v>
      </c>
      <c r="T52" s="122">
        <v>1</v>
      </c>
      <c r="U52" s="122">
        <v>1</v>
      </c>
      <c r="V52" s="122">
        <v>1</v>
      </c>
      <c r="W52" s="122">
        <v>1</v>
      </c>
      <c r="X52" s="122">
        <v>1</v>
      </c>
      <c r="Y52" s="122">
        <v>1</v>
      </c>
      <c r="Z52" s="122">
        <v>1</v>
      </c>
      <c r="AA52" s="122">
        <v>1</v>
      </c>
    </row>
    <row r="53" spans="1:27" ht="15" collapsed="1">
      <c r="A53" s="132" t="s">
        <v>352</v>
      </c>
      <c r="B53" s="133"/>
      <c r="C53" s="301">
        <f>C52*C51</f>
        <v>82413.45</v>
      </c>
      <c r="D53" s="301">
        <f>D52*D51</f>
        <v>106897.83582089553</v>
      </c>
      <c r="E53" s="301">
        <f>E52*E51</f>
        <v>80968.162274999995</v>
      </c>
      <c r="G53" s="301">
        <f t="shared" ref="G53" si="71">G52*G51</f>
        <v>47641.230089578123</v>
      </c>
      <c r="H53" s="301">
        <f>H52*H51</f>
        <v>62176.442624013078</v>
      </c>
      <c r="I53" s="301">
        <f t="shared" ref="I53" si="72">I52*I51</f>
        <v>76948.86964167362</v>
      </c>
      <c r="J53" s="301">
        <f>J52*J51</f>
        <v>94217.132471728575</v>
      </c>
      <c r="K53" s="301">
        <f t="shared" ref="K53" si="73">K52*K51</f>
        <v>86166.233999999997</v>
      </c>
      <c r="L53" s="301">
        <f>L52*L51</f>
        <v>114824.97321428571</v>
      </c>
      <c r="M53" s="301">
        <f>M52*M51</f>
        <v>45250.127999999997</v>
      </c>
      <c r="N53" s="301">
        <f t="shared" ref="N53" si="74">N52*N51</f>
        <v>218147.78185199999</v>
      </c>
      <c r="O53" s="301">
        <f>O52*O51</f>
        <v>67985.289635036504</v>
      </c>
      <c r="P53" s="301">
        <f t="shared" ref="P53:Q53" si="75">P52*P51</f>
        <v>47945.965281553406</v>
      </c>
      <c r="Q53" s="301">
        <f t="shared" si="75"/>
        <v>151788.21428571432</v>
      </c>
      <c r="R53" s="301">
        <f>R52*R51</f>
        <v>157410</v>
      </c>
      <c r="S53" s="301">
        <f>S52*S51</f>
        <v>52786.847826086952</v>
      </c>
      <c r="T53" s="301">
        <f t="shared" ref="T53:AA53" si="76">T52*T51</f>
        <v>65664.455999999991</v>
      </c>
      <c r="U53" s="301">
        <f t="shared" si="76"/>
        <v>8577.6739035531391</v>
      </c>
      <c r="V53" s="301">
        <f t="shared" si="76"/>
        <v>58200.662011173197</v>
      </c>
      <c r="W53" s="301">
        <f t="shared" si="76"/>
        <v>57381.436046511626</v>
      </c>
      <c r="X53" s="301">
        <f t="shared" si="76"/>
        <v>51918.245156250006</v>
      </c>
      <c r="Y53" s="301">
        <f t="shared" si="76"/>
        <v>116794.55410394775</v>
      </c>
      <c r="Z53" s="301">
        <f t="shared" si="76"/>
        <v>48802.143233009716</v>
      </c>
      <c r="AA53" s="301">
        <f t="shared" si="76"/>
        <v>48904.177894609558</v>
      </c>
    </row>
    <row r="54" spans="1:27">
      <c r="A54" s="130" t="s">
        <v>267</v>
      </c>
      <c r="B54" s="133"/>
      <c r="C54" s="131">
        <v>0.9</v>
      </c>
      <c r="D54" s="131">
        <v>0.85</v>
      </c>
      <c r="E54" s="131">
        <v>0.85</v>
      </c>
      <c r="G54" s="131">
        <v>0.82</v>
      </c>
      <c r="H54" s="131">
        <v>0.88</v>
      </c>
      <c r="I54" s="131">
        <v>0.8</v>
      </c>
      <c r="J54" s="131">
        <v>0.85</v>
      </c>
      <c r="K54" s="131">
        <v>0.85</v>
      </c>
      <c r="L54" s="131">
        <v>0.82</v>
      </c>
      <c r="M54" s="131">
        <v>0.82</v>
      </c>
      <c r="N54" s="131">
        <v>0.82</v>
      </c>
      <c r="O54" s="131">
        <v>0.82</v>
      </c>
      <c r="P54" s="131">
        <v>0.88</v>
      </c>
      <c r="Q54" s="131">
        <v>0.9</v>
      </c>
      <c r="R54" s="131">
        <v>0.85</v>
      </c>
      <c r="S54" s="131">
        <v>0.8</v>
      </c>
      <c r="T54" s="131">
        <v>0.9</v>
      </c>
      <c r="U54" s="131">
        <v>0.95</v>
      </c>
      <c r="V54" s="131">
        <v>0.82</v>
      </c>
      <c r="W54" s="131">
        <v>0.92</v>
      </c>
      <c r="X54" s="131">
        <v>0.82</v>
      </c>
      <c r="Y54" s="131">
        <v>0.82</v>
      </c>
      <c r="Z54" s="131">
        <v>0.9</v>
      </c>
      <c r="AA54" s="131">
        <v>0.85</v>
      </c>
    </row>
    <row r="55" spans="1:27" ht="15">
      <c r="A55" s="132" t="s">
        <v>352</v>
      </c>
      <c r="B55" s="133"/>
      <c r="C55" s="301">
        <f>C54*C53</f>
        <v>74172.104999999996</v>
      </c>
      <c r="D55" s="301">
        <f>D54*D53</f>
        <v>90863.160447761198</v>
      </c>
      <c r="E55" s="301">
        <f>E54*E53</f>
        <v>68822.93793375</v>
      </c>
      <c r="G55" s="301">
        <f t="shared" ref="G55" si="77">G54*G53</f>
        <v>39065.808673454056</v>
      </c>
      <c r="H55" s="301">
        <f>H54*H53</f>
        <v>54715.269509131511</v>
      </c>
      <c r="I55" s="301">
        <f t="shared" ref="I55" si="78">I54*I53</f>
        <v>61559.095713338902</v>
      </c>
      <c r="J55" s="301">
        <f>J54*J53</f>
        <v>80084.562600969293</v>
      </c>
      <c r="K55" s="301">
        <f t="shared" ref="K55" si="79">K54*K53</f>
        <v>73241.298899999994</v>
      </c>
      <c r="L55" s="301">
        <f>L54*L53</f>
        <v>94156.478035714274</v>
      </c>
      <c r="M55" s="301">
        <f>M54*M53</f>
        <v>37105.104959999997</v>
      </c>
      <c r="N55" s="301">
        <f t="shared" ref="N55" si="80">N54*N53</f>
        <v>178881.18111863997</v>
      </c>
      <c r="O55" s="301">
        <f>O54*O53</f>
        <v>55747.937500729931</v>
      </c>
      <c r="P55" s="301">
        <f>P54*P53</f>
        <v>42192.449447767001</v>
      </c>
      <c r="Q55" s="301">
        <f>Q54*Q53</f>
        <v>136609.3928571429</v>
      </c>
      <c r="R55" s="301">
        <f t="shared" ref="R55:S55" si="81">R54*R53</f>
        <v>133798.5</v>
      </c>
      <c r="S55" s="301">
        <f t="shared" si="81"/>
        <v>42229.478260869568</v>
      </c>
      <c r="T55" s="301">
        <f>T54*T53</f>
        <v>59098.010399999992</v>
      </c>
      <c r="U55" s="301">
        <f t="shared" ref="U55:V55" si="82">U54*U53</f>
        <v>8148.7902083754816</v>
      </c>
      <c r="V55" s="301">
        <f t="shared" si="82"/>
        <v>47724.542849162019</v>
      </c>
      <c r="W55" s="301">
        <f>W54*W53</f>
        <v>52790.921162790699</v>
      </c>
      <c r="X55" s="301">
        <f t="shared" ref="X55:Y55" si="83">X54*X53</f>
        <v>42572.961028125006</v>
      </c>
      <c r="Y55" s="301">
        <f t="shared" si="83"/>
        <v>95771.534365237152</v>
      </c>
      <c r="Z55" s="301">
        <f>Z54*Z53</f>
        <v>43921.928909708746</v>
      </c>
      <c r="AA55" s="301">
        <f>AA54*AA53</f>
        <v>41568.551210418125</v>
      </c>
    </row>
    <row r="56" spans="1:27">
      <c r="A56" s="130" t="s">
        <v>488</v>
      </c>
      <c r="B56" s="115"/>
      <c r="C56" s="131">
        <v>0.95</v>
      </c>
      <c r="D56" s="131">
        <v>0.95</v>
      </c>
      <c r="E56" s="131">
        <v>0.95</v>
      </c>
      <c r="G56" s="131">
        <v>0.95</v>
      </c>
      <c r="H56" s="131">
        <v>0.95</v>
      </c>
      <c r="I56" s="131">
        <v>0.95</v>
      </c>
      <c r="J56" s="131">
        <v>0.95</v>
      </c>
      <c r="K56" s="131">
        <v>0.95</v>
      </c>
      <c r="L56" s="131">
        <v>0.95</v>
      </c>
      <c r="M56" s="131">
        <v>0.95</v>
      </c>
      <c r="N56" s="131">
        <v>0.95</v>
      </c>
      <c r="O56" s="131">
        <v>0.95</v>
      </c>
      <c r="P56" s="131">
        <v>0.95</v>
      </c>
      <c r="Q56" s="131">
        <v>1</v>
      </c>
      <c r="R56" s="131">
        <v>1</v>
      </c>
      <c r="S56" s="131">
        <v>1</v>
      </c>
      <c r="T56" s="131">
        <v>1</v>
      </c>
      <c r="U56" s="131">
        <v>1</v>
      </c>
      <c r="V56" s="131">
        <v>1</v>
      </c>
      <c r="W56" s="131">
        <v>0.95</v>
      </c>
      <c r="X56" s="131">
        <v>0.95</v>
      </c>
      <c r="Y56" s="131">
        <v>0.95</v>
      </c>
      <c r="Z56" s="131">
        <v>0.95</v>
      </c>
      <c r="AA56" s="131">
        <v>0.95</v>
      </c>
    </row>
    <row r="57" spans="1:27" ht="15">
      <c r="A57" s="132" t="s">
        <v>352</v>
      </c>
      <c r="B57" s="133"/>
      <c r="C57" s="301">
        <f>C56*C55</f>
        <v>70463.499749999988</v>
      </c>
      <c r="D57" s="301">
        <f>D56*D55</f>
        <v>86320.002425373139</v>
      </c>
      <c r="E57" s="301">
        <f>E56*E55</f>
        <v>65381.791037062496</v>
      </c>
      <c r="G57" s="301">
        <f t="shared" ref="G57" si="84">G56*G55</f>
        <v>37112.518239781348</v>
      </c>
      <c r="H57" s="301">
        <f>H56*H55</f>
        <v>51979.50603367493</v>
      </c>
      <c r="I57" s="301">
        <f t="shared" ref="I57" si="85">I56*I55</f>
        <v>58481.140927671957</v>
      </c>
      <c r="J57" s="301">
        <f>J56*J55</f>
        <v>76080.334470920832</v>
      </c>
      <c r="K57" s="301">
        <f t="shared" ref="K57" si="86">K56*K55</f>
        <v>69579.233954999989</v>
      </c>
      <c r="L57" s="301">
        <f>L56*L55</f>
        <v>89448.654133928561</v>
      </c>
      <c r="M57" s="301">
        <f>M56*M55</f>
        <v>35249.849711999996</v>
      </c>
      <c r="N57" s="301">
        <f t="shared" ref="N57" si="87">N56*N55</f>
        <v>169937.12206270796</v>
      </c>
      <c r="O57" s="301">
        <f>O56*O55</f>
        <v>52960.540625693429</v>
      </c>
      <c r="P57" s="301">
        <f t="shared" ref="P57:Q57" si="88">P56*P55</f>
        <v>40082.826975378652</v>
      </c>
      <c r="Q57" s="301">
        <f t="shared" si="88"/>
        <v>136609.3928571429</v>
      </c>
      <c r="R57" s="301">
        <f>R56*R55</f>
        <v>133798.5</v>
      </c>
      <c r="S57" s="301">
        <f>S56*S55</f>
        <v>42229.478260869568</v>
      </c>
      <c r="T57" s="301">
        <f t="shared" ref="T57:AA57" si="89">T56*T55</f>
        <v>59098.010399999992</v>
      </c>
      <c r="U57" s="301">
        <f t="shared" si="89"/>
        <v>8148.7902083754816</v>
      </c>
      <c r="V57" s="301">
        <f t="shared" si="89"/>
        <v>47724.542849162019</v>
      </c>
      <c r="W57" s="301">
        <f t="shared" si="89"/>
        <v>50151.375104651161</v>
      </c>
      <c r="X57" s="301">
        <f t="shared" si="89"/>
        <v>40444.312976718757</v>
      </c>
      <c r="Y57" s="301">
        <f t="shared" si="89"/>
        <v>90982.957646975294</v>
      </c>
      <c r="Z57" s="301">
        <f t="shared" si="89"/>
        <v>41725.832464223306</v>
      </c>
      <c r="AA57" s="301">
        <f t="shared" si="89"/>
        <v>39490.123649897214</v>
      </c>
    </row>
    <row r="58" spans="1:27">
      <c r="A58" s="130" t="s">
        <v>261</v>
      </c>
      <c r="B58" s="133"/>
      <c r="C58" s="131">
        <v>1</v>
      </c>
      <c r="D58" s="131">
        <v>0.95</v>
      </c>
      <c r="E58" s="131">
        <v>1</v>
      </c>
      <c r="G58" s="131">
        <v>1</v>
      </c>
      <c r="H58" s="131">
        <v>1</v>
      </c>
      <c r="I58" s="131">
        <v>0.9</v>
      </c>
      <c r="J58" s="131">
        <v>1</v>
      </c>
      <c r="K58" s="131">
        <v>1</v>
      </c>
      <c r="L58" s="131">
        <v>0.95</v>
      </c>
      <c r="M58" s="131">
        <v>1</v>
      </c>
      <c r="N58" s="131">
        <v>1</v>
      </c>
      <c r="O58" s="131">
        <v>0.95</v>
      </c>
      <c r="P58" s="131">
        <v>1</v>
      </c>
      <c r="Q58" s="131">
        <v>1</v>
      </c>
      <c r="R58" s="131">
        <v>1</v>
      </c>
      <c r="S58" s="131">
        <v>1</v>
      </c>
      <c r="T58" s="131">
        <v>1</v>
      </c>
      <c r="U58" s="131">
        <v>1</v>
      </c>
      <c r="V58" s="131">
        <v>1</v>
      </c>
      <c r="W58" s="131">
        <v>1</v>
      </c>
      <c r="X58" s="131">
        <v>1</v>
      </c>
      <c r="Y58" s="131">
        <v>1</v>
      </c>
      <c r="Z58" s="131">
        <v>0.95</v>
      </c>
      <c r="AA58" s="131">
        <v>0.9</v>
      </c>
    </row>
    <row r="59" spans="1:27" ht="15">
      <c r="A59" s="132" t="s">
        <v>352</v>
      </c>
      <c r="B59" s="133"/>
      <c r="C59" s="301">
        <f>C58*C57</f>
        <v>70463.499749999988</v>
      </c>
      <c r="D59" s="301">
        <f>D58*D57</f>
        <v>82004.002304104477</v>
      </c>
      <c r="E59" s="301">
        <f>E58*E57</f>
        <v>65381.791037062496</v>
      </c>
      <c r="G59" s="301">
        <f t="shared" ref="G59" si="90">G58*G57</f>
        <v>37112.518239781348</v>
      </c>
      <c r="H59" s="301">
        <f>H58*H57</f>
        <v>51979.50603367493</v>
      </c>
      <c r="I59" s="301">
        <f t="shared" ref="I59" si="91">I58*I57</f>
        <v>52633.026834904762</v>
      </c>
      <c r="J59" s="301">
        <f>J58*J57</f>
        <v>76080.334470920832</v>
      </c>
      <c r="K59" s="301">
        <f t="shared" ref="K59" si="92">K58*K57</f>
        <v>69579.233954999989</v>
      </c>
      <c r="L59" s="301">
        <f>L58*L57</f>
        <v>84976.221427232129</v>
      </c>
      <c r="M59" s="301">
        <f>M58*M57</f>
        <v>35249.849711999996</v>
      </c>
      <c r="N59" s="301">
        <f t="shared" ref="N59" si="93">N58*N57</f>
        <v>169937.12206270796</v>
      </c>
      <c r="O59" s="301">
        <f>O58*O57</f>
        <v>50312.513594408752</v>
      </c>
      <c r="P59" s="301">
        <f t="shared" ref="P59:Q59" si="94">P58*P57</f>
        <v>40082.826975378652</v>
      </c>
      <c r="Q59" s="301">
        <f t="shared" si="94"/>
        <v>136609.3928571429</v>
      </c>
      <c r="R59" s="301">
        <f>R58*R57</f>
        <v>133798.5</v>
      </c>
      <c r="S59" s="301">
        <f>S58*S57</f>
        <v>42229.478260869568</v>
      </c>
      <c r="T59" s="301">
        <f t="shared" ref="T59:AA59" si="95">T58*T57</f>
        <v>59098.010399999992</v>
      </c>
      <c r="U59" s="301">
        <f t="shared" si="95"/>
        <v>8148.7902083754816</v>
      </c>
      <c r="V59" s="301">
        <f t="shared" si="95"/>
        <v>47724.542849162019</v>
      </c>
      <c r="W59" s="301">
        <f t="shared" si="95"/>
        <v>50151.375104651161</v>
      </c>
      <c r="X59" s="301">
        <f t="shared" si="95"/>
        <v>40444.312976718757</v>
      </c>
      <c r="Y59" s="301">
        <f t="shared" si="95"/>
        <v>90982.957646975294</v>
      </c>
      <c r="Z59" s="301">
        <f t="shared" si="95"/>
        <v>39639.540841012138</v>
      </c>
      <c r="AA59" s="301">
        <f t="shared" si="95"/>
        <v>35541.111284907493</v>
      </c>
    </row>
    <row r="60" spans="1:27">
      <c r="A60" s="130" t="s">
        <v>260</v>
      </c>
      <c r="B60" s="133"/>
      <c r="C60" s="131">
        <v>1</v>
      </c>
      <c r="D60" s="131">
        <v>0.97</v>
      </c>
      <c r="E60" s="131">
        <v>1.0267550459077808</v>
      </c>
      <c r="G60" s="131">
        <v>0.96</v>
      </c>
      <c r="H60" s="131">
        <v>0.98</v>
      </c>
      <c r="I60" s="131">
        <v>0.92</v>
      </c>
      <c r="J60" s="131">
        <v>0.94</v>
      </c>
      <c r="K60" s="131">
        <v>0.96</v>
      </c>
      <c r="L60" s="131">
        <v>0.92</v>
      </c>
      <c r="M60" s="131">
        <v>1</v>
      </c>
      <c r="N60" s="131">
        <v>1</v>
      </c>
      <c r="O60" s="131">
        <v>1.08</v>
      </c>
      <c r="P60" s="131">
        <v>0.98</v>
      </c>
      <c r="Q60" s="131">
        <v>1</v>
      </c>
      <c r="R60" s="131">
        <v>1</v>
      </c>
      <c r="S60" s="131">
        <v>1</v>
      </c>
      <c r="T60" s="131">
        <v>1.05</v>
      </c>
      <c r="U60" s="131">
        <v>1</v>
      </c>
      <c r="V60" s="131">
        <v>1</v>
      </c>
      <c r="W60" s="131">
        <v>1.02</v>
      </c>
      <c r="X60" s="131">
        <v>1.02</v>
      </c>
      <c r="Y60" s="131">
        <v>1</v>
      </c>
      <c r="Z60" s="131">
        <v>0.98</v>
      </c>
      <c r="AA60" s="131">
        <v>1.05</v>
      </c>
    </row>
    <row r="61" spans="1:27" ht="15">
      <c r="A61" s="132" t="s">
        <v>352</v>
      </c>
      <c r="B61" s="133"/>
      <c r="C61" s="301">
        <f>C60*C59</f>
        <v>70463.499749999988</v>
      </c>
      <c r="D61" s="301">
        <f>D60*D59</f>
        <v>79543.882234981342</v>
      </c>
      <c r="E61" s="301">
        <f>E60*E59</f>
        <v>67131.083857792037</v>
      </c>
      <c r="G61" s="301">
        <f t="shared" ref="G61" si="96">G60*G59</f>
        <v>35628.01751019009</v>
      </c>
      <c r="H61" s="301">
        <f>H60*H59</f>
        <v>50939.91591300143</v>
      </c>
      <c r="I61" s="301">
        <f t="shared" ref="I61" si="97">I60*I59</f>
        <v>48422.384688112383</v>
      </c>
      <c r="J61" s="301">
        <f>J60*J59</f>
        <v>71515.514402665576</v>
      </c>
      <c r="K61" s="301">
        <f t="shared" ref="K61" si="98">K60*K59</f>
        <v>66796.064596799988</v>
      </c>
      <c r="L61" s="301">
        <f>L60*L59</f>
        <v>78178.123713053559</v>
      </c>
      <c r="M61" s="301">
        <f>M60*M59</f>
        <v>35249.849711999996</v>
      </c>
      <c r="N61" s="301">
        <f t="shared" ref="N61" si="99">N60*N59</f>
        <v>169937.12206270796</v>
      </c>
      <c r="O61" s="301">
        <f>O60*O59</f>
        <v>54337.514681961453</v>
      </c>
      <c r="P61" s="301">
        <f t="shared" ref="P61:Q61" si="100">P60*P59</f>
        <v>39281.170435871078</v>
      </c>
      <c r="Q61" s="301">
        <f t="shared" si="100"/>
        <v>136609.3928571429</v>
      </c>
      <c r="R61" s="301">
        <f>R60*R59</f>
        <v>133798.5</v>
      </c>
      <c r="S61" s="301">
        <f>S60*S59</f>
        <v>42229.478260869568</v>
      </c>
      <c r="T61" s="301">
        <f t="shared" ref="T61:AA61" si="101">T60*T59</f>
        <v>62052.910919999995</v>
      </c>
      <c r="U61" s="301">
        <f t="shared" si="101"/>
        <v>8148.7902083754816</v>
      </c>
      <c r="V61" s="301">
        <f t="shared" si="101"/>
        <v>47724.542849162019</v>
      </c>
      <c r="W61" s="301">
        <f t="shared" si="101"/>
        <v>51154.402606744188</v>
      </c>
      <c r="X61" s="301">
        <f t="shared" si="101"/>
        <v>41253.199236253131</v>
      </c>
      <c r="Y61" s="301">
        <f t="shared" si="101"/>
        <v>90982.957646975294</v>
      </c>
      <c r="Z61" s="301">
        <f t="shared" si="101"/>
        <v>38846.750024191897</v>
      </c>
      <c r="AA61" s="301">
        <f t="shared" si="101"/>
        <v>37318.166849152869</v>
      </c>
    </row>
    <row r="62" spans="1:27">
      <c r="A62" s="130" t="s">
        <v>262</v>
      </c>
      <c r="B62" s="115"/>
      <c r="C62" s="131">
        <v>1</v>
      </c>
      <c r="D62" s="131">
        <v>1</v>
      </c>
      <c r="E62" s="131">
        <v>1</v>
      </c>
      <c r="G62" s="131">
        <v>1</v>
      </c>
      <c r="H62" s="131">
        <v>1.05</v>
      </c>
      <c r="I62" s="131">
        <v>1</v>
      </c>
      <c r="J62" s="131">
        <v>1</v>
      </c>
      <c r="K62" s="131">
        <v>1</v>
      </c>
      <c r="L62" s="131">
        <v>1</v>
      </c>
      <c r="M62" s="131">
        <v>1</v>
      </c>
      <c r="N62" s="131">
        <v>1</v>
      </c>
      <c r="O62" s="131">
        <v>1.05</v>
      </c>
      <c r="P62" s="131">
        <v>1.05</v>
      </c>
      <c r="Q62" s="131">
        <v>0.95</v>
      </c>
      <c r="R62" s="131">
        <v>1</v>
      </c>
      <c r="S62" s="131">
        <v>1</v>
      </c>
      <c r="T62" s="131">
        <v>1</v>
      </c>
      <c r="U62" s="131">
        <v>1</v>
      </c>
      <c r="V62" s="131">
        <v>1</v>
      </c>
      <c r="W62" s="131">
        <v>1.05</v>
      </c>
      <c r="X62" s="131">
        <v>1.05</v>
      </c>
      <c r="Y62" s="131">
        <v>1</v>
      </c>
      <c r="Z62" s="131">
        <v>1</v>
      </c>
      <c r="AA62" s="131">
        <v>1</v>
      </c>
    </row>
    <row r="63" spans="1:27" ht="15">
      <c r="A63" s="132" t="s">
        <v>352</v>
      </c>
      <c r="B63" s="133"/>
      <c r="C63" s="301">
        <f>C62*C61</f>
        <v>70463.499749999988</v>
      </c>
      <c r="D63" s="301">
        <f>D62*D61</f>
        <v>79543.882234981342</v>
      </c>
      <c r="E63" s="301">
        <f>E62*E61</f>
        <v>67131.083857792037</v>
      </c>
      <c r="G63" s="301">
        <f t="shared" ref="G63" si="102">G62*G61</f>
        <v>35628.01751019009</v>
      </c>
      <c r="H63" s="301">
        <f>H62*H61</f>
        <v>53486.911708651503</v>
      </c>
      <c r="I63" s="301">
        <f t="shared" ref="I63" si="103">I62*I61</f>
        <v>48422.384688112383</v>
      </c>
      <c r="J63" s="301">
        <f>J62*J61</f>
        <v>71515.514402665576</v>
      </c>
      <c r="K63" s="301">
        <f t="shared" ref="K63" si="104">K62*K61</f>
        <v>66796.064596799988</v>
      </c>
      <c r="L63" s="301">
        <f>L62*L61</f>
        <v>78178.123713053559</v>
      </c>
      <c r="M63" s="301">
        <f>M62*M61</f>
        <v>35249.849711999996</v>
      </c>
      <c r="N63" s="301">
        <f t="shared" ref="N63" si="105">N62*N61</f>
        <v>169937.12206270796</v>
      </c>
      <c r="O63" s="301">
        <f>O62*O61</f>
        <v>57054.390416059527</v>
      </c>
      <c r="P63" s="301">
        <f t="shared" ref="P63:Q63" si="106">P62*P61</f>
        <v>41245.228957664636</v>
      </c>
      <c r="Q63" s="301">
        <f t="shared" si="106"/>
        <v>129778.92321428575</v>
      </c>
      <c r="R63" s="301">
        <f>R62*R61</f>
        <v>133798.5</v>
      </c>
      <c r="S63" s="301">
        <f>S62*S61</f>
        <v>42229.478260869568</v>
      </c>
      <c r="T63" s="301">
        <f t="shared" ref="T63:AA63" si="107">T62*T61</f>
        <v>62052.910919999995</v>
      </c>
      <c r="U63" s="301">
        <f t="shared" si="107"/>
        <v>8148.7902083754816</v>
      </c>
      <c r="V63" s="301">
        <f t="shared" si="107"/>
        <v>47724.542849162019</v>
      </c>
      <c r="W63" s="301">
        <f t="shared" si="107"/>
        <v>53712.122737081401</v>
      </c>
      <c r="X63" s="301">
        <f t="shared" si="107"/>
        <v>43315.859198065787</v>
      </c>
      <c r="Y63" s="301">
        <f t="shared" si="107"/>
        <v>90982.957646975294</v>
      </c>
      <c r="Z63" s="301">
        <f t="shared" si="107"/>
        <v>38846.750024191897</v>
      </c>
      <c r="AA63" s="301">
        <f t="shared" si="107"/>
        <v>37318.166849152869</v>
      </c>
    </row>
    <row r="64" spans="1:27">
      <c r="A64" s="130" t="s">
        <v>265</v>
      </c>
      <c r="B64" s="115"/>
      <c r="C64" s="131">
        <v>1</v>
      </c>
      <c r="D64" s="131">
        <v>1</v>
      </c>
      <c r="E64" s="131">
        <v>1</v>
      </c>
      <c r="G64" s="131">
        <v>1</v>
      </c>
      <c r="H64" s="131">
        <v>1</v>
      </c>
      <c r="I64" s="131">
        <v>1.02</v>
      </c>
      <c r="J64" s="131">
        <v>1</v>
      </c>
      <c r="K64" s="131">
        <v>1</v>
      </c>
      <c r="L64" s="131">
        <v>1.02</v>
      </c>
      <c r="M64" s="131">
        <v>1.02</v>
      </c>
      <c r="N64" s="131">
        <v>1.02</v>
      </c>
      <c r="O64" s="131">
        <v>1.02</v>
      </c>
      <c r="P64" s="131">
        <v>1</v>
      </c>
      <c r="Q64" s="131">
        <v>1</v>
      </c>
      <c r="R64" s="131">
        <v>1</v>
      </c>
      <c r="S64" s="131">
        <v>1</v>
      </c>
      <c r="T64" s="131">
        <v>1</v>
      </c>
      <c r="U64" s="131">
        <v>1</v>
      </c>
      <c r="V64" s="131">
        <v>1.02</v>
      </c>
      <c r="W64" s="131">
        <v>1</v>
      </c>
      <c r="X64" s="131">
        <v>1.02</v>
      </c>
      <c r="Y64" s="131">
        <v>1.02</v>
      </c>
      <c r="Z64" s="131">
        <v>1</v>
      </c>
      <c r="AA64" s="131">
        <v>1</v>
      </c>
    </row>
    <row r="65" spans="1:27" ht="15">
      <c r="A65" s="132" t="s">
        <v>352</v>
      </c>
      <c r="B65" s="133"/>
      <c r="C65" s="301">
        <f>C64*C63</f>
        <v>70463.499749999988</v>
      </c>
      <c r="D65" s="301">
        <f>D64*D63</f>
        <v>79543.882234981342</v>
      </c>
      <c r="E65" s="301">
        <f>E64*E63</f>
        <v>67131.083857792037</v>
      </c>
      <c r="G65" s="301">
        <f t="shared" ref="G65" si="108">G64*G63</f>
        <v>35628.01751019009</v>
      </c>
      <c r="H65" s="301">
        <f>H64*H63</f>
        <v>53486.911708651503</v>
      </c>
      <c r="I65" s="301">
        <f t="shared" ref="I65" si="109">I64*I63</f>
        <v>49390.832381874628</v>
      </c>
      <c r="J65" s="301">
        <f>J64*J63</f>
        <v>71515.514402665576</v>
      </c>
      <c r="K65" s="301">
        <f t="shared" ref="K65" si="110">K64*K63</f>
        <v>66796.064596799988</v>
      </c>
      <c r="L65" s="301">
        <f>L64*L63</f>
        <v>79741.686187314626</v>
      </c>
      <c r="M65" s="301">
        <f>M64*M63</f>
        <v>35954.846706239994</v>
      </c>
      <c r="N65" s="301">
        <f t="shared" ref="N65" si="111">N64*N63</f>
        <v>173335.86450396213</v>
      </c>
      <c r="O65" s="301">
        <f>O64*O63</f>
        <v>58195.47822438072</v>
      </c>
      <c r="P65" s="301">
        <f t="shared" ref="P65:Q65" si="112">P64*P63</f>
        <v>41245.228957664636</v>
      </c>
      <c r="Q65" s="301">
        <f t="shared" si="112"/>
        <v>129778.92321428575</v>
      </c>
      <c r="R65" s="301">
        <f>R64*R63</f>
        <v>133798.5</v>
      </c>
      <c r="S65" s="301">
        <f>S64*S63</f>
        <v>42229.478260869568</v>
      </c>
      <c r="T65" s="301">
        <f t="shared" ref="T65:AA65" si="113">T64*T63</f>
        <v>62052.910919999995</v>
      </c>
      <c r="U65" s="301">
        <f t="shared" si="113"/>
        <v>8148.7902083754816</v>
      </c>
      <c r="V65" s="301">
        <f t="shared" si="113"/>
        <v>48679.033706145259</v>
      </c>
      <c r="W65" s="301">
        <f t="shared" si="113"/>
        <v>53712.122737081401</v>
      </c>
      <c r="X65" s="301">
        <f t="shared" si="113"/>
        <v>44182.176382027101</v>
      </c>
      <c r="Y65" s="301">
        <f t="shared" si="113"/>
        <v>92802.616799914802</v>
      </c>
      <c r="Z65" s="301">
        <f t="shared" si="113"/>
        <v>38846.750024191897</v>
      </c>
      <c r="AA65" s="301">
        <f t="shared" si="113"/>
        <v>37318.166849152869</v>
      </c>
    </row>
    <row r="66" spans="1:27">
      <c r="A66" s="130" t="s">
        <v>266</v>
      </c>
      <c r="B66" s="115"/>
      <c r="C66" s="131">
        <f>C117</f>
        <v>0.96</v>
      </c>
      <c r="D66" s="131">
        <f>D117</f>
        <v>0.92</v>
      </c>
      <c r="E66" s="131">
        <f>E117</f>
        <v>0.98</v>
      </c>
      <c r="G66" s="131">
        <f t="shared" ref="G66" si="114">G117</f>
        <v>1.28</v>
      </c>
      <c r="H66" s="131">
        <f>H117</f>
        <v>1.02</v>
      </c>
      <c r="I66" s="131">
        <f t="shared" ref="I66" si="115">I117</f>
        <v>1.2</v>
      </c>
      <c r="J66" s="131">
        <v>0.9</v>
      </c>
      <c r="K66" s="131">
        <f>K117</f>
        <v>1.1000000000000001</v>
      </c>
      <c r="L66" s="131">
        <f>L117</f>
        <v>1.1400000000000001</v>
      </c>
      <c r="M66" s="131">
        <f>M117</f>
        <v>1.3</v>
      </c>
      <c r="N66" s="131" t="e">
        <f>N117</f>
        <v>#NUM!</v>
      </c>
      <c r="O66" s="131">
        <f t="shared" ref="O66" si="116">O117</f>
        <v>1</v>
      </c>
      <c r="P66" s="131">
        <f>P117</f>
        <v>1.1200000000000001</v>
      </c>
      <c r="Q66" s="131">
        <v>0.85</v>
      </c>
      <c r="R66" s="131">
        <v>0.8</v>
      </c>
      <c r="S66" s="131">
        <v>0.7</v>
      </c>
      <c r="T66" s="131">
        <f>MROUND(T117,0.02)</f>
        <v>1.1200000000000001</v>
      </c>
      <c r="U66" s="131">
        <f>MROUND(U117,0.01)</f>
        <v>2.02</v>
      </c>
      <c r="V66" s="131">
        <f>MROUND(V117,0.02)</f>
        <v>1.1599999999999999</v>
      </c>
      <c r="W66" s="131">
        <f>MROUND(W117,0.02)</f>
        <v>0.8</v>
      </c>
      <c r="X66" s="131">
        <f>MROUND(X117,0.01)</f>
        <v>1.22</v>
      </c>
      <c r="Y66" s="131" t="e">
        <f>MROUND(Y117,0.02)</f>
        <v>#NUM!</v>
      </c>
      <c r="Z66" s="131">
        <f>MROUND(Z117,0.02)</f>
        <v>1.1200000000000001</v>
      </c>
      <c r="AA66" s="131">
        <f>MROUND(AA117,0.02)</f>
        <v>0.74</v>
      </c>
    </row>
    <row r="67" spans="1:27" ht="15">
      <c r="A67" s="132" t="s">
        <v>352</v>
      </c>
      <c r="B67" s="133"/>
      <c r="C67" s="301">
        <f>C66*C65</f>
        <v>67644.959759999983</v>
      </c>
      <c r="D67" s="301">
        <f>D66*D65</f>
        <v>73180.371656182833</v>
      </c>
      <c r="E67" s="301">
        <f>E66*E65</f>
        <v>65788.462180636197</v>
      </c>
      <c r="G67" s="301">
        <f t="shared" ref="G67" si="117">G66*G65</f>
        <v>45603.862413043316</v>
      </c>
      <c r="H67" s="301">
        <f>H66*H65</f>
        <v>54556.649942824537</v>
      </c>
      <c r="I67" s="301">
        <f t="shared" ref="I67" si="118">I66*I65</f>
        <v>59268.99885824955</v>
      </c>
      <c r="J67" s="301">
        <f>J66*J65</f>
        <v>64363.962962399019</v>
      </c>
      <c r="K67" s="301">
        <f t="shared" ref="K67" si="119">K66*K65</f>
        <v>73475.671056479987</v>
      </c>
      <c r="L67" s="301">
        <f>L66*L65</f>
        <v>90905.522253538686</v>
      </c>
      <c r="M67" s="301">
        <f>M66*M65</f>
        <v>46741.300718111997</v>
      </c>
      <c r="N67" s="301" t="e">
        <f t="shared" ref="N67" si="120">N66*N65</f>
        <v>#NUM!</v>
      </c>
      <c r="O67" s="301">
        <f>O66*O65</f>
        <v>58195.47822438072</v>
      </c>
      <c r="P67" s="301">
        <f t="shared" ref="P67:Q67" si="121">P66*P65</f>
        <v>46194.656432584394</v>
      </c>
      <c r="Q67" s="301">
        <f t="shared" si="121"/>
        <v>110312.08473214289</v>
      </c>
      <c r="R67" s="301">
        <f>R66*R65</f>
        <v>107038.8</v>
      </c>
      <c r="S67" s="301">
        <f>S66*S65</f>
        <v>29560.634782608697</v>
      </c>
      <c r="T67" s="301">
        <f t="shared" ref="T67:AA67" si="122">T66*T65</f>
        <v>69499.260230400003</v>
      </c>
      <c r="U67" s="301">
        <f t="shared" si="122"/>
        <v>16460.556220918472</v>
      </c>
      <c r="V67" s="301">
        <f t="shared" si="122"/>
        <v>56467.679099128494</v>
      </c>
      <c r="W67" s="301">
        <f t="shared" si="122"/>
        <v>42969.698189665127</v>
      </c>
      <c r="X67" s="301">
        <f t="shared" si="122"/>
        <v>53902.25518607306</v>
      </c>
      <c r="Y67" s="301" t="e">
        <f t="shared" si="122"/>
        <v>#NUM!</v>
      </c>
      <c r="Z67" s="301">
        <f t="shared" si="122"/>
        <v>43508.360027094932</v>
      </c>
      <c r="AA67" s="301">
        <f t="shared" si="122"/>
        <v>27615.443468373123</v>
      </c>
    </row>
    <row r="68" spans="1:27">
      <c r="A68" s="130" t="s">
        <v>489</v>
      </c>
      <c r="B68" s="115"/>
      <c r="C68" s="131">
        <v>1.02</v>
      </c>
      <c r="D68" s="131">
        <v>1.02</v>
      </c>
      <c r="E68" s="131">
        <v>1.02</v>
      </c>
      <c r="G68" s="131">
        <v>1.02</v>
      </c>
      <c r="H68" s="131">
        <v>1</v>
      </c>
      <c r="I68" s="131">
        <v>1</v>
      </c>
      <c r="J68" s="131">
        <v>1</v>
      </c>
      <c r="K68" s="131">
        <v>1.02</v>
      </c>
      <c r="L68" s="131">
        <v>0.85</v>
      </c>
      <c r="M68" s="131">
        <v>1.02</v>
      </c>
      <c r="N68" s="131">
        <v>1.02</v>
      </c>
      <c r="O68" s="131">
        <v>1</v>
      </c>
      <c r="P68" s="131">
        <v>1.02</v>
      </c>
      <c r="Q68" s="131">
        <v>1</v>
      </c>
      <c r="R68" s="131">
        <v>1</v>
      </c>
      <c r="S68" s="131">
        <v>1</v>
      </c>
      <c r="T68" s="131">
        <v>1</v>
      </c>
      <c r="U68" s="131">
        <v>1</v>
      </c>
      <c r="V68" s="131">
        <v>1.05</v>
      </c>
      <c r="W68" s="131">
        <v>1.02</v>
      </c>
      <c r="X68" s="131">
        <v>1.05</v>
      </c>
      <c r="Y68" s="131">
        <v>1.05</v>
      </c>
      <c r="Z68" s="131">
        <v>0.95</v>
      </c>
      <c r="AA68" s="131">
        <v>1.05</v>
      </c>
    </row>
    <row r="69" spans="1:27" ht="15">
      <c r="A69" s="132" t="s">
        <v>352</v>
      </c>
      <c r="B69" s="133"/>
      <c r="C69" s="301">
        <f>C68*C67</f>
        <v>68997.85895519999</v>
      </c>
      <c r="D69" s="301">
        <f>D68*D67</f>
        <v>74643.979089306493</v>
      </c>
      <c r="E69" s="301">
        <f>E68*E67</f>
        <v>67104.231424248923</v>
      </c>
      <c r="G69" s="301">
        <f t="shared" ref="G69" si="123">G68*G67</f>
        <v>46515.939661304183</v>
      </c>
      <c r="H69" s="301">
        <f>H68*H67</f>
        <v>54556.649942824537</v>
      </c>
      <c r="I69" s="301">
        <f t="shared" ref="I69" si="124">I68*I67</f>
        <v>59268.99885824955</v>
      </c>
      <c r="J69" s="301">
        <f>J68*J67</f>
        <v>64363.962962399019</v>
      </c>
      <c r="K69" s="301">
        <f t="shared" ref="K69" si="125">K68*K67</f>
        <v>74945.184477609582</v>
      </c>
      <c r="L69" s="301">
        <f>L68*L67</f>
        <v>77269.693915507887</v>
      </c>
      <c r="M69" s="301">
        <f>M68*M67</f>
        <v>47676.126732474237</v>
      </c>
      <c r="N69" s="301" t="e">
        <f t="shared" ref="N69" si="126">N68*N67</f>
        <v>#NUM!</v>
      </c>
      <c r="O69" s="301">
        <f>O68*O67</f>
        <v>58195.47822438072</v>
      </c>
      <c r="P69" s="301">
        <f t="shared" ref="P69:Q69" si="127">P68*P67</f>
        <v>47118.549561236083</v>
      </c>
      <c r="Q69" s="301">
        <f t="shared" si="127"/>
        <v>110312.08473214289</v>
      </c>
      <c r="R69" s="301">
        <f>R68*R67</f>
        <v>107038.8</v>
      </c>
      <c r="S69" s="301">
        <f>S68*S67</f>
        <v>29560.634782608697</v>
      </c>
      <c r="T69" s="301">
        <f t="shared" ref="T69:AA69" si="128">T68*T67</f>
        <v>69499.260230400003</v>
      </c>
      <c r="U69" s="301">
        <f t="shared" si="128"/>
        <v>16460.556220918472</v>
      </c>
      <c r="V69" s="301">
        <f t="shared" si="128"/>
        <v>59291.063054084923</v>
      </c>
      <c r="W69" s="301">
        <f t="shared" si="128"/>
        <v>43829.092153458427</v>
      </c>
      <c r="X69" s="301">
        <f t="shared" si="128"/>
        <v>56597.367945376718</v>
      </c>
      <c r="Y69" s="301" t="e">
        <f t="shared" si="128"/>
        <v>#NUM!</v>
      </c>
      <c r="Z69" s="301">
        <f t="shared" si="128"/>
        <v>41332.94202574018</v>
      </c>
      <c r="AA69" s="301">
        <f t="shared" si="128"/>
        <v>28996.215641791779</v>
      </c>
    </row>
    <row r="70" spans="1:27">
      <c r="A70" s="130" t="s">
        <v>268</v>
      </c>
      <c r="B70" s="115"/>
      <c r="C70" s="131">
        <v>0.95</v>
      </c>
      <c r="D70" s="131">
        <v>1</v>
      </c>
      <c r="E70" s="131">
        <v>1</v>
      </c>
      <c r="G70" s="131">
        <v>1</v>
      </c>
      <c r="H70" s="131">
        <v>0.98</v>
      </c>
      <c r="I70" s="131">
        <v>1</v>
      </c>
      <c r="J70" s="131">
        <v>0.95</v>
      </c>
      <c r="K70" s="131">
        <v>1</v>
      </c>
      <c r="L70" s="131">
        <v>1</v>
      </c>
      <c r="M70" s="131">
        <v>1.05</v>
      </c>
      <c r="N70" s="131">
        <v>1.05</v>
      </c>
      <c r="O70" s="131">
        <v>0.98</v>
      </c>
      <c r="P70" s="131">
        <v>1</v>
      </c>
      <c r="Q70" s="131">
        <v>0.98</v>
      </c>
      <c r="R70" s="131">
        <v>1</v>
      </c>
      <c r="S70" s="131">
        <v>1</v>
      </c>
      <c r="T70" s="131">
        <v>1</v>
      </c>
      <c r="U70" s="131">
        <v>1</v>
      </c>
      <c r="V70" s="131">
        <v>0.9</v>
      </c>
      <c r="W70" s="131">
        <v>1</v>
      </c>
      <c r="X70" s="131">
        <v>1</v>
      </c>
      <c r="Y70" s="131">
        <v>0.9</v>
      </c>
      <c r="Z70" s="131">
        <v>1</v>
      </c>
      <c r="AA70" s="131">
        <v>1</v>
      </c>
    </row>
    <row r="71" spans="1:27" ht="15">
      <c r="A71" s="132" t="s">
        <v>352</v>
      </c>
      <c r="B71" s="134"/>
      <c r="C71" s="301">
        <f>C70*C69</f>
        <v>65547.966007439987</v>
      </c>
      <c r="D71" s="301">
        <f>D70*D69</f>
        <v>74643.979089306493</v>
      </c>
      <c r="E71" s="301">
        <f>E70*E69</f>
        <v>67104.231424248923</v>
      </c>
      <c r="G71" s="301">
        <f t="shared" ref="G71" si="129">G70*G69</f>
        <v>46515.939661304183</v>
      </c>
      <c r="H71" s="301">
        <f>H70*H69</f>
        <v>53465.516943968047</v>
      </c>
      <c r="I71" s="301">
        <f t="shared" ref="I71" si="130">I70*I69</f>
        <v>59268.99885824955</v>
      </c>
      <c r="J71" s="301">
        <f>J70*J69</f>
        <v>61145.764814279064</v>
      </c>
      <c r="K71" s="301">
        <f t="shared" ref="K71" si="131">K70*K69</f>
        <v>74945.184477609582</v>
      </c>
      <c r="L71" s="301">
        <f>L70*L69</f>
        <v>77269.693915507887</v>
      </c>
      <c r="M71" s="301">
        <f>M70*M69</f>
        <v>50059.933069097948</v>
      </c>
      <c r="N71" s="301" t="e">
        <f t="shared" ref="N71" si="132">N70*N69</f>
        <v>#NUM!</v>
      </c>
      <c r="O71" s="301">
        <f>O70*O69</f>
        <v>57031.568659893106</v>
      </c>
      <c r="P71" s="301">
        <f t="shared" ref="P71:Q71" si="133">P70*P69</f>
        <v>47118.549561236083</v>
      </c>
      <c r="Q71" s="301">
        <f t="shared" si="133"/>
        <v>108105.84303750003</v>
      </c>
      <c r="R71" s="301">
        <f>R70*R69</f>
        <v>107038.8</v>
      </c>
      <c r="S71" s="301">
        <f>S70*S69</f>
        <v>29560.634782608697</v>
      </c>
      <c r="T71" s="301">
        <f t="shared" ref="T71:AA71" si="134">T70*T69</f>
        <v>69499.260230400003</v>
      </c>
      <c r="U71" s="301">
        <f t="shared" si="134"/>
        <v>16460.556220918472</v>
      </c>
      <c r="V71" s="301">
        <f t="shared" si="134"/>
        <v>53361.956748676435</v>
      </c>
      <c r="W71" s="301">
        <f t="shared" si="134"/>
        <v>43829.092153458427</v>
      </c>
      <c r="X71" s="301">
        <f t="shared" si="134"/>
        <v>56597.367945376718</v>
      </c>
      <c r="Y71" s="301" t="e">
        <f t="shared" si="134"/>
        <v>#NUM!</v>
      </c>
      <c r="Z71" s="301">
        <f t="shared" si="134"/>
        <v>41332.94202574018</v>
      </c>
      <c r="AA71" s="301">
        <f t="shared" si="134"/>
        <v>28996.215641791779</v>
      </c>
    </row>
    <row r="72" spans="1:27" ht="15">
      <c r="A72" s="132" t="s">
        <v>270</v>
      </c>
      <c r="B72" s="133"/>
      <c r="C72" s="301">
        <f t="shared" ref="C72" si="135">C71/долл</f>
        <v>749.54792461337888</v>
      </c>
      <c r="D72" s="301">
        <f>D71/долл</f>
        <v>853.5617963328358</v>
      </c>
      <c r="E72" s="301">
        <f>E71/долл</f>
        <v>767.34398426814084</v>
      </c>
      <c r="G72" s="301">
        <f t="shared" ref="G72:O72" si="136">G71/долл</f>
        <v>531.91469023789796</v>
      </c>
      <c r="H72" s="301">
        <f t="shared" si="136"/>
        <v>611.38384155480901</v>
      </c>
      <c r="I72" s="301">
        <f t="shared" si="136"/>
        <v>677.74727110634126</v>
      </c>
      <c r="J72" s="301">
        <f t="shared" si="136"/>
        <v>699.20828832794814</v>
      </c>
      <c r="K72" s="301">
        <f t="shared" si="136"/>
        <v>857.00611180799979</v>
      </c>
      <c r="L72" s="301">
        <f t="shared" si="136"/>
        <v>883.5871231047214</v>
      </c>
      <c r="M72" s="301">
        <f t="shared" si="136"/>
        <v>572.44062972095992</v>
      </c>
      <c r="N72" s="301" t="e">
        <f t="shared" si="136"/>
        <v>#NUM!</v>
      </c>
      <c r="O72" s="301">
        <f t="shared" si="136"/>
        <v>652.16202012456381</v>
      </c>
      <c r="P72" s="301">
        <f t="shared" ref="P72" si="137">P71/долл</f>
        <v>538.80559818451775</v>
      </c>
      <c r="Q72" s="301">
        <f t="shared" ref="Q72" si="138">Q71/долл</f>
        <v>1236.2017500000004</v>
      </c>
      <c r="R72" s="301">
        <f>R71/долл</f>
        <v>1224</v>
      </c>
      <c r="S72" s="301">
        <f>S71/долл</f>
        <v>338.02898550724638</v>
      </c>
      <c r="T72" s="301">
        <f t="shared" ref="T72:AA72" si="139">T71/долл</f>
        <v>794.73139200000003</v>
      </c>
      <c r="U72" s="301">
        <f t="shared" si="139"/>
        <v>188.22820149706658</v>
      </c>
      <c r="V72" s="301">
        <f t="shared" si="139"/>
        <v>610.19961976759782</v>
      </c>
      <c r="W72" s="301">
        <f t="shared" si="139"/>
        <v>501.19030478511638</v>
      </c>
      <c r="X72" s="301">
        <f t="shared" si="139"/>
        <v>647.1968890266063</v>
      </c>
      <c r="Y72" s="301" t="e">
        <f t="shared" si="139"/>
        <v>#NUM!</v>
      </c>
      <c r="Z72" s="301">
        <f t="shared" si="139"/>
        <v>472.64656404505638</v>
      </c>
      <c r="AA72" s="301">
        <f t="shared" si="139"/>
        <v>331.57479293072362</v>
      </c>
    </row>
    <row r="73" spans="1:27">
      <c r="A73" s="119" t="s">
        <v>353</v>
      </c>
      <c r="B73" s="87" t="s">
        <v>159</v>
      </c>
      <c r="C73" s="135"/>
      <c r="D73" s="135"/>
      <c r="E73" s="135"/>
      <c r="G73" s="135"/>
      <c r="H73" s="135"/>
      <c r="I73" s="135"/>
      <c r="J73" s="135"/>
      <c r="K73" s="135"/>
      <c r="L73" s="135"/>
      <c r="M73" s="135"/>
      <c r="N73" s="135"/>
      <c r="O73" s="135"/>
      <c r="P73" s="135"/>
      <c r="Q73" s="135"/>
      <c r="R73" s="135"/>
      <c r="S73" s="135"/>
      <c r="T73" s="135"/>
      <c r="U73" s="135"/>
      <c r="V73" s="135"/>
      <c r="W73" s="135"/>
      <c r="X73" s="135"/>
      <c r="Y73" s="135"/>
      <c r="Z73" s="135"/>
      <c r="AA73" s="135"/>
    </row>
    <row r="74" spans="1:27" ht="15">
      <c r="A74" s="136" t="s">
        <v>272</v>
      </c>
      <c r="B74" s="115">
        <f>ROUND(AVERAGE(C71:E71),-1)</f>
        <v>69100</v>
      </c>
      <c r="C74" s="104"/>
      <c r="D74" s="104"/>
      <c r="E74" s="104"/>
      <c r="G74" s="104"/>
      <c r="H74" s="104"/>
      <c r="I74" s="104"/>
      <c r="J74" s="104"/>
      <c r="K74" s="104"/>
      <c r="L74" s="104"/>
      <c r="M74" s="104"/>
      <c r="N74" s="104"/>
      <c r="O74" s="104"/>
      <c r="P74" s="104"/>
      <c r="Q74" s="104"/>
      <c r="R74" s="104"/>
      <c r="S74" s="104"/>
      <c r="T74" s="104"/>
      <c r="U74" s="104"/>
      <c r="V74" s="104"/>
      <c r="W74" s="104"/>
      <c r="X74" s="104"/>
      <c r="Y74" s="104"/>
      <c r="Z74" s="104"/>
      <c r="AA74" s="104"/>
    </row>
    <row r="75" spans="1:27" ht="14.25" customHeight="1">
      <c r="A75" s="136" t="s">
        <v>273</v>
      </c>
      <c r="B75" s="115">
        <f>ROUND(B74/долл,2)</f>
        <v>790.17</v>
      </c>
      <c r="C75" s="104"/>
      <c r="D75" s="104"/>
      <c r="E75" s="104"/>
      <c r="G75" s="104"/>
      <c r="H75" s="104"/>
      <c r="I75" s="104"/>
      <c r="J75" s="104"/>
      <c r="K75" s="104"/>
      <c r="L75" s="104"/>
      <c r="M75" s="104"/>
      <c r="N75" s="104"/>
      <c r="O75" s="104"/>
      <c r="P75" s="104"/>
      <c r="Q75" s="104"/>
      <c r="R75" s="104"/>
      <c r="S75" s="104"/>
      <c r="T75" s="104"/>
      <c r="U75" s="104"/>
      <c r="V75" s="104"/>
      <c r="W75" s="104"/>
      <c r="X75" s="104"/>
      <c r="Y75" s="104"/>
      <c r="Z75" s="104"/>
      <c r="AA75" s="104"/>
    </row>
    <row r="76" spans="1:27">
      <c r="A76" s="132" t="s">
        <v>274</v>
      </c>
      <c r="B76" s="133">
        <f>ROUND(B74*B13,-3)</f>
        <v>1180825000</v>
      </c>
      <c r="C76" s="104"/>
      <c r="D76" s="104"/>
      <c r="E76" s="104"/>
      <c r="G76" s="104"/>
      <c r="H76" s="104"/>
      <c r="I76" s="104"/>
      <c r="J76" s="104"/>
      <c r="K76" s="104"/>
      <c r="L76" s="104"/>
      <c r="M76" s="104"/>
      <c r="N76" s="104"/>
      <c r="O76" s="104"/>
      <c r="P76" s="104"/>
      <c r="Q76" s="104"/>
      <c r="R76" s="104"/>
      <c r="S76" s="104"/>
      <c r="T76" s="104"/>
      <c r="U76" s="104"/>
      <c r="V76" s="104"/>
      <c r="W76" s="104"/>
      <c r="X76" s="104"/>
      <c r="Y76" s="104"/>
      <c r="Z76" s="104"/>
      <c r="AA76" s="104"/>
    </row>
    <row r="77" spans="1:27">
      <c r="A77" s="132" t="s">
        <v>275</v>
      </c>
      <c r="B77" s="133">
        <f>ROUND(B76/долл,-2)</f>
        <v>13502900</v>
      </c>
      <c r="C77" s="303"/>
      <c r="D77" s="303"/>
      <c r="E77" s="303"/>
      <c r="G77" s="303"/>
      <c r="H77" s="303"/>
      <c r="I77" s="303"/>
      <c r="J77" s="303"/>
      <c r="K77" s="303"/>
      <c r="L77" s="303"/>
      <c r="M77" s="303"/>
      <c r="N77" s="303"/>
      <c r="O77" s="303"/>
      <c r="P77" s="303"/>
      <c r="Q77" s="303"/>
      <c r="R77" s="303"/>
      <c r="S77" s="303"/>
      <c r="T77" s="303"/>
      <c r="U77" s="303"/>
      <c r="V77" s="303"/>
      <c r="W77" s="303"/>
      <c r="X77" s="303"/>
      <c r="Y77" s="303"/>
      <c r="Z77" s="303"/>
      <c r="AA77" s="303"/>
    </row>
    <row r="78" spans="1:27">
      <c r="A78" s="137"/>
      <c r="B78" s="138"/>
      <c r="C78" s="304"/>
      <c r="D78" s="304"/>
      <c r="E78" s="304"/>
      <c r="G78" s="304"/>
      <c r="H78" s="304"/>
      <c r="I78" s="304"/>
      <c r="J78" s="304"/>
      <c r="K78" s="304"/>
      <c r="L78" s="304"/>
      <c r="M78" s="304"/>
      <c r="N78" s="304"/>
      <c r="O78" s="304"/>
      <c r="P78" s="304"/>
      <c r="Q78" s="304"/>
      <c r="R78" s="304"/>
      <c r="S78" s="304"/>
      <c r="T78" s="304"/>
      <c r="U78" s="304"/>
      <c r="V78" s="304"/>
      <c r="W78" s="304"/>
      <c r="X78" s="304"/>
      <c r="Y78" s="304"/>
      <c r="Z78" s="304"/>
      <c r="AA78" s="304"/>
    </row>
    <row r="79" spans="1:27">
      <c r="A79" s="137"/>
      <c r="B79" s="138"/>
      <c r="C79" s="304"/>
      <c r="D79" s="304"/>
      <c r="E79" s="304"/>
      <c r="G79" s="304"/>
      <c r="H79" s="304"/>
      <c r="I79" s="304"/>
      <c r="J79" s="304"/>
      <c r="K79" s="304"/>
      <c r="L79" s="304"/>
      <c r="M79" s="304"/>
      <c r="N79" s="304"/>
      <c r="O79" s="304"/>
      <c r="P79" s="304"/>
      <c r="Q79" s="304"/>
      <c r="R79" s="304"/>
      <c r="S79" s="304"/>
      <c r="T79" s="304"/>
      <c r="U79" s="304"/>
      <c r="V79" s="304"/>
      <c r="W79" s="304"/>
      <c r="X79" s="304"/>
      <c r="Y79" s="304"/>
      <c r="Z79" s="304"/>
      <c r="AA79" s="304"/>
    </row>
    <row r="80" spans="1:27">
      <c r="A80" s="305" t="s">
        <v>490</v>
      </c>
      <c r="B80" s="306"/>
      <c r="C80" s="304"/>
      <c r="D80" s="304"/>
      <c r="E80" s="304"/>
      <c r="G80" s="304"/>
      <c r="H80" s="304"/>
      <c r="I80" s="304"/>
      <c r="J80" s="304"/>
      <c r="K80" s="304"/>
      <c r="L80" s="304"/>
      <c r="M80" s="304"/>
      <c r="N80" s="304"/>
      <c r="O80" s="304"/>
      <c r="P80" s="304"/>
      <c r="Q80" s="304"/>
      <c r="R80" s="304"/>
      <c r="S80" s="304"/>
      <c r="T80" s="304"/>
      <c r="U80" s="304"/>
      <c r="V80" s="304"/>
      <c r="W80" s="304"/>
      <c r="X80" s="304"/>
      <c r="Y80" s="304"/>
      <c r="Z80" s="304"/>
      <c r="AA80" s="304"/>
    </row>
    <row r="81" spans="1:27">
      <c r="A81" s="307" t="s">
        <v>353</v>
      </c>
      <c r="B81" s="308" t="s">
        <v>159</v>
      </c>
      <c r="C81" s="304"/>
      <c r="D81" s="304"/>
      <c r="E81" s="304"/>
      <c r="G81" s="304"/>
      <c r="H81" s="304"/>
      <c r="I81" s="304"/>
      <c r="J81" s="304"/>
      <c r="K81" s="304"/>
      <c r="L81" s="304"/>
      <c r="M81" s="304"/>
      <c r="N81" s="304"/>
      <c r="O81" s="304"/>
      <c r="P81" s="304"/>
      <c r="Q81" s="304"/>
      <c r="R81" s="304"/>
      <c r="S81" s="304"/>
      <c r="T81" s="304"/>
      <c r="U81" s="304"/>
      <c r="V81" s="304"/>
      <c r="W81" s="304"/>
      <c r="X81" s="304"/>
      <c r="Y81" s="304"/>
      <c r="Z81" s="304"/>
      <c r="AA81" s="304"/>
    </row>
    <row r="82" spans="1:27">
      <c r="A82" s="309" t="s">
        <v>491</v>
      </c>
      <c r="B82" s="310">
        <v>60880</v>
      </c>
      <c r="C82" s="304"/>
      <c r="D82" s="304"/>
      <c r="E82" s="304"/>
      <c r="G82" s="304"/>
      <c r="H82" s="304"/>
      <c r="I82" s="304"/>
      <c r="J82" s="304"/>
      <c r="K82" s="304"/>
      <c r="L82" s="304"/>
      <c r="M82" s="304"/>
      <c r="N82" s="304"/>
      <c r="O82" s="304"/>
      <c r="P82" s="304"/>
      <c r="Q82" s="304"/>
      <c r="R82" s="304"/>
      <c r="S82" s="304"/>
      <c r="T82" s="304"/>
      <c r="U82" s="304"/>
      <c r="V82" s="304"/>
      <c r="W82" s="304"/>
      <c r="X82" s="304"/>
      <c r="Y82" s="304"/>
      <c r="Z82" s="304"/>
      <c r="AA82" s="304"/>
    </row>
    <row r="83" spans="1:27">
      <c r="A83" s="309" t="s">
        <v>492</v>
      </c>
      <c r="B83" s="310">
        <v>700.84</v>
      </c>
      <c r="C83" s="304"/>
      <c r="D83" s="304"/>
      <c r="E83" s="304"/>
      <c r="G83" s="304"/>
      <c r="H83" s="304"/>
      <c r="I83" s="304"/>
      <c r="J83" s="304"/>
      <c r="K83" s="304"/>
      <c r="L83" s="304"/>
      <c r="M83" s="304"/>
      <c r="N83" s="304"/>
      <c r="O83" s="304"/>
      <c r="P83" s="304"/>
      <c r="Q83" s="304"/>
      <c r="R83" s="304"/>
      <c r="S83" s="304"/>
      <c r="T83" s="304"/>
      <c r="U83" s="304"/>
      <c r="V83" s="304"/>
      <c r="W83" s="304"/>
      <c r="X83" s="304"/>
      <c r="Y83" s="304"/>
      <c r="Z83" s="304"/>
      <c r="AA83" s="304"/>
    </row>
    <row r="84" spans="1:27">
      <c r="A84" s="311" t="s">
        <v>274</v>
      </c>
      <c r="B84" s="312">
        <v>1040356000</v>
      </c>
      <c r="C84" s="304"/>
      <c r="D84" s="304"/>
      <c r="E84" s="304"/>
      <c r="G84" s="304"/>
      <c r="H84" s="304"/>
      <c r="I84" s="304"/>
      <c r="J84" s="304"/>
      <c r="K84" s="304"/>
      <c r="L84" s="304"/>
      <c r="M84" s="304"/>
      <c r="N84" s="304"/>
      <c r="O84" s="304"/>
      <c r="P84" s="304"/>
      <c r="Q84" s="304"/>
      <c r="R84" s="304"/>
      <c r="S84" s="304"/>
      <c r="T84" s="304"/>
      <c r="U84" s="304"/>
      <c r="V84" s="304"/>
      <c r="W84" s="304"/>
      <c r="X84" s="304"/>
      <c r="Y84" s="304"/>
      <c r="Z84" s="304"/>
      <c r="AA84" s="304"/>
    </row>
    <row r="85" spans="1:27">
      <c r="A85" s="311" t="s">
        <v>275</v>
      </c>
      <c r="B85" s="312">
        <v>11976300</v>
      </c>
      <c r="C85" s="304"/>
      <c r="D85" s="304"/>
      <c r="E85" s="304"/>
      <c r="G85" s="304"/>
      <c r="H85" s="304"/>
      <c r="I85" s="304"/>
      <c r="J85" s="304"/>
      <c r="K85" s="304"/>
      <c r="L85" s="304"/>
      <c r="M85" s="304"/>
      <c r="N85" s="304"/>
      <c r="O85" s="304"/>
      <c r="P85" s="304"/>
      <c r="Q85" s="304"/>
      <c r="R85" s="304"/>
      <c r="S85" s="304"/>
      <c r="T85" s="304"/>
      <c r="U85" s="304"/>
      <c r="V85" s="304"/>
      <c r="W85" s="304"/>
      <c r="X85" s="304"/>
      <c r="Y85" s="304"/>
      <c r="Z85" s="304"/>
      <c r="AA85" s="304"/>
    </row>
    <row r="86" spans="1:27">
      <c r="A86" s="137"/>
      <c r="B86" s="138"/>
      <c r="C86" s="304"/>
      <c r="D86" s="304"/>
      <c r="E86" s="304"/>
      <c r="G86" s="304"/>
      <c r="H86" s="304"/>
      <c r="I86" s="304"/>
      <c r="J86" s="304"/>
      <c r="K86" s="304"/>
      <c r="L86" s="304"/>
      <c r="M86" s="304"/>
      <c r="N86" s="304"/>
      <c r="O86" s="304"/>
      <c r="P86" s="304"/>
      <c r="Q86" s="304"/>
      <c r="R86" s="304"/>
      <c r="S86" s="304"/>
      <c r="T86" s="304"/>
      <c r="U86" s="304"/>
      <c r="V86" s="304"/>
      <c r="W86" s="304"/>
      <c r="X86" s="304"/>
      <c r="Y86" s="304"/>
      <c r="Z86" s="304"/>
      <c r="AA86" s="304"/>
    </row>
    <row r="87" spans="1:27">
      <c r="A87" s="137"/>
      <c r="B87" s="138"/>
      <c r="C87" s="304"/>
      <c r="D87" s="304"/>
      <c r="E87" s="304"/>
      <c r="G87" s="304"/>
      <c r="H87" s="304"/>
      <c r="I87" s="304"/>
      <c r="J87" s="304"/>
      <c r="K87" s="304"/>
      <c r="L87" s="304"/>
      <c r="M87" s="304"/>
      <c r="N87" s="304"/>
      <c r="O87" s="304"/>
      <c r="P87" s="304"/>
      <c r="Q87" s="304"/>
      <c r="R87" s="304"/>
      <c r="S87" s="304"/>
      <c r="T87" s="304"/>
      <c r="U87" s="304"/>
      <c r="V87" s="304"/>
      <c r="W87" s="304"/>
      <c r="X87" s="304"/>
      <c r="Y87" s="304"/>
      <c r="Z87" s="304"/>
      <c r="AA87" s="304"/>
    </row>
    <row r="88" spans="1:27">
      <c r="A88" s="313" t="str">
        <f>A13</f>
        <v>Общая площадь построек, м2, из них</v>
      </c>
      <c r="B88" s="314">
        <f>SUM(B89:B92)</f>
        <v>17088.634999999998</v>
      </c>
      <c r="C88" s="314">
        <f t="shared" ref="C88" si="140">SUM(C89:C92)</f>
        <v>6996</v>
      </c>
      <c r="D88" s="314">
        <f>SUM(D89:D92)</f>
        <v>1407</v>
      </c>
      <c r="E88" s="314">
        <f>SUM(E89:E92)</f>
        <v>1800</v>
      </c>
      <c r="G88" s="314">
        <f>SUM(G89:G92)</f>
        <v>1000</v>
      </c>
      <c r="H88" s="314">
        <f>SUM(H89:H92)</f>
        <v>5015.6000000000004</v>
      </c>
      <c r="I88" s="314">
        <f t="shared" ref="I88" si="141">SUM(I89:I92)</f>
        <v>717</v>
      </c>
      <c r="J88" s="314">
        <f>SUM(J89:J92)</f>
        <v>2476</v>
      </c>
      <c r="K88" s="314">
        <f t="shared" ref="K88" si="142">SUM(K89:K92)</f>
        <v>3000</v>
      </c>
      <c r="L88" s="314">
        <f>SUM(L89:L92)</f>
        <v>1400</v>
      </c>
      <c r="M88" s="314">
        <f>SUM(M89:M92)</f>
        <v>330</v>
      </c>
      <c r="N88" s="314">
        <f t="shared" ref="N88" si="143">SUM(N89:N92)</f>
        <v>450</v>
      </c>
      <c r="O88" s="314">
        <f>SUM(O89:O92)</f>
        <v>1370</v>
      </c>
      <c r="P88" s="314">
        <f>SUM(P89:P92)</f>
        <v>2060</v>
      </c>
      <c r="Q88" s="314">
        <f t="shared" ref="Q88:R88" si="144">SUM(Q89:Q92)</f>
        <v>1400</v>
      </c>
      <c r="R88" s="314">
        <f t="shared" si="144"/>
        <v>1500</v>
      </c>
      <c r="S88" s="314">
        <f t="shared" ref="S88:AA92" si="145">S13</f>
        <v>1380</v>
      </c>
      <c r="T88" s="314">
        <f t="shared" si="145"/>
        <v>500</v>
      </c>
      <c r="U88" s="314">
        <f t="shared" si="145"/>
        <v>56350.2</v>
      </c>
      <c r="V88" s="314">
        <f t="shared" si="145"/>
        <v>537</v>
      </c>
      <c r="W88" s="314">
        <f t="shared" si="145"/>
        <v>4300</v>
      </c>
      <c r="X88" s="314">
        <f t="shared" si="145"/>
        <v>800</v>
      </c>
      <c r="Y88" s="314">
        <f t="shared" si="145"/>
        <v>985.87999999999988</v>
      </c>
      <c r="Z88" s="314">
        <f t="shared" si="145"/>
        <v>2060</v>
      </c>
      <c r="AA88" s="314">
        <f t="shared" si="145"/>
        <v>731.91650000000004</v>
      </c>
    </row>
    <row r="89" spans="1:27">
      <c r="A89" s="315" t="str">
        <f>A14</f>
        <v>Административные помещения</v>
      </c>
      <c r="B89" s="316">
        <f t="shared" ref="B89:E92" si="146">B14</f>
        <v>4565.9599999999982</v>
      </c>
      <c r="C89" s="316">
        <f t="shared" si="146"/>
        <v>360</v>
      </c>
      <c r="D89" s="316">
        <f t="shared" si="146"/>
        <v>500</v>
      </c>
      <c r="E89" s="316">
        <f t="shared" si="146"/>
        <v>23.1</v>
      </c>
      <c r="G89" s="316">
        <f t="shared" ref="G89:J92" si="147">G14</f>
        <v>300</v>
      </c>
      <c r="H89" s="316">
        <f t="shared" si="147"/>
        <v>0</v>
      </c>
      <c r="I89" s="316">
        <f t="shared" si="147"/>
        <v>717</v>
      </c>
      <c r="J89" s="316">
        <f>J14</f>
        <v>74.800000000000011</v>
      </c>
      <c r="K89" s="316">
        <f t="shared" ref="K89:O92" si="148">K14</f>
        <v>2000</v>
      </c>
      <c r="L89" s="316">
        <f t="shared" si="148"/>
        <v>1400</v>
      </c>
      <c r="M89" s="316">
        <f t="shared" si="148"/>
        <v>330</v>
      </c>
      <c r="N89" s="316">
        <f t="shared" si="148"/>
        <v>450</v>
      </c>
      <c r="O89" s="316">
        <f>O14</f>
        <v>0</v>
      </c>
      <c r="P89" s="316">
        <f t="shared" ref="P89:R92" si="149">P14</f>
        <v>1000</v>
      </c>
      <c r="Q89" s="316">
        <f t="shared" si="149"/>
        <v>1400</v>
      </c>
      <c r="R89" s="316">
        <f t="shared" si="149"/>
        <v>1500</v>
      </c>
      <c r="S89" s="316">
        <f t="shared" si="145"/>
        <v>1380</v>
      </c>
      <c r="T89" s="316">
        <f t="shared" si="145"/>
        <v>58.5</v>
      </c>
      <c r="U89" s="316">
        <f t="shared" si="145"/>
        <v>55238</v>
      </c>
      <c r="V89" s="316">
        <f t="shared" si="145"/>
        <v>537</v>
      </c>
      <c r="W89" s="316">
        <f t="shared" si="145"/>
        <v>300</v>
      </c>
      <c r="X89" s="316">
        <f t="shared" si="145"/>
        <v>100</v>
      </c>
      <c r="Y89" s="316">
        <f t="shared" si="145"/>
        <v>944.4</v>
      </c>
      <c r="Z89" s="316">
        <f t="shared" si="145"/>
        <v>1000</v>
      </c>
      <c r="AA89" s="316">
        <f t="shared" si="145"/>
        <v>12.4</v>
      </c>
    </row>
    <row r="90" spans="1:27">
      <c r="A90" s="315" t="str">
        <f>A15</f>
        <v>Капитальные производственно-складские помещения</v>
      </c>
      <c r="B90" s="316">
        <f t="shared" si="146"/>
        <v>11835.02</v>
      </c>
      <c r="C90" s="316">
        <f t="shared" si="146"/>
        <v>6636</v>
      </c>
      <c r="D90" s="316">
        <f t="shared" si="146"/>
        <v>700</v>
      </c>
      <c r="E90" s="316">
        <f t="shared" si="146"/>
        <v>1776.9</v>
      </c>
      <c r="G90" s="316">
        <f t="shared" si="147"/>
        <v>700</v>
      </c>
      <c r="H90" s="316">
        <f t="shared" si="147"/>
        <v>5015.6000000000004</v>
      </c>
      <c r="I90" s="316">
        <f t="shared" si="147"/>
        <v>0</v>
      </c>
      <c r="J90" s="316">
        <f>J15</f>
        <v>1561.2</v>
      </c>
      <c r="K90" s="316">
        <f t="shared" si="148"/>
        <v>1000</v>
      </c>
      <c r="L90" s="316">
        <f t="shared" si="148"/>
        <v>0</v>
      </c>
      <c r="M90" s="316">
        <f t="shared" si="148"/>
        <v>0</v>
      </c>
      <c r="N90" s="316">
        <f t="shared" si="148"/>
        <v>0</v>
      </c>
      <c r="O90" s="316">
        <f>O15</f>
        <v>1370</v>
      </c>
      <c r="P90" s="316">
        <f t="shared" si="149"/>
        <v>1060</v>
      </c>
      <c r="Q90" s="316">
        <f t="shared" si="149"/>
        <v>0</v>
      </c>
      <c r="R90" s="316">
        <f t="shared" si="149"/>
        <v>0</v>
      </c>
      <c r="S90" s="316">
        <f t="shared" si="145"/>
        <v>0</v>
      </c>
      <c r="T90" s="316">
        <f t="shared" si="145"/>
        <v>348</v>
      </c>
      <c r="U90" s="316">
        <f t="shared" si="145"/>
        <v>1112.2</v>
      </c>
      <c r="V90" s="316">
        <f t="shared" si="145"/>
        <v>0</v>
      </c>
      <c r="W90" s="316">
        <f t="shared" si="145"/>
        <v>4000</v>
      </c>
      <c r="X90" s="316">
        <f t="shared" si="145"/>
        <v>700</v>
      </c>
      <c r="Y90" s="316">
        <f t="shared" si="145"/>
        <v>31.680000000000003</v>
      </c>
      <c r="Z90" s="316">
        <f t="shared" si="145"/>
        <v>1060</v>
      </c>
      <c r="AA90" s="316">
        <f t="shared" si="145"/>
        <v>436.6</v>
      </c>
    </row>
    <row r="91" spans="1:27">
      <c r="A91" s="315" t="str">
        <f t="shared" ref="A91:C92" si="150">A16</f>
        <v xml:space="preserve">Некапитальные производственно-складские помещения </v>
      </c>
      <c r="B91" s="316">
        <f t="shared" si="150"/>
        <v>171.85499999999999</v>
      </c>
      <c r="C91" s="316">
        <f t="shared" si="150"/>
        <v>0</v>
      </c>
      <c r="D91" s="316">
        <f t="shared" si="146"/>
        <v>122</v>
      </c>
      <c r="E91" s="316">
        <f t="shared" si="146"/>
        <v>0</v>
      </c>
      <c r="G91" s="316">
        <f t="shared" si="147"/>
        <v>0</v>
      </c>
      <c r="H91" s="316">
        <f t="shared" si="147"/>
        <v>0</v>
      </c>
      <c r="I91" s="316">
        <f t="shared" si="147"/>
        <v>0</v>
      </c>
      <c r="J91" s="316">
        <f t="shared" si="147"/>
        <v>840</v>
      </c>
      <c r="K91" s="316">
        <f t="shared" si="148"/>
        <v>0</v>
      </c>
      <c r="L91" s="316">
        <f t="shared" si="148"/>
        <v>0</v>
      </c>
      <c r="M91" s="316">
        <f t="shared" si="148"/>
        <v>0</v>
      </c>
      <c r="N91" s="316">
        <f t="shared" si="148"/>
        <v>0</v>
      </c>
      <c r="O91" s="316">
        <f t="shared" si="148"/>
        <v>0</v>
      </c>
      <c r="P91" s="316">
        <f>P16</f>
        <v>0</v>
      </c>
      <c r="Q91" s="316">
        <f t="shared" si="149"/>
        <v>0</v>
      </c>
      <c r="R91" s="316">
        <f t="shared" si="149"/>
        <v>0</v>
      </c>
      <c r="S91" s="316">
        <f t="shared" si="145"/>
        <v>0</v>
      </c>
      <c r="T91" s="316">
        <f t="shared" si="145"/>
        <v>93.5</v>
      </c>
      <c r="U91" s="316">
        <f t="shared" si="145"/>
        <v>0</v>
      </c>
      <c r="V91" s="316">
        <f t="shared" si="145"/>
        <v>0</v>
      </c>
      <c r="W91" s="316">
        <f t="shared" si="145"/>
        <v>0</v>
      </c>
      <c r="X91" s="316">
        <f t="shared" si="145"/>
        <v>0</v>
      </c>
      <c r="Y91" s="316">
        <f t="shared" si="145"/>
        <v>9.8000000000000007</v>
      </c>
      <c r="Z91" s="316">
        <f t="shared" si="145"/>
        <v>0</v>
      </c>
      <c r="AA91" s="316">
        <f t="shared" si="145"/>
        <v>282.91649999999998</v>
      </c>
    </row>
    <row r="92" spans="1:27" s="294" customFormat="1">
      <c r="A92" s="315" t="str">
        <f t="shared" si="150"/>
        <v>Прочие некапитальные строения</v>
      </c>
      <c r="B92" s="315">
        <f t="shared" si="150"/>
        <v>515.79999999999995</v>
      </c>
      <c r="C92" s="315">
        <f t="shared" si="150"/>
        <v>0</v>
      </c>
      <c r="D92" s="315">
        <f t="shared" si="146"/>
        <v>85</v>
      </c>
      <c r="E92" s="315">
        <f t="shared" si="146"/>
        <v>0</v>
      </c>
      <c r="G92" s="315">
        <f t="shared" si="147"/>
        <v>0</v>
      </c>
      <c r="H92" s="315">
        <f t="shared" si="147"/>
        <v>0</v>
      </c>
      <c r="I92" s="315">
        <f t="shared" si="147"/>
        <v>0</v>
      </c>
      <c r="J92" s="315">
        <f t="shared" si="147"/>
        <v>0</v>
      </c>
      <c r="K92" s="315">
        <f t="shared" si="148"/>
        <v>0</v>
      </c>
      <c r="L92" s="315">
        <f t="shared" si="148"/>
        <v>0</v>
      </c>
      <c r="M92" s="315">
        <f t="shared" si="148"/>
        <v>0</v>
      </c>
      <c r="N92" s="315">
        <f t="shared" si="148"/>
        <v>0</v>
      </c>
      <c r="O92" s="315">
        <f t="shared" si="148"/>
        <v>0</v>
      </c>
      <c r="P92" s="315">
        <f>P17</f>
        <v>0</v>
      </c>
      <c r="Q92" s="315">
        <f t="shared" si="149"/>
        <v>0</v>
      </c>
      <c r="R92" s="315">
        <f t="shared" si="149"/>
        <v>0</v>
      </c>
      <c r="S92" s="315">
        <f t="shared" si="145"/>
        <v>0</v>
      </c>
      <c r="T92" s="315">
        <f t="shared" si="145"/>
        <v>0</v>
      </c>
      <c r="U92" s="315">
        <f t="shared" si="145"/>
        <v>0</v>
      </c>
      <c r="V92" s="315">
        <f t="shared" si="145"/>
        <v>0</v>
      </c>
      <c r="W92" s="315">
        <f t="shared" si="145"/>
        <v>0</v>
      </c>
      <c r="X92" s="315">
        <f t="shared" si="145"/>
        <v>0</v>
      </c>
      <c r="Y92" s="315">
        <f t="shared" si="145"/>
        <v>0</v>
      </c>
      <c r="Z92" s="315">
        <f t="shared" si="145"/>
        <v>0</v>
      </c>
      <c r="AA92" s="315">
        <f t="shared" si="145"/>
        <v>0</v>
      </c>
    </row>
    <row r="93" spans="1:27">
      <c r="B93" s="278"/>
      <c r="C93" s="278"/>
      <c r="D93" s="278"/>
      <c r="E93" s="278"/>
      <c r="G93" s="278"/>
      <c r="H93" s="278"/>
      <c r="I93" s="278"/>
      <c r="J93" s="278"/>
      <c r="K93" s="278"/>
      <c r="L93" s="278"/>
      <c r="M93" s="278"/>
      <c r="N93" s="278"/>
      <c r="O93" s="278"/>
      <c r="P93" s="278"/>
      <c r="Q93" s="278"/>
      <c r="R93" s="278"/>
      <c r="S93" s="278"/>
      <c r="T93" s="278"/>
      <c r="U93" s="278"/>
      <c r="V93" s="278"/>
      <c r="W93" s="278"/>
      <c r="X93" s="278"/>
      <c r="Y93" s="278"/>
      <c r="Z93" s="278"/>
      <c r="AA93" s="278"/>
    </row>
    <row r="94" spans="1:27">
      <c r="A94" s="317" t="s">
        <v>277</v>
      </c>
      <c r="B94" s="317"/>
      <c r="C94" s="317"/>
      <c r="D94" s="317"/>
      <c r="E94" s="317"/>
      <c r="G94" s="317"/>
      <c r="H94" s="317"/>
      <c r="I94" s="317"/>
      <c r="J94" s="317"/>
      <c r="K94" s="317"/>
      <c r="L94" s="317"/>
      <c r="M94" s="317"/>
      <c r="N94" s="317"/>
      <c r="O94" s="317"/>
      <c r="P94" s="317"/>
      <c r="Q94" s="317"/>
      <c r="R94" s="317"/>
      <c r="S94" s="317"/>
      <c r="T94" s="317"/>
      <c r="U94" s="317"/>
      <c r="V94" s="317"/>
      <c r="W94" s="317"/>
      <c r="X94" s="317"/>
      <c r="Y94" s="317"/>
      <c r="Z94" s="317"/>
      <c r="AA94" s="317"/>
    </row>
    <row r="95" spans="1:27">
      <c r="A95" s="318">
        <v>1</v>
      </c>
      <c r="B95" s="318">
        <f t="shared" ref="B95:E98" si="151">B89/B$88</f>
        <v>0.26719278631675369</v>
      </c>
      <c r="C95" s="318">
        <f t="shared" si="151"/>
        <v>5.1457975986277875E-2</v>
      </c>
      <c r="D95" s="318">
        <f t="shared" si="151"/>
        <v>0.35536602700781805</v>
      </c>
      <c r="E95" s="318">
        <f t="shared" si="151"/>
        <v>1.2833333333333334E-2</v>
      </c>
      <c r="G95" s="318">
        <f t="shared" ref="G95:Q98" si="152">G89/G$88</f>
        <v>0.3</v>
      </c>
      <c r="H95" s="318">
        <f t="shared" si="152"/>
        <v>0</v>
      </c>
      <c r="I95" s="318">
        <f t="shared" si="152"/>
        <v>1</v>
      </c>
      <c r="J95" s="318">
        <f t="shared" si="152"/>
        <v>3.0210016155088858E-2</v>
      </c>
      <c r="K95" s="318">
        <f t="shared" si="152"/>
        <v>0.66666666666666663</v>
      </c>
      <c r="L95" s="318">
        <f t="shared" si="152"/>
        <v>1</v>
      </c>
      <c r="M95" s="318">
        <f t="shared" si="152"/>
        <v>1</v>
      </c>
      <c r="N95" s="318">
        <f t="shared" si="152"/>
        <v>1</v>
      </c>
      <c r="O95" s="318">
        <f t="shared" si="152"/>
        <v>0</v>
      </c>
      <c r="P95" s="318">
        <f t="shared" si="152"/>
        <v>0.4854368932038835</v>
      </c>
      <c r="Q95" s="318">
        <f t="shared" si="152"/>
        <v>1</v>
      </c>
      <c r="R95" s="318">
        <f>R89/R$88</f>
        <v>1</v>
      </c>
      <c r="S95" s="318">
        <f t="shared" ref="S95:U98" si="153">S89/S$88</f>
        <v>1</v>
      </c>
      <c r="T95" s="318">
        <f t="shared" si="153"/>
        <v>0.11700000000000001</v>
      </c>
      <c r="U95" s="318">
        <f t="shared" si="153"/>
        <v>0.98026271424058842</v>
      </c>
      <c r="V95" s="318">
        <f>V89/V$88</f>
        <v>1</v>
      </c>
      <c r="W95" s="318">
        <f t="shared" ref="W95:X98" si="154">W89/W$88</f>
        <v>6.9767441860465115E-2</v>
      </c>
      <c r="X95" s="318">
        <f t="shared" si="154"/>
        <v>0.125</v>
      </c>
      <c r="Y95" s="318">
        <f>Y89/Y$88</f>
        <v>0.95792591390432924</v>
      </c>
      <c r="Z95" s="318">
        <f t="shared" ref="Z95:AA98" si="155">Z89/Z$88</f>
        <v>0.4854368932038835</v>
      </c>
      <c r="AA95" s="318">
        <f t="shared" si="155"/>
        <v>1.6941823281754136E-2</v>
      </c>
    </row>
    <row r="96" spans="1:27">
      <c r="A96" s="318">
        <v>0.8</v>
      </c>
      <c r="B96" s="318">
        <f t="shared" si="151"/>
        <v>0.69256672636521299</v>
      </c>
      <c r="C96" s="318">
        <f t="shared" si="151"/>
        <v>0.94854202401372212</v>
      </c>
      <c r="D96" s="318">
        <f t="shared" si="151"/>
        <v>0.49751243781094528</v>
      </c>
      <c r="E96" s="318">
        <f t="shared" si="151"/>
        <v>0.98716666666666675</v>
      </c>
      <c r="G96" s="318">
        <f t="shared" si="152"/>
        <v>0.7</v>
      </c>
      <c r="H96" s="318">
        <f t="shared" si="152"/>
        <v>1</v>
      </c>
      <c r="I96" s="318">
        <f t="shared" si="152"/>
        <v>0</v>
      </c>
      <c r="J96" s="318">
        <f t="shared" si="152"/>
        <v>0.63053311793214861</v>
      </c>
      <c r="K96" s="318">
        <f t="shared" si="152"/>
        <v>0.33333333333333331</v>
      </c>
      <c r="L96" s="318">
        <f t="shared" si="152"/>
        <v>0</v>
      </c>
      <c r="M96" s="318">
        <f t="shared" si="152"/>
        <v>0</v>
      </c>
      <c r="N96" s="318">
        <f t="shared" si="152"/>
        <v>0</v>
      </c>
      <c r="O96" s="318">
        <f t="shared" si="152"/>
        <v>1</v>
      </c>
      <c r="P96" s="318">
        <f t="shared" si="152"/>
        <v>0.5145631067961165</v>
      </c>
      <c r="Q96" s="318">
        <f t="shared" si="152"/>
        <v>0</v>
      </c>
      <c r="R96" s="318">
        <f>R90/R$88</f>
        <v>0</v>
      </c>
      <c r="S96" s="318">
        <f t="shared" si="153"/>
        <v>0</v>
      </c>
      <c r="T96" s="318">
        <f t="shared" si="153"/>
        <v>0.69599999999999995</v>
      </c>
      <c r="U96" s="318">
        <f t="shared" si="153"/>
        <v>1.973728575941168E-2</v>
      </c>
      <c r="V96" s="318">
        <f>V90/V$88</f>
        <v>0</v>
      </c>
      <c r="W96" s="318">
        <f t="shared" si="154"/>
        <v>0.93023255813953487</v>
      </c>
      <c r="X96" s="318">
        <f t="shared" si="154"/>
        <v>0.875</v>
      </c>
      <c r="Y96" s="318">
        <f>Y90/Y$88</f>
        <v>3.2133728242788179E-2</v>
      </c>
      <c r="Z96" s="318">
        <f t="shared" si="155"/>
        <v>0.5145631067961165</v>
      </c>
      <c r="AA96" s="318">
        <f t="shared" si="155"/>
        <v>0.59651613264627867</v>
      </c>
    </row>
    <row r="97" spans="1:27">
      <c r="A97" s="318">
        <v>0.6</v>
      </c>
      <c r="B97" s="318">
        <f t="shared" si="151"/>
        <v>1.0056683872058828E-2</v>
      </c>
      <c r="C97" s="318">
        <f t="shared" si="151"/>
        <v>0</v>
      </c>
      <c r="D97" s="318">
        <f t="shared" si="151"/>
        <v>8.6709310589907607E-2</v>
      </c>
      <c r="E97" s="318">
        <f t="shared" si="151"/>
        <v>0</v>
      </c>
      <c r="G97" s="318">
        <f t="shared" si="152"/>
        <v>0</v>
      </c>
      <c r="H97" s="318">
        <f t="shared" si="152"/>
        <v>0</v>
      </c>
      <c r="I97" s="318">
        <f t="shared" si="152"/>
        <v>0</v>
      </c>
      <c r="J97" s="318">
        <f t="shared" si="152"/>
        <v>0.3392568659127625</v>
      </c>
      <c r="K97" s="318">
        <f t="shared" si="152"/>
        <v>0</v>
      </c>
      <c r="L97" s="318">
        <f t="shared" si="152"/>
        <v>0</v>
      </c>
      <c r="M97" s="318">
        <f t="shared" si="152"/>
        <v>0</v>
      </c>
      <c r="N97" s="318">
        <f t="shared" si="152"/>
        <v>0</v>
      </c>
      <c r="O97" s="318">
        <f t="shared" si="152"/>
        <v>0</v>
      </c>
      <c r="P97" s="318">
        <f t="shared" si="152"/>
        <v>0</v>
      </c>
      <c r="Q97" s="318">
        <f t="shared" si="152"/>
        <v>0</v>
      </c>
      <c r="R97" s="318">
        <f>R91/R$88</f>
        <v>0</v>
      </c>
      <c r="S97" s="318">
        <f t="shared" si="153"/>
        <v>0</v>
      </c>
      <c r="T97" s="318">
        <f t="shared" si="153"/>
        <v>0.187</v>
      </c>
      <c r="U97" s="318">
        <f t="shared" si="153"/>
        <v>0</v>
      </c>
      <c r="V97" s="318">
        <f>V91/V$88</f>
        <v>0</v>
      </c>
      <c r="W97" s="318">
        <f t="shared" si="154"/>
        <v>0</v>
      </c>
      <c r="X97" s="318">
        <f t="shared" si="154"/>
        <v>0</v>
      </c>
      <c r="Y97" s="318">
        <f>Y91/Y$88</f>
        <v>9.9403578528827058E-3</v>
      </c>
      <c r="Z97" s="318">
        <f t="shared" si="155"/>
        <v>0</v>
      </c>
      <c r="AA97" s="318">
        <f t="shared" si="155"/>
        <v>0.38654204407196718</v>
      </c>
    </row>
    <row r="98" spans="1:27">
      <c r="A98" s="318">
        <v>0.3</v>
      </c>
      <c r="B98" s="318">
        <f t="shared" si="151"/>
        <v>3.0183803445974475E-2</v>
      </c>
      <c r="C98" s="318">
        <f t="shared" si="151"/>
        <v>0</v>
      </c>
      <c r="D98" s="318">
        <f t="shared" si="151"/>
        <v>6.041222459132907E-2</v>
      </c>
      <c r="E98" s="318">
        <f t="shared" si="151"/>
        <v>0</v>
      </c>
      <c r="G98" s="318">
        <f t="shared" si="152"/>
        <v>0</v>
      </c>
      <c r="H98" s="318">
        <f t="shared" si="152"/>
        <v>0</v>
      </c>
      <c r="I98" s="318">
        <f t="shared" si="152"/>
        <v>0</v>
      </c>
      <c r="J98" s="318">
        <f t="shared" si="152"/>
        <v>0</v>
      </c>
      <c r="K98" s="318">
        <f t="shared" si="152"/>
        <v>0</v>
      </c>
      <c r="L98" s="318">
        <f t="shared" si="152"/>
        <v>0</v>
      </c>
      <c r="M98" s="318">
        <f t="shared" si="152"/>
        <v>0</v>
      </c>
      <c r="N98" s="318">
        <f t="shared" si="152"/>
        <v>0</v>
      </c>
      <c r="O98" s="318">
        <f t="shared" si="152"/>
        <v>0</v>
      </c>
      <c r="P98" s="318">
        <f t="shared" si="152"/>
        <v>0</v>
      </c>
      <c r="Q98" s="318">
        <f t="shared" si="152"/>
        <v>0</v>
      </c>
      <c r="R98" s="318">
        <f>R92/R$88</f>
        <v>0</v>
      </c>
      <c r="S98" s="318">
        <f t="shared" si="153"/>
        <v>0</v>
      </c>
      <c r="T98" s="318">
        <f t="shared" si="153"/>
        <v>0</v>
      </c>
      <c r="U98" s="318">
        <f t="shared" si="153"/>
        <v>0</v>
      </c>
      <c r="V98" s="318">
        <f>V92/V$88</f>
        <v>0</v>
      </c>
      <c r="W98" s="318">
        <f t="shared" si="154"/>
        <v>0</v>
      </c>
      <c r="X98" s="318">
        <f t="shared" si="154"/>
        <v>0</v>
      </c>
      <c r="Y98" s="318">
        <f>Y92/Y$88</f>
        <v>0</v>
      </c>
      <c r="Z98" s="318">
        <f t="shared" si="155"/>
        <v>0</v>
      </c>
      <c r="AA98" s="318">
        <f t="shared" si="155"/>
        <v>0</v>
      </c>
    </row>
    <row r="99" spans="1:27">
      <c r="B99" s="281"/>
      <c r="C99" s="278"/>
      <c r="D99" s="278"/>
      <c r="E99" s="278"/>
      <c r="G99" s="278"/>
      <c r="H99" s="278"/>
      <c r="I99" s="278"/>
      <c r="J99" s="278"/>
      <c r="K99" s="278"/>
      <c r="L99" s="278"/>
      <c r="M99" s="278"/>
      <c r="N99" s="278"/>
      <c r="O99" s="278"/>
      <c r="P99" s="278"/>
      <c r="Q99" s="278"/>
      <c r="R99" s="278"/>
      <c r="S99" s="278"/>
      <c r="T99" s="278"/>
      <c r="U99" s="278"/>
      <c r="V99" s="278"/>
      <c r="W99" s="278"/>
      <c r="X99" s="278"/>
      <c r="Y99" s="278"/>
      <c r="Z99" s="278"/>
      <c r="AA99" s="278"/>
    </row>
    <row r="100" spans="1:27">
      <c r="A100" s="465" t="s">
        <v>278</v>
      </c>
      <c r="B100" s="319">
        <f t="shared" ref="B100:E103" si="156">$A95*B95</f>
        <v>0.26719278631675369</v>
      </c>
      <c r="C100" s="319">
        <f t="shared" si="156"/>
        <v>5.1457975986277875E-2</v>
      </c>
      <c r="D100" s="319">
        <f t="shared" si="156"/>
        <v>0.35536602700781805</v>
      </c>
      <c r="E100" s="319">
        <f t="shared" si="156"/>
        <v>1.2833333333333334E-2</v>
      </c>
      <c r="G100" s="319">
        <f t="shared" ref="G100:Q103" si="157">$A95*G95</f>
        <v>0.3</v>
      </c>
      <c r="H100" s="319">
        <f t="shared" si="157"/>
        <v>0</v>
      </c>
      <c r="I100" s="319">
        <f t="shared" si="157"/>
        <v>1</v>
      </c>
      <c r="J100" s="319">
        <f t="shared" si="157"/>
        <v>3.0210016155088858E-2</v>
      </c>
      <c r="K100" s="319">
        <f t="shared" si="157"/>
        <v>0.66666666666666663</v>
      </c>
      <c r="L100" s="319">
        <f t="shared" si="157"/>
        <v>1</v>
      </c>
      <c r="M100" s="319">
        <f t="shared" si="157"/>
        <v>1</v>
      </c>
      <c r="N100" s="319">
        <f t="shared" si="157"/>
        <v>1</v>
      </c>
      <c r="O100" s="319">
        <f t="shared" si="157"/>
        <v>0</v>
      </c>
      <c r="P100" s="319">
        <f t="shared" si="157"/>
        <v>0.4854368932038835</v>
      </c>
      <c r="Q100" s="319">
        <f t="shared" si="157"/>
        <v>1</v>
      </c>
      <c r="R100" s="319">
        <f>$A95*R95</f>
        <v>1</v>
      </c>
      <c r="S100" s="319">
        <f t="shared" ref="S100:U103" si="158">$A95*S95</f>
        <v>1</v>
      </c>
      <c r="T100" s="319">
        <f t="shared" si="158"/>
        <v>0.11700000000000001</v>
      </c>
      <c r="U100" s="319">
        <f t="shared" si="158"/>
        <v>0.98026271424058842</v>
      </c>
      <c r="V100" s="319">
        <f>$A95*V95</f>
        <v>1</v>
      </c>
      <c r="W100" s="319">
        <f t="shared" ref="W100:X103" si="159">$A95*W95</f>
        <v>6.9767441860465115E-2</v>
      </c>
      <c r="X100" s="319">
        <f t="shared" si="159"/>
        <v>0.125</v>
      </c>
      <c r="Y100" s="319">
        <f>$A95*Y95</f>
        <v>0.95792591390432924</v>
      </c>
      <c r="Z100" s="319">
        <f t="shared" ref="Z100:AA103" si="160">$A95*Z95</f>
        <v>0.4854368932038835</v>
      </c>
      <c r="AA100" s="319">
        <f t="shared" si="160"/>
        <v>1.6941823281754136E-2</v>
      </c>
    </row>
    <row r="101" spans="1:27">
      <c r="A101" s="466"/>
      <c r="B101" s="319">
        <f t="shared" si="156"/>
        <v>0.55405338109217039</v>
      </c>
      <c r="C101" s="319">
        <f t="shared" si="156"/>
        <v>0.75883361921097769</v>
      </c>
      <c r="D101" s="319">
        <f t="shared" si="156"/>
        <v>0.39800995024875624</v>
      </c>
      <c r="E101" s="319">
        <f t="shared" si="156"/>
        <v>0.7897333333333334</v>
      </c>
      <c r="G101" s="319">
        <f t="shared" si="157"/>
        <v>0.55999999999999994</v>
      </c>
      <c r="H101" s="319">
        <f t="shared" si="157"/>
        <v>0.8</v>
      </c>
      <c r="I101" s="319">
        <f t="shared" si="157"/>
        <v>0</v>
      </c>
      <c r="J101" s="319">
        <f t="shared" si="157"/>
        <v>0.50442649434571896</v>
      </c>
      <c r="K101" s="319">
        <f t="shared" si="157"/>
        <v>0.26666666666666666</v>
      </c>
      <c r="L101" s="319">
        <f t="shared" si="157"/>
        <v>0</v>
      </c>
      <c r="M101" s="319">
        <f t="shared" si="157"/>
        <v>0</v>
      </c>
      <c r="N101" s="319">
        <f t="shared" si="157"/>
        <v>0</v>
      </c>
      <c r="O101" s="319">
        <f t="shared" si="157"/>
        <v>0.8</v>
      </c>
      <c r="P101" s="319">
        <f t="shared" si="157"/>
        <v>0.4116504854368932</v>
      </c>
      <c r="Q101" s="319">
        <f t="shared" si="157"/>
        <v>0</v>
      </c>
      <c r="R101" s="319">
        <f>$A96*R96</f>
        <v>0</v>
      </c>
      <c r="S101" s="319">
        <f t="shared" si="158"/>
        <v>0</v>
      </c>
      <c r="T101" s="319">
        <f t="shared" si="158"/>
        <v>0.55679999999999996</v>
      </c>
      <c r="U101" s="319">
        <f t="shared" si="158"/>
        <v>1.5789828607529345E-2</v>
      </c>
      <c r="V101" s="319">
        <f>$A96*V96</f>
        <v>0</v>
      </c>
      <c r="W101" s="319">
        <f t="shared" si="159"/>
        <v>0.7441860465116279</v>
      </c>
      <c r="X101" s="319">
        <f t="shared" si="159"/>
        <v>0.70000000000000007</v>
      </c>
      <c r="Y101" s="319">
        <f>$A96*Y96</f>
        <v>2.5706982594230543E-2</v>
      </c>
      <c r="Z101" s="319">
        <f t="shared" si="160"/>
        <v>0.4116504854368932</v>
      </c>
      <c r="AA101" s="319">
        <f t="shared" si="160"/>
        <v>0.47721290611702294</v>
      </c>
    </row>
    <row r="102" spans="1:27">
      <c r="A102" s="466"/>
      <c r="B102" s="319">
        <f t="shared" si="156"/>
        <v>6.0340103232352964E-3</v>
      </c>
      <c r="C102" s="319">
        <f t="shared" si="156"/>
        <v>0</v>
      </c>
      <c r="D102" s="319">
        <f t="shared" si="156"/>
        <v>5.202558635394456E-2</v>
      </c>
      <c r="E102" s="319">
        <f t="shared" si="156"/>
        <v>0</v>
      </c>
      <c r="G102" s="319">
        <f t="shared" si="157"/>
        <v>0</v>
      </c>
      <c r="H102" s="319">
        <f t="shared" si="157"/>
        <v>0</v>
      </c>
      <c r="I102" s="319">
        <f t="shared" si="157"/>
        <v>0</v>
      </c>
      <c r="J102" s="319">
        <f t="shared" si="157"/>
        <v>0.20355411954765748</v>
      </c>
      <c r="K102" s="319">
        <f t="shared" si="157"/>
        <v>0</v>
      </c>
      <c r="L102" s="319">
        <f t="shared" si="157"/>
        <v>0</v>
      </c>
      <c r="M102" s="319">
        <f t="shared" si="157"/>
        <v>0</v>
      </c>
      <c r="N102" s="319">
        <f t="shared" si="157"/>
        <v>0</v>
      </c>
      <c r="O102" s="319">
        <f t="shared" si="157"/>
        <v>0</v>
      </c>
      <c r="P102" s="319">
        <f t="shared" si="157"/>
        <v>0</v>
      </c>
      <c r="Q102" s="319">
        <f t="shared" si="157"/>
        <v>0</v>
      </c>
      <c r="R102" s="319">
        <f>$A97*R97</f>
        <v>0</v>
      </c>
      <c r="S102" s="319">
        <f t="shared" si="158"/>
        <v>0</v>
      </c>
      <c r="T102" s="319">
        <f t="shared" si="158"/>
        <v>0.11219999999999999</v>
      </c>
      <c r="U102" s="319">
        <f t="shared" si="158"/>
        <v>0</v>
      </c>
      <c r="V102" s="319">
        <f>$A97*V97</f>
        <v>0</v>
      </c>
      <c r="W102" s="319">
        <f t="shared" si="159"/>
        <v>0</v>
      </c>
      <c r="X102" s="319">
        <f t="shared" si="159"/>
        <v>0</v>
      </c>
      <c r="Y102" s="319">
        <f>$A97*Y97</f>
        <v>5.964214711729623E-3</v>
      </c>
      <c r="Z102" s="319">
        <f t="shared" si="160"/>
        <v>0</v>
      </c>
      <c r="AA102" s="319">
        <f t="shared" si="160"/>
        <v>0.23192522644318031</v>
      </c>
    </row>
    <row r="103" spans="1:27">
      <c r="A103" s="467"/>
      <c r="B103" s="319">
        <f t="shared" si="156"/>
        <v>9.0551410337923414E-3</v>
      </c>
      <c r="C103" s="319">
        <f t="shared" si="156"/>
        <v>0</v>
      </c>
      <c r="D103" s="319">
        <f t="shared" si="156"/>
        <v>1.8123667377398719E-2</v>
      </c>
      <c r="E103" s="319">
        <f t="shared" si="156"/>
        <v>0</v>
      </c>
      <c r="G103" s="319">
        <f t="shared" si="157"/>
        <v>0</v>
      </c>
      <c r="H103" s="319">
        <f t="shared" si="157"/>
        <v>0</v>
      </c>
      <c r="I103" s="319">
        <f t="shared" si="157"/>
        <v>0</v>
      </c>
      <c r="J103" s="319">
        <f t="shared" si="157"/>
        <v>0</v>
      </c>
      <c r="K103" s="319">
        <f t="shared" si="157"/>
        <v>0</v>
      </c>
      <c r="L103" s="319">
        <f t="shared" si="157"/>
        <v>0</v>
      </c>
      <c r="M103" s="319">
        <f t="shared" si="157"/>
        <v>0</v>
      </c>
      <c r="N103" s="319">
        <f t="shared" si="157"/>
        <v>0</v>
      </c>
      <c r="O103" s="319">
        <f t="shared" si="157"/>
        <v>0</v>
      </c>
      <c r="P103" s="319">
        <f t="shared" si="157"/>
        <v>0</v>
      </c>
      <c r="Q103" s="319">
        <f t="shared" si="157"/>
        <v>0</v>
      </c>
      <c r="R103" s="319">
        <f>$A98*R98</f>
        <v>0</v>
      </c>
      <c r="S103" s="319">
        <f t="shared" si="158"/>
        <v>0</v>
      </c>
      <c r="T103" s="319">
        <f t="shared" si="158"/>
        <v>0</v>
      </c>
      <c r="U103" s="319">
        <f t="shared" si="158"/>
        <v>0</v>
      </c>
      <c r="V103" s="319">
        <f>$A98*V98</f>
        <v>0</v>
      </c>
      <c r="W103" s="319">
        <f t="shared" si="159"/>
        <v>0</v>
      </c>
      <c r="X103" s="319">
        <f t="shared" si="159"/>
        <v>0</v>
      </c>
      <c r="Y103" s="319">
        <f>$A98*Y98</f>
        <v>0</v>
      </c>
      <c r="Z103" s="319">
        <f t="shared" si="160"/>
        <v>0</v>
      </c>
      <c r="AA103" s="319">
        <f t="shared" si="160"/>
        <v>0</v>
      </c>
    </row>
    <row r="104" spans="1:27">
      <c r="A104" s="320" t="s">
        <v>279</v>
      </c>
      <c r="B104" s="321">
        <f t="shared" ref="B104:C104" si="161">SUM(B100:B103)</f>
        <v>0.83633531876595169</v>
      </c>
      <c r="C104" s="321">
        <f t="shared" si="161"/>
        <v>0.81029159519725558</v>
      </c>
      <c r="D104" s="321">
        <f>SUM(D100:D103)</f>
        <v>0.82352523098791752</v>
      </c>
      <c r="E104" s="321">
        <f>SUM(E100:E103)</f>
        <v>0.80256666666666676</v>
      </c>
      <c r="G104" s="321">
        <f>SUM(G100:G103)</f>
        <v>0.85999999999999988</v>
      </c>
      <c r="H104" s="321">
        <f>SUM(H100:H103)</f>
        <v>0.8</v>
      </c>
      <c r="I104" s="321">
        <f t="shared" ref="I104:K104" si="162">SUM(I100:I103)</f>
        <v>1</v>
      </c>
      <c r="J104" s="321">
        <f t="shared" si="162"/>
        <v>0.7381906300484653</v>
      </c>
      <c r="K104" s="321">
        <f t="shared" si="162"/>
        <v>0.93333333333333335</v>
      </c>
      <c r="L104" s="321">
        <f>SUM(L100:L103)</f>
        <v>1</v>
      </c>
      <c r="M104" s="321">
        <f>SUM(M100:M103)</f>
        <v>1</v>
      </c>
      <c r="N104" s="321">
        <f t="shared" ref="N104:O104" si="163">SUM(N100:N103)</f>
        <v>1</v>
      </c>
      <c r="O104" s="321">
        <f t="shared" si="163"/>
        <v>0.8</v>
      </c>
      <c r="P104" s="321">
        <f>SUM(P100:P103)</f>
        <v>0.8970873786407767</v>
      </c>
      <c r="Q104" s="321">
        <f t="shared" ref="Q104:Y104" si="164">SUM(Q100:Q103)</f>
        <v>1</v>
      </c>
      <c r="R104" s="321">
        <f t="shared" si="164"/>
        <v>1</v>
      </c>
      <c r="S104" s="321">
        <f t="shared" si="164"/>
        <v>1</v>
      </c>
      <c r="T104" s="321">
        <f t="shared" si="164"/>
        <v>0.78599999999999992</v>
      </c>
      <c r="U104" s="321">
        <f t="shared" si="164"/>
        <v>0.99605254284811773</v>
      </c>
      <c r="V104" s="321">
        <f t="shared" si="164"/>
        <v>1</v>
      </c>
      <c r="W104" s="321">
        <f t="shared" si="164"/>
        <v>0.81395348837209303</v>
      </c>
      <c r="X104" s="321">
        <f t="shared" si="164"/>
        <v>0.82500000000000007</v>
      </c>
      <c r="Y104" s="321">
        <f t="shared" si="164"/>
        <v>0.98959711121028937</v>
      </c>
      <c r="Z104" s="321">
        <f>SUM(Z100:Z103)</f>
        <v>0.8970873786407767</v>
      </c>
      <c r="AA104" s="321">
        <f>SUM(AA100:AA103)</f>
        <v>0.72607995584195739</v>
      </c>
    </row>
    <row r="105" spans="1:27">
      <c r="A105" s="322" t="s">
        <v>280</v>
      </c>
      <c r="B105" s="323"/>
      <c r="C105" s="324">
        <f t="shared" ref="C105" si="165">$B$104/C104</f>
        <v>1.0321411745142883</v>
      </c>
      <c r="D105" s="324">
        <f>$B$104/D104</f>
        <v>1.0155551855559628</v>
      </c>
      <c r="E105" s="324">
        <f>$B$104/E104</f>
        <v>1.0420758218622979</v>
      </c>
      <c r="G105" s="324">
        <f t="shared" ref="G105:Q105" si="166">$B$104/G104</f>
        <v>0.97248292879761833</v>
      </c>
      <c r="H105" s="324">
        <f t="shared" si="166"/>
        <v>1.0454191484574396</v>
      </c>
      <c r="I105" s="324">
        <f t="shared" si="166"/>
        <v>0.83633531876595169</v>
      </c>
      <c r="J105" s="324">
        <f t="shared" si="166"/>
        <v>1.1329530404782335</v>
      </c>
      <c r="K105" s="324">
        <f t="shared" si="166"/>
        <v>0.8960735558206625</v>
      </c>
      <c r="L105" s="324">
        <f t="shared" si="166"/>
        <v>0.83633531876595169</v>
      </c>
      <c r="M105" s="324">
        <f t="shared" si="166"/>
        <v>0.83633531876595169</v>
      </c>
      <c r="N105" s="324">
        <f t="shared" si="166"/>
        <v>0.83633531876595169</v>
      </c>
      <c r="O105" s="324">
        <f t="shared" si="166"/>
        <v>1.0454191484574396</v>
      </c>
      <c r="P105" s="324">
        <f t="shared" si="166"/>
        <v>0.93227854797503273</v>
      </c>
      <c r="Q105" s="324">
        <f t="shared" si="166"/>
        <v>0.83633531876595169</v>
      </c>
      <c r="R105" s="324">
        <f>$B$104/R104</f>
        <v>0.83633531876595169</v>
      </c>
      <c r="S105" s="324">
        <f>$B$104/S104</f>
        <v>0.83633531876595169</v>
      </c>
      <c r="T105" s="324">
        <f t="shared" ref="T105:AA105" si="167">$B$104/T104</f>
        <v>1.0640398457582083</v>
      </c>
      <c r="U105" s="324">
        <f t="shared" si="167"/>
        <v>0.83964980037552051</v>
      </c>
      <c r="V105" s="324">
        <f t="shared" si="167"/>
        <v>0.83633531876595169</v>
      </c>
      <c r="W105" s="324">
        <f t="shared" si="167"/>
        <v>1.0274976773410263</v>
      </c>
      <c r="X105" s="324">
        <f t="shared" si="167"/>
        <v>1.0137397803223656</v>
      </c>
      <c r="Y105" s="324">
        <f t="shared" si="167"/>
        <v>0.84512708181120633</v>
      </c>
      <c r="Z105" s="324">
        <f t="shared" si="167"/>
        <v>0.93227854797503273</v>
      </c>
      <c r="AA105" s="324">
        <f t="shared" si="167"/>
        <v>1.1518501675151505</v>
      </c>
    </row>
    <row r="106" spans="1:27">
      <c r="A106" s="320" t="s">
        <v>281</v>
      </c>
      <c r="B106" s="325">
        <f t="shared" ref="B106:C106" si="168">$B$111*B23</f>
        <v>8916578.1818181816</v>
      </c>
      <c r="C106" s="325">
        <f t="shared" si="168"/>
        <v>4068229.0909090908</v>
      </c>
      <c r="D106" s="325">
        <f>$B$111*D23</f>
        <v>967090.90909090918</v>
      </c>
      <c r="E106" s="325">
        <f>$B$111*E23</f>
        <v>1031563.6363636364</v>
      </c>
      <c r="G106" s="325">
        <f>$B$111*G23</f>
        <v>161181.81818181818</v>
      </c>
      <c r="H106" s="325">
        <f>$B$111*H23</f>
        <v>2421918</v>
      </c>
      <c r="I106" s="325">
        <f t="shared" ref="I106:K106" si="169">$B$111*I23</f>
        <v>128945.45454545454</v>
      </c>
      <c r="J106" s="325">
        <f t="shared" si="169"/>
        <v>1934181.8181818184</v>
      </c>
      <c r="K106" s="325">
        <f t="shared" si="169"/>
        <v>967090.90909090918</v>
      </c>
      <c r="L106" s="325">
        <f>$B$111*L23</f>
        <v>225654.54545454547</v>
      </c>
      <c r="M106" s="325">
        <f>$B$111*M23</f>
        <v>48354.545454545456</v>
      </c>
      <c r="N106" s="325">
        <f t="shared" ref="N106:O106" si="170">$B$111*N23</f>
        <v>1131496.3636363638</v>
      </c>
      <c r="O106" s="325">
        <f t="shared" si="170"/>
        <v>709200</v>
      </c>
      <c r="P106" s="325">
        <f>$B$111*P23</f>
        <v>773672.72727272729</v>
      </c>
      <c r="Q106" s="325">
        <f t="shared" ref="Q106:Y106" si="171">$B$111*Q23</f>
        <v>1934181.8181818184</v>
      </c>
      <c r="R106" s="325">
        <f t="shared" si="171"/>
        <v>1611818.1818181819</v>
      </c>
      <c r="S106" s="325">
        <f t="shared" si="171"/>
        <v>451309.09090909094</v>
      </c>
      <c r="T106" s="325">
        <f t="shared" si="171"/>
        <v>145063.63636363638</v>
      </c>
      <c r="U106" s="325">
        <f t="shared" si="171"/>
        <v>3868363.6363636367</v>
      </c>
      <c r="V106" s="325">
        <f t="shared" si="171"/>
        <v>145063.63636363638</v>
      </c>
      <c r="W106" s="325">
        <f t="shared" si="171"/>
        <v>3352581.8181818184</v>
      </c>
      <c r="X106" s="325">
        <f t="shared" si="171"/>
        <v>161181.81818181818</v>
      </c>
      <c r="Y106" s="325">
        <f t="shared" si="171"/>
        <v>1622133.8181818181</v>
      </c>
      <c r="Z106" s="325">
        <f>$B$111*Z23</f>
        <v>773672.72727272729</v>
      </c>
      <c r="AA106" s="325">
        <f>$B$111*AA23</f>
        <v>548018.18181818188</v>
      </c>
    </row>
    <row r="107" spans="1:27">
      <c r="A107" s="322" t="s">
        <v>282</v>
      </c>
      <c r="B107" s="326"/>
      <c r="C107" s="327">
        <f t="shared" ref="C107" si="172">1-C106/C31</f>
        <v>0.43496818181818186</v>
      </c>
      <c r="D107" s="327">
        <f>1-D106/D31</f>
        <v>0.35527272727272718</v>
      </c>
      <c r="E107" s="327">
        <f>1-E106/E31</f>
        <v>0.31229090909090906</v>
      </c>
      <c r="G107" s="327">
        <f t="shared" ref="G107:Q107" si="173">1-G106/G31</f>
        <v>0.752027972027972</v>
      </c>
      <c r="H107" s="327">
        <f t="shared" si="173"/>
        <v>3.1232799999999949E-2</v>
      </c>
      <c r="I107" s="327">
        <f t="shared" si="173"/>
        <v>0.85592686642965976</v>
      </c>
      <c r="J107" s="327">
        <f t="shared" si="173"/>
        <v>0.28363636363636358</v>
      </c>
      <c r="K107" s="327">
        <f t="shared" si="173"/>
        <v>0.76974025974025972</v>
      </c>
      <c r="L107" s="327">
        <f t="shared" si="173"/>
        <v>0.90973818181818178</v>
      </c>
      <c r="M107" s="327">
        <f t="shared" si="173"/>
        <v>0.78020661157024795</v>
      </c>
      <c r="N107" s="327">
        <f t="shared" si="173"/>
        <v>0.12874692874692861</v>
      </c>
      <c r="O107" s="327">
        <f t="shared" si="173"/>
        <v>6.6842105263157925E-2</v>
      </c>
      <c r="P107" s="327">
        <f t="shared" si="173"/>
        <v>0.3552727272727273</v>
      </c>
      <c r="Q107" s="327">
        <f t="shared" si="173"/>
        <v>0.28363636363636358</v>
      </c>
      <c r="R107" s="327">
        <f>1-R106/R31</f>
        <v>0.46272727272727265</v>
      </c>
      <c r="S107" s="327">
        <f>1-S106/S31</f>
        <v>0.46904812834224596</v>
      </c>
      <c r="T107" s="327">
        <f t="shared" ref="T107:AA107" si="174">1-T106/T31</f>
        <v>0.61825358851674639</v>
      </c>
      <c r="U107" s="327">
        <f t="shared" si="174"/>
        <v>0.35527272727272718</v>
      </c>
      <c r="V107" s="327">
        <f t="shared" si="174"/>
        <v>0.61825358851674639</v>
      </c>
      <c r="W107" s="327">
        <f t="shared" si="174"/>
        <v>-0.1175272727272727</v>
      </c>
      <c r="X107" s="327">
        <f t="shared" si="174"/>
        <v>0.67763636363636359</v>
      </c>
      <c r="Y107" s="327">
        <f t="shared" si="174"/>
        <v>-0.35177818181818177</v>
      </c>
      <c r="Z107" s="327">
        <f t="shared" si="174"/>
        <v>0.3552727272727273</v>
      </c>
      <c r="AA107" s="327">
        <f t="shared" si="174"/>
        <v>-0.24549586776859522</v>
      </c>
    </row>
    <row r="108" spans="1:27" ht="15.75">
      <c r="A108" s="328" t="s">
        <v>283</v>
      </c>
      <c r="B108" s="329"/>
      <c r="C108" s="330">
        <f t="shared" ref="C108" si="175">1-(1-C105)*C107</f>
        <v>1.0139803882399809</v>
      </c>
      <c r="D108" s="330">
        <f>1-(1-D105)*D107</f>
        <v>1.0055263331957003</v>
      </c>
      <c r="E108" s="330">
        <f>1-(1-E105)*E107</f>
        <v>1.0131398966601242</v>
      </c>
      <c r="G108" s="330">
        <f t="shared" ref="G108:Q108" si="176">1-(1-G105)*G107</f>
        <v>0.97930639274752362</v>
      </c>
      <c r="H108" s="330">
        <f t="shared" si="176"/>
        <v>1.0014185671799416</v>
      </c>
      <c r="I108" s="330">
        <f t="shared" si="176"/>
        <v>0.85991500224613193</v>
      </c>
      <c r="J108" s="330">
        <f t="shared" si="176"/>
        <v>1.0377103169356443</v>
      </c>
      <c r="K108" s="330">
        <f t="shared" si="176"/>
        <v>0.92000363186351519</v>
      </c>
      <c r="L108" s="330">
        <f t="shared" si="176"/>
        <v>0.8511079904662846</v>
      </c>
      <c r="M108" s="330">
        <f t="shared" si="176"/>
        <v>0.87230773362065839</v>
      </c>
      <c r="N108" s="330">
        <f t="shared" si="176"/>
        <v>0.97892867494677116</v>
      </c>
      <c r="O108" s="330">
        <f t="shared" si="176"/>
        <v>1.0030359115021552</v>
      </c>
      <c r="P108" s="330">
        <f t="shared" si="176"/>
        <v>0.97594041504422069</v>
      </c>
      <c r="Q108" s="330">
        <f t="shared" si="176"/>
        <v>0.95357874495906991</v>
      </c>
      <c r="R108" s="330">
        <f>1-(1-R105)*R107</f>
        <v>0.92426788841079044</v>
      </c>
      <c r="S108" s="330">
        <f>1-(1-S105)*S107</f>
        <v>0.92323338759143936</v>
      </c>
      <c r="T108" s="330">
        <f t="shared" ref="T108:AA108" si="177">1-(1-T105)*T107</f>
        <v>1.0395928644480712</v>
      </c>
      <c r="U108" s="330">
        <f t="shared" si="177"/>
        <v>0.94303194726068496</v>
      </c>
      <c r="V108" s="330">
        <f t="shared" si="177"/>
        <v>0.89881372351360023</v>
      </c>
      <c r="W108" s="330">
        <f t="shared" si="177"/>
        <v>0.99676827297577464</v>
      </c>
      <c r="X108" s="330">
        <f t="shared" si="177"/>
        <v>1.0093105747748103</v>
      </c>
      <c r="Y108" s="330">
        <f t="shared" si="177"/>
        <v>1.0544809135733297</v>
      </c>
      <c r="Z108" s="330">
        <f t="shared" si="177"/>
        <v>0.97594041504422069</v>
      </c>
      <c r="AA108" s="330">
        <f t="shared" si="177"/>
        <v>0.96272141135506162</v>
      </c>
    </row>
    <row r="110" spans="1:27">
      <c r="A110" s="331" t="s">
        <v>284</v>
      </c>
      <c r="B110" s="318">
        <f t="shared" ref="B110:C110" si="178">B23/B13</f>
        <v>1.6186196264359325</v>
      </c>
      <c r="C110" s="318">
        <f t="shared" si="178"/>
        <v>1.8038879359634077</v>
      </c>
      <c r="D110" s="318">
        <f>D23/D13</f>
        <v>2.1321961620469083</v>
      </c>
      <c r="E110" s="318">
        <f>E23/E13</f>
        <v>1.7777777777777777</v>
      </c>
      <c r="G110" s="318">
        <f>G23/G13</f>
        <v>0.5</v>
      </c>
      <c r="H110" s="318">
        <f>H23/H13</f>
        <v>1.4979264694154237</v>
      </c>
      <c r="I110" s="318">
        <f t="shared" ref="I110" si="179">I23/I13</f>
        <v>0.55788005578800559</v>
      </c>
      <c r="J110" s="318">
        <f>J23/J13</f>
        <v>2.4232633279483036</v>
      </c>
      <c r="K110" s="318">
        <f>K23/K13</f>
        <v>1</v>
      </c>
      <c r="L110" s="318">
        <f>L23/L13</f>
        <v>0.5</v>
      </c>
      <c r="M110" s="318">
        <f>M23/M13</f>
        <v>0.45454545454545453</v>
      </c>
      <c r="N110" s="318">
        <f t="shared" ref="N110" si="180">N23/N13</f>
        <v>7.8</v>
      </c>
      <c r="O110" s="318">
        <f>O23/O13</f>
        <v>1.6058394160583942</v>
      </c>
      <c r="P110" s="318">
        <f t="shared" ref="P110:AA110" si="181">P23/P13</f>
        <v>1.1650485436893203</v>
      </c>
      <c r="Q110" s="318">
        <f t="shared" si="181"/>
        <v>4.2857142857142856</v>
      </c>
      <c r="R110" s="318">
        <f t="shared" si="181"/>
        <v>3.3333333333333335</v>
      </c>
      <c r="S110" s="318">
        <f t="shared" si="181"/>
        <v>1.0144927536231885</v>
      </c>
      <c r="T110" s="318">
        <f t="shared" si="181"/>
        <v>0.9</v>
      </c>
      <c r="U110" s="318">
        <f t="shared" si="181"/>
        <v>0.21295399129018178</v>
      </c>
      <c r="V110" s="318">
        <f t="shared" si="181"/>
        <v>0.83798882681564246</v>
      </c>
      <c r="W110" s="318">
        <f t="shared" si="181"/>
        <v>2.4186046511627906</v>
      </c>
      <c r="X110" s="318">
        <f t="shared" si="181"/>
        <v>0.625</v>
      </c>
      <c r="Y110" s="318">
        <f t="shared" si="181"/>
        <v>5.1040694607863033</v>
      </c>
      <c r="Z110" s="318">
        <f t="shared" si="181"/>
        <v>1.1650485436893203</v>
      </c>
      <c r="AA110" s="318">
        <f t="shared" si="181"/>
        <v>2.3226693208856473</v>
      </c>
    </row>
    <row r="111" spans="1:27" ht="20.25">
      <c r="A111" s="332" t="s">
        <v>285</v>
      </c>
      <c r="B111" s="333">
        <v>322.36363636363637</v>
      </c>
      <c r="C111" s="318">
        <f t="shared" ref="C111" si="182">$B$110-C110</f>
        <v>-0.18526830952747519</v>
      </c>
      <c r="D111" s="318">
        <f>$B$110-D110</f>
        <v>-0.51357653561097583</v>
      </c>
      <c r="E111" s="318">
        <f>$B$110-E110</f>
        <v>-0.15915815134184519</v>
      </c>
      <c r="G111" s="318">
        <f t="shared" ref="G111:Q111" si="183">$B$110-G110</f>
        <v>1.1186196264359325</v>
      </c>
      <c r="H111" s="318">
        <f t="shared" si="183"/>
        <v>0.12069315702050876</v>
      </c>
      <c r="I111" s="318">
        <f t="shared" si="183"/>
        <v>1.060739570647927</v>
      </c>
      <c r="J111" s="318">
        <f t="shared" si="183"/>
        <v>-0.80464370151237108</v>
      </c>
      <c r="K111" s="318">
        <f t="shared" si="183"/>
        <v>0.61861962643593249</v>
      </c>
      <c r="L111" s="318">
        <f t="shared" si="183"/>
        <v>1.1186196264359325</v>
      </c>
      <c r="M111" s="318">
        <f t="shared" si="183"/>
        <v>1.1640741718904779</v>
      </c>
      <c r="N111" s="318">
        <f t="shared" si="183"/>
        <v>-6.1813803735640676</v>
      </c>
      <c r="O111" s="318">
        <f t="shared" si="183"/>
        <v>1.2780210377538292E-2</v>
      </c>
      <c r="P111" s="318">
        <f t="shared" si="183"/>
        <v>0.45357108274661218</v>
      </c>
      <c r="Q111" s="318">
        <f t="shared" si="183"/>
        <v>-2.6670946592783533</v>
      </c>
      <c r="R111" s="318">
        <f>$B$110-R110</f>
        <v>-1.714713706897401</v>
      </c>
      <c r="S111" s="318">
        <f>$B$110-S110</f>
        <v>0.60412687281274402</v>
      </c>
      <c r="T111" s="318">
        <f t="shared" ref="T111:AA111" si="184">$B$110-T110</f>
        <v>0.71861962643593247</v>
      </c>
      <c r="U111" s="318">
        <f t="shared" si="184"/>
        <v>1.4056656351457506</v>
      </c>
      <c r="V111" s="318">
        <f t="shared" si="184"/>
        <v>0.78063079962029003</v>
      </c>
      <c r="W111" s="318">
        <f t="shared" si="184"/>
        <v>-0.79998502472685806</v>
      </c>
      <c r="X111" s="318">
        <f t="shared" si="184"/>
        <v>0.99361962643593249</v>
      </c>
      <c r="Y111" s="318">
        <f t="shared" si="184"/>
        <v>-3.485449834350371</v>
      </c>
      <c r="Z111" s="318">
        <f t="shared" si="184"/>
        <v>0.45357108274661218</v>
      </c>
      <c r="AA111" s="318">
        <f t="shared" si="184"/>
        <v>-0.70404969444971477</v>
      </c>
    </row>
    <row r="112" spans="1:27">
      <c r="A112" s="334"/>
      <c r="B112" s="334"/>
      <c r="C112" s="318">
        <f t="shared" ref="C112" si="185">$B$111*C111</f>
        <v>-59.723765962220639</v>
      </c>
      <c r="D112" s="318">
        <f>$B$111*D111</f>
        <v>-165.55839957059277</v>
      </c>
      <c r="E112" s="318">
        <f>$B$111*E111</f>
        <v>-51.306800423471188</v>
      </c>
      <c r="G112" s="318">
        <f t="shared" ref="G112:Q112" si="186">$B$111*G111</f>
        <v>360.60229048561968</v>
      </c>
      <c r="H112" s="318">
        <f t="shared" si="186"/>
        <v>38.907084981338549</v>
      </c>
      <c r="I112" s="318">
        <f t="shared" si="186"/>
        <v>341.94386522886811</v>
      </c>
      <c r="J112" s="318">
        <f t="shared" si="186"/>
        <v>-259.38786959662434</v>
      </c>
      <c r="K112" s="318">
        <f t="shared" si="186"/>
        <v>199.42047230380152</v>
      </c>
      <c r="L112" s="318">
        <f t="shared" si="186"/>
        <v>360.60229048561968</v>
      </c>
      <c r="M112" s="318">
        <f t="shared" si="186"/>
        <v>375.25518304760317</v>
      </c>
      <c r="N112" s="318">
        <f t="shared" si="186"/>
        <v>-1992.6522549689259</v>
      </c>
      <c r="O112" s="318">
        <f t="shared" si="186"/>
        <v>4.1198750907955262</v>
      </c>
      <c r="P112" s="318">
        <f t="shared" si="186"/>
        <v>146.21482358358972</v>
      </c>
      <c r="Q112" s="318">
        <f t="shared" si="186"/>
        <v>-859.77433289100372</v>
      </c>
      <c r="R112" s="318">
        <f>$B$111*R111</f>
        <v>-552.76134587801675</v>
      </c>
      <c r="S112" s="318">
        <f>$B$111*S111</f>
        <v>194.74853554490821</v>
      </c>
      <c r="T112" s="318">
        <f t="shared" ref="T112:AA112" si="187">$B$111*T111</f>
        <v>231.65683594016514</v>
      </c>
      <c r="U112" s="318">
        <f t="shared" si="187"/>
        <v>453.13548565698471</v>
      </c>
      <c r="V112" s="318">
        <f t="shared" si="187"/>
        <v>251.64698322304986</v>
      </c>
      <c r="W112" s="318">
        <f t="shared" si="187"/>
        <v>-257.88608160740353</v>
      </c>
      <c r="X112" s="318">
        <f t="shared" si="187"/>
        <v>320.30683594016517</v>
      </c>
      <c r="Y112" s="318">
        <f t="shared" si="187"/>
        <v>-1123.5822829642198</v>
      </c>
      <c r="Z112" s="318">
        <f t="shared" si="187"/>
        <v>146.21482358358972</v>
      </c>
      <c r="AA112" s="318">
        <f t="shared" si="187"/>
        <v>-226.96001968351715</v>
      </c>
    </row>
    <row r="113" spans="1:27">
      <c r="A113" s="334"/>
      <c r="B113" s="334"/>
      <c r="C113" s="325">
        <f t="shared" ref="C113" si="188">C112*долл</f>
        <v>-5222.8433333961948</v>
      </c>
      <c r="D113" s="325">
        <f>D112*долл</f>
        <v>-14478.082042448337</v>
      </c>
      <c r="E113" s="325">
        <f>E112*долл</f>
        <v>-4486.7796970325553</v>
      </c>
      <c r="G113" s="325">
        <f t="shared" ref="G113:O113" si="189">G112*долл</f>
        <v>31534.670302967443</v>
      </c>
      <c r="H113" s="325">
        <f t="shared" si="189"/>
        <v>3402.4245816180564</v>
      </c>
      <c r="I113" s="325">
        <f t="shared" si="189"/>
        <v>29902.991014264517</v>
      </c>
      <c r="J113" s="325">
        <f t="shared" si="189"/>
        <v>-22683.4691962248</v>
      </c>
      <c r="K113" s="325">
        <f t="shared" si="189"/>
        <v>17439.320302967444</v>
      </c>
      <c r="L113" s="325">
        <f t="shared" si="189"/>
        <v>31534.670302967443</v>
      </c>
      <c r="M113" s="325">
        <f t="shared" si="189"/>
        <v>32816.065757512901</v>
      </c>
      <c r="N113" s="325">
        <f t="shared" si="189"/>
        <v>-174257.43969703259</v>
      </c>
      <c r="O113" s="325">
        <f t="shared" si="189"/>
        <v>360.28307669006875</v>
      </c>
      <c r="P113" s="325">
        <f t="shared" ref="P113" si="190">P112*долл</f>
        <v>12786.486322384921</v>
      </c>
      <c r="Q113" s="325">
        <f t="shared" ref="Q113" si="191">Q112*долл</f>
        <v>-75187.26541131828</v>
      </c>
      <c r="R113" s="325">
        <f>R112*долл</f>
        <v>-48338.97969703257</v>
      </c>
      <c r="S113" s="325">
        <f>S112*долл</f>
        <v>17030.759433402225</v>
      </c>
      <c r="T113" s="325">
        <f t="shared" ref="T113:AA113" si="192">T112*долл</f>
        <v>20258.39030296744</v>
      </c>
      <c r="U113" s="325">
        <f t="shared" si="192"/>
        <v>39626.698220703314</v>
      </c>
      <c r="V113" s="325">
        <f t="shared" si="192"/>
        <v>22006.528682855711</v>
      </c>
      <c r="W113" s="325">
        <f t="shared" si="192"/>
        <v>-22552.137836567439</v>
      </c>
      <c r="X113" s="325">
        <f t="shared" si="192"/>
        <v>28010.832802967445</v>
      </c>
      <c r="Y113" s="325">
        <f t="shared" si="192"/>
        <v>-98257.270645221026</v>
      </c>
      <c r="Z113" s="325">
        <f t="shared" si="192"/>
        <v>12786.486322384921</v>
      </c>
      <c r="AA113" s="325">
        <f t="shared" si="192"/>
        <v>-19847.653721323575</v>
      </c>
    </row>
    <row r="114" spans="1:27">
      <c r="A114" s="334"/>
      <c r="B114" s="334"/>
      <c r="C114" s="326">
        <f t="shared" ref="C114" si="193">1+C113/C65</f>
        <v>0.92587874073915555</v>
      </c>
      <c r="D114" s="326">
        <f>1+D113/D65</f>
        <v>0.81798622803349608</v>
      </c>
      <c r="E114" s="326">
        <f>1+E113/E65</f>
        <v>0.93316390203773292</v>
      </c>
      <c r="G114" s="326">
        <f t="shared" ref="G114:Q114" si="194">1+G113/G65</f>
        <v>1.8851087572848559</v>
      </c>
      <c r="H114" s="326">
        <f t="shared" si="194"/>
        <v>1.0636122833217854</v>
      </c>
      <c r="I114" s="326">
        <f t="shared" si="194"/>
        <v>1.6054360611512648</v>
      </c>
      <c r="J114" s="326">
        <f t="shared" si="194"/>
        <v>0.68281750630350879</v>
      </c>
      <c r="K114" s="326">
        <f t="shared" si="194"/>
        <v>1.2610830504496953</v>
      </c>
      <c r="L114" s="326">
        <f t="shared" si="194"/>
        <v>1.3954602894763468</v>
      </c>
      <c r="M114" s="326">
        <f t="shared" si="194"/>
        <v>1.9127021462677423</v>
      </c>
      <c r="N114" s="326">
        <f t="shared" si="194"/>
        <v>-5.3167023207099096E-3</v>
      </c>
      <c r="O114" s="326">
        <f t="shared" si="194"/>
        <v>1.006190911866055</v>
      </c>
      <c r="P114" s="326">
        <f t="shared" si="194"/>
        <v>1.3100112824081873</v>
      </c>
      <c r="Q114" s="326">
        <f t="shared" si="194"/>
        <v>0.42065118472918683</v>
      </c>
      <c r="R114" s="326">
        <f>1+R113/R65</f>
        <v>0.63871807458953156</v>
      </c>
      <c r="S114" s="326">
        <f>1+S113/S65</f>
        <v>1.4032907848919167</v>
      </c>
      <c r="T114" s="326">
        <f t="shared" ref="T114:AA114" si="195">1+T113/T65</f>
        <v>1.326469620886682</v>
      </c>
      <c r="U114" s="326">
        <f t="shared" si="195"/>
        <v>5.862893412076585</v>
      </c>
      <c r="V114" s="326">
        <f t="shared" si="195"/>
        <v>1.4520740657199529</v>
      </c>
      <c r="W114" s="326">
        <f t="shared" si="195"/>
        <v>0.58012946263622434</v>
      </c>
      <c r="X114" s="326">
        <f t="shared" si="195"/>
        <v>1.6339849028886224</v>
      </c>
      <c r="Y114" s="326">
        <f t="shared" si="195"/>
        <v>-5.877694006265588E-2</v>
      </c>
      <c r="Z114" s="326">
        <f t="shared" si="195"/>
        <v>1.3291520220976558</v>
      </c>
      <c r="AA114" s="326">
        <f t="shared" si="195"/>
        <v>0.46815035686100104</v>
      </c>
    </row>
    <row r="115" spans="1:27">
      <c r="A115" s="335"/>
      <c r="B115" s="336"/>
      <c r="C115" s="337"/>
      <c r="D115" s="337"/>
      <c r="E115" s="337"/>
      <c r="G115" s="337"/>
      <c r="H115" s="337"/>
      <c r="I115" s="337"/>
      <c r="J115" s="337"/>
      <c r="K115" s="337"/>
      <c r="L115" s="337"/>
      <c r="M115" s="337"/>
      <c r="N115" s="337"/>
      <c r="O115" s="337"/>
      <c r="P115" s="337"/>
      <c r="Q115" s="337"/>
      <c r="R115" s="337"/>
      <c r="S115" s="337"/>
      <c r="T115" s="337"/>
      <c r="U115" s="337"/>
      <c r="V115" s="337"/>
      <c r="W115" s="337"/>
      <c r="X115" s="337"/>
      <c r="Y115" s="337"/>
      <c r="Z115" s="337"/>
      <c r="AA115" s="337"/>
    </row>
    <row r="116" spans="1:27" ht="18">
      <c r="A116" s="338" t="s">
        <v>286</v>
      </c>
      <c r="B116" s="339">
        <v>0.02</v>
      </c>
      <c r="C116" s="340">
        <f t="shared" ref="C116" si="196">C113/C65</f>
        <v>-7.412125926084441E-2</v>
      </c>
      <c r="D116" s="340">
        <f>D113/D65</f>
        <v>-0.18201377196650392</v>
      </c>
      <c r="E116" s="340">
        <f>E113/E65</f>
        <v>-6.6836097962267083E-2</v>
      </c>
      <c r="G116" s="340">
        <f t="shared" ref="G116:Q116" si="197">G113/G65</f>
        <v>0.88510875728485605</v>
      </c>
      <c r="H116" s="340">
        <f t="shared" si="197"/>
        <v>6.3612283321785326E-2</v>
      </c>
      <c r="I116" s="340">
        <f t="shared" si="197"/>
        <v>0.6054360611512648</v>
      </c>
      <c r="J116" s="340">
        <f t="shared" si="197"/>
        <v>-0.31718249369649121</v>
      </c>
      <c r="K116" s="340">
        <f t="shared" si="197"/>
        <v>0.26108305044969538</v>
      </c>
      <c r="L116" s="340">
        <f t="shared" si="197"/>
        <v>0.39546028947634676</v>
      </c>
      <c r="M116" s="340">
        <f t="shared" si="197"/>
        <v>0.91270214626774215</v>
      </c>
      <c r="N116" s="340">
        <f t="shared" si="197"/>
        <v>-1.0053167023207099</v>
      </c>
      <c r="O116" s="340">
        <f t="shared" si="197"/>
        <v>6.1909118660550821E-3</v>
      </c>
      <c r="P116" s="340">
        <f t="shared" si="197"/>
        <v>0.31001128240818743</v>
      </c>
      <c r="Q116" s="340">
        <f t="shared" si="197"/>
        <v>-0.57934881527081317</v>
      </c>
      <c r="R116" s="340">
        <f>R113/R65</f>
        <v>-0.3612819254104685</v>
      </c>
      <c r="S116" s="340">
        <f>S113/S65</f>
        <v>0.40329078489191678</v>
      </c>
      <c r="T116" s="340">
        <f t="shared" ref="T116:AA116" si="198">T113/T65</f>
        <v>0.32646962088668185</v>
      </c>
      <c r="U116" s="340">
        <f t="shared" si="198"/>
        <v>4.862893412076585</v>
      </c>
      <c r="V116" s="340">
        <f t="shared" si="198"/>
        <v>0.45207406571995284</v>
      </c>
      <c r="W116" s="340">
        <f t="shared" si="198"/>
        <v>-0.41987053736377561</v>
      </c>
      <c r="X116" s="340">
        <f t="shared" si="198"/>
        <v>0.63398490288862253</v>
      </c>
      <c r="Y116" s="340">
        <f t="shared" si="198"/>
        <v>-1.0587769400626559</v>
      </c>
      <c r="Z116" s="340">
        <f t="shared" si="198"/>
        <v>0.32915202209765576</v>
      </c>
      <c r="AA116" s="340">
        <f t="shared" si="198"/>
        <v>-0.53184964313899896</v>
      </c>
    </row>
    <row r="117" spans="1:27" ht="20.25">
      <c r="A117" s="341" t="s">
        <v>493</v>
      </c>
      <c r="B117" s="342">
        <v>0.4</v>
      </c>
      <c r="C117" s="343">
        <f t="shared" ref="C117" si="199">MROUND((1+C116)^$B$117,$B$116)</f>
        <v>0.96</v>
      </c>
      <c r="D117" s="343">
        <f>MROUND((1+D116)^$B$117,$B$116)</f>
        <v>0.92</v>
      </c>
      <c r="E117" s="343">
        <f>MROUND((1+E116)^$B$117,$B$116)</f>
        <v>0.98</v>
      </c>
      <c r="G117" s="343">
        <f t="shared" ref="G117:Q117" si="200">MROUND((1+G116)^$B$117,$B$116)</f>
        <v>1.28</v>
      </c>
      <c r="H117" s="343">
        <f t="shared" si="200"/>
        <v>1.02</v>
      </c>
      <c r="I117" s="343">
        <f t="shared" si="200"/>
        <v>1.2</v>
      </c>
      <c r="J117" s="343">
        <f t="shared" si="200"/>
        <v>0.86</v>
      </c>
      <c r="K117" s="343">
        <f t="shared" si="200"/>
        <v>1.1000000000000001</v>
      </c>
      <c r="L117" s="343">
        <f t="shared" si="200"/>
        <v>1.1400000000000001</v>
      </c>
      <c r="M117" s="343">
        <f t="shared" si="200"/>
        <v>1.3</v>
      </c>
      <c r="N117" s="343" t="e">
        <f t="shared" si="200"/>
        <v>#NUM!</v>
      </c>
      <c r="O117" s="343">
        <f t="shared" si="200"/>
        <v>1</v>
      </c>
      <c r="P117" s="343">
        <f t="shared" si="200"/>
        <v>1.1200000000000001</v>
      </c>
      <c r="Q117" s="343">
        <f t="shared" si="200"/>
        <v>0.70000000000000007</v>
      </c>
      <c r="R117" s="343">
        <f>MROUND((1+R116)^$B$117,$B$116)</f>
        <v>0.84</v>
      </c>
      <c r="S117" s="343">
        <f>MROUND((1+S116)^$B$117,$B$116)</f>
        <v>1.1400000000000001</v>
      </c>
      <c r="T117" s="343">
        <f t="shared" ref="T117:AA117" si="201">MROUND((1+T116)^$B$117,$B$116)</f>
        <v>1.1200000000000001</v>
      </c>
      <c r="U117" s="343">
        <f t="shared" si="201"/>
        <v>2.02</v>
      </c>
      <c r="V117" s="343">
        <f t="shared" si="201"/>
        <v>1.1599999999999999</v>
      </c>
      <c r="W117" s="343">
        <f t="shared" si="201"/>
        <v>0.8</v>
      </c>
      <c r="X117" s="343">
        <f t="shared" si="201"/>
        <v>1.22</v>
      </c>
      <c r="Y117" s="343" t="e">
        <f t="shared" si="201"/>
        <v>#NUM!</v>
      </c>
      <c r="Z117" s="343">
        <f t="shared" si="201"/>
        <v>1.1200000000000001</v>
      </c>
      <c r="AA117" s="343">
        <f t="shared" si="201"/>
        <v>0.74</v>
      </c>
    </row>
    <row r="118" spans="1:27" ht="15.75">
      <c r="A118" s="256" t="s">
        <v>287</v>
      </c>
      <c r="B118" s="257">
        <v>0</v>
      </c>
    </row>
    <row r="119" spans="1:27" ht="15.75">
      <c r="A119" s="258" t="s">
        <v>289</v>
      </c>
      <c r="B119" s="259">
        <v>0.3</v>
      </c>
    </row>
    <row r="120" spans="1:27" ht="15.75">
      <c r="A120" s="258" t="s">
        <v>291</v>
      </c>
      <c r="B120" s="259">
        <v>0.5</v>
      </c>
    </row>
    <row r="121" spans="1:27" ht="15.75">
      <c r="A121" s="258" t="s">
        <v>293</v>
      </c>
      <c r="B121" s="259">
        <v>0.7</v>
      </c>
    </row>
    <row r="122" spans="1:27" ht="15.75">
      <c r="A122" s="256" t="s">
        <v>295</v>
      </c>
      <c r="B122" s="257">
        <v>1</v>
      </c>
    </row>
    <row r="123" spans="1:27" ht="15.75">
      <c r="A123" s="257">
        <v>0</v>
      </c>
      <c r="B123" s="344" t="s">
        <v>359</v>
      </c>
    </row>
    <row r="124" spans="1:27" ht="15.75">
      <c r="A124" s="259">
        <v>0.3</v>
      </c>
      <c r="B124" s="345" t="s">
        <v>360</v>
      </c>
    </row>
    <row r="125" spans="1:27" ht="15.75">
      <c r="A125" s="259">
        <v>0.5</v>
      </c>
      <c r="B125" s="345" t="s">
        <v>361</v>
      </c>
    </row>
    <row r="126" spans="1:27" ht="15.75">
      <c r="A126" s="259">
        <v>0.7</v>
      </c>
      <c r="B126" s="345" t="s">
        <v>362</v>
      </c>
    </row>
    <row r="127" spans="1:27" ht="15.75">
      <c r="A127" s="257">
        <v>1</v>
      </c>
      <c r="B127" s="344" t="s">
        <v>363</v>
      </c>
    </row>
  </sheetData>
  <mergeCells count="1">
    <mergeCell ref="A100:A103"/>
  </mergeCells>
  <hyperlinks>
    <hyperlink ref="Z4" r:id="rId1" xr:uid="{FBFB014C-4D75-4087-94C8-22DACE1A3B3C}"/>
    <hyperlink ref="AA4" r:id="rId2" xr:uid="{F3A14888-D30B-4695-A215-C47560D24E33}"/>
    <hyperlink ref="S4" r:id="rId3" xr:uid="{D1590DBA-B939-48AE-A12C-5DD27FE539CB}"/>
    <hyperlink ref="J4" r:id="rId4" xr:uid="{8FE820E4-9EB8-4E3C-AE82-AB1A98C67EDE}"/>
    <hyperlink ref="R4" r:id="rId5" xr:uid="{309DD70D-B2B8-4121-84E3-A6945C8D809A}"/>
    <hyperlink ref="P4" r:id="rId6" xr:uid="{960351E9-77CE-4C1C-BDFC-A22D75DD5CF8}"/>
    <hyperlink ref="H4" r:id="rId7" xr:uid="{03D77EBF-7855-4528-84CE-68E770FB4DC7}"/>
    <hyperlink ref="O4" r:id="rId8" xr:uid="{70DBE556-CFCB-4D7F-8A99-FB56B8540416}"/>
    <hyperlink ref="C4" r:id="rId9" xr:uid="{A192AFCA-E693-4015-B8CB-085AED54E490}"/>
    <hyperlink ref="G4" r:id="rId10" xr:uid="{441FBC76-3B02-4190-8314-8850B129FDA4}"/>
    <hyperlink ref="I4" r:id="rId11" xr:uid="{5259D244-E748-4919-B847-A0936902FC16}"/>
    <hyperlink ref="D4" r:id="rId12" xr:uid="{B2E30ACE-F7E1-4935-8348-210EE19BB1E2}"/>
    <hyperlink ref="E3" r:id="rId13" xr:uid="{87480C70-75DD-47A1-AB46-1A5C5CBAB3E9}"/>
    <hyperlink ref="E2" r:id="rId14" xr:uid="{0893661B-BECF-4D07-8B66-6BCE451BFFBA}"/>
    <hyperlink ref="E4" r:id="rId15" xr:uid="{7FF6A834-524A-4840-A905-0133FF354EEA}"/>
  </hyperlinks>
  <pageMargins left="0.7" right="0.7" top="0.75" bottom="0.75" header="0.3" footer="0.3"/>
  <pageSetup paperSize="9" orientation="portrait" verticalDpi="300" r:id="rId16"/>
  <legacyDrawing r:id="rId17"/>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50DD-DE6A-4842-A4C6-13931A4925F4}">
  <sheetPr>
    <tabColor theme="7" tint="0.39997558519241921"/>
  </sheetPr>
  <dimension ref="B1:AJ257"/>
  <sheetViews>
    <sheetView topLeftCell="A24" zoomScale="85" zoomScaleNormal="85" workbookViewId="0">
      <selection activeCell="D77" sqref="D77:F77"/>
    </sheetView>
  </sheetViews>
  <sheetFormatPr defaultRowHeight="12.75" outlineLevelRow="1"/>
  <cols>
    <col min="1" max="1" width="5" style="260" customWidth="1"/>
    <col min="2" max="2" width="49" style="260" customWidth="1"/>
    <col min="3" max="3" width="39" style="260" customWidth="1"/>
    <col min="4" max="5" width="39" style="74" customWidth="1"/>
    <col min="6" max="6" width="37.125" style="74" customWidth="1"/>
    <col min="7" max="7" width="9" style="76"/>
    <col min="8" max="8" width="39" style="74" customWidth="1"/>
    <col min="9" max="9" width="37.125" style="74" customWidth="1"/>
    <col min="10" max="10" width="29.25" style="74" customWidth="1"/>
    <col min="11" max="15" width="9" style="76"/>
    <col min="16" max="17" width="37.125" style="74" customWidth="1"/>
    <col min="18" max="18" width="9" style="76"/>
    <col min="19" max="19" width="37.125" style="260" customWidth="1"/>
    <col min="20" max="21" width="37.125" style="74" customWidth="1"/>
    <col min="22" max="23" width="9" style="260"/>
    <col min="24" max="24" width="36.625" style="260" customWidth="1"/>
    <col min="25" max="26" width="37.875" style="74" customWidth="1"/>
    <col min="27" max="27" width="37.875" style="74" customWidth="1" collapsed="1"/>
    <col min="28" max="32" width="9" style="260"/>
    <col min="33" max="36" width="37.875" style="74" customWidth="1"/>
    <col min="37" max="236" width="9" style="260"/>
    <col min="237" max="237" width="44" style="260" customWidth="1"/>
    <col min="238" max="238" width="24" style="260" customWidth="1"/>
    <col min="239" max="239" width="26.25" style="260" customWidth="1"/>
    <col min="240" max="240" width="25.375" style="260" customWidth="1"/>
    <col min="241" max="243" width="26" style="260" customWidth="1"/>
    <col min="244" max="244" width="9" style="260"/>
    <col min="245" max="246" width="26" style="260" customWidth="1"/>
    <col min="247" max="492" width="9" style="260"/>
    <col min="493" max="493" width="44" style="260" customWidth="1"/>
    <col min="494" max="494" width="24" style="260" customWidth="1"/>
    <col min="495" max="495" width="26.25" style="260" customWidth="1"/>
    <col min="496" max="496" width="25.375" style="260" customWidth="1"/>
    <col min="497" max="499" width="26" style="260" customWidth="1"/>
    <col min="500" max="500" width="9" style="260"/>
    <col min="501" max="502" width="26" style="260" customWidth="1"/>
    <col min="503" max="748" width="9" style="260"/>
    <col min="749" max="749" width="44" style="260" customWidth="1"/>
    <col min="750" max="750" width="24" style="260" customWidth="1"/>
    <col min="751" max="751" width="26.25" style="260" customWidth="1"/>
    <col min="752" max="752" width="25.375" style="260" customWidth="1"/>
    <col min="753" max="755" width="26" style="260" customWidth="1"/>
    <col min="756" max="756" width="9" style="260"/>
    <col min="757" max="758" width="26" style="260" customWidth="1"/>
    <col min="759" max="1004" width="9" style="260"/>
    <col min="1005" max="1005" width="44" style="260" customWidth="1"/>
    <col min="1006" max="1006" width="24" style="260" customWidth="1"/>
    <col min="1007" max="1007" width="26.25" style="260" customWidth="1"/>
    <col min="1008" max="1008" width="25.375" style="260" customWidth="1"/>
    <col min="1009" max="1011" width="26" style="260" customWidth="1"/>
    <col min="1012" max="1012" width="9" style="260"/>
    <col min="1013" max="1014" width="26" style="260" customWidth="1"/>
    <col min="1015" max="1260" width="9" style="260"/>
    <col min="1261" max="1261" width="44" style="260" customWidth="1"/>
    <col min="1262" max="1262" width="24" style="260" customWidth="1"/>
    <col min="1263" max="1263" width="26.25" style="260" customWidth="1"/>
    <col min="1264" max="1264" width="25.375" style="260" customWidth="1"/>
    <col min="1265" max="1267" width="26" style="260" customWidth="1"/>
    <col min="1268" max="1268" width="9" style="260"/>
    <col min="1269" max="1270" width="26" style="260" customWidth="1"/>
    <col min="1271" max="1516" width="9" style="260"/>
    <col min="1517" max="1517" width="44" style="260" customWidth="1"/>
    <col min="1518" max="1518" width="24" style="260" customWidth="1"/>
    <col min="1519" max="1519" width="26.25" style="260" customWidth="1"/>
    <col min="1520" max="1520" width="25.375" style="260" customWidth="1"/>
    <col min="1521" max="1523" width="26" style="260" customWidth="1"/>
    <col min="1524" max="1524" width="9" style="260"/>
    <col min="1525" max="1526" width="26" style="260" customWidth="1"/>
    <col min="1527" max="1772" width="9" style="260"/>
    <col min="1773" max="1773" width="44" style="260" customWidth="1"/>
    <col min="1774" max="1774" width="24" style="260" customWidth="1"/>
    <col min="1775" max="1775" width="26.25" style="260" customWidth="1"/>
    <col min="1776" max="1776" width="25.375" style="260" customWidth="1"/>
    <col min="1777" max="1779" width="26" style="260" customWidth="1"/>
    <col min="1780" max="1780" width="9" style="260"/>
    <col min="1781" max="1782" width="26" style="260" customWidth="1"/>
    <col min="1783" max="2028" width="9" style="260"/>
    <col min="2029" max="2029" width="44" style="260" customWidth="1"/>
    <col min="2030" max="2030" width="24" style="260" customWidth="1"/>
    <col min="2031" max="2031" width="26.25" style="260" customWidth="1"/>
    <col min="2032" max="2032" width="25.375" style="260" customWidth="1"/>
    <col min="2033" max="2035" width="26" style="260" customWidth="1"/>
    <col min="2036" max="2036" width="9" style="260"/>
    <col min="2037" max="2038" width="26" style="260" customWidth="1"/>
    <col min="2039" max="2284" width="9" style="260"/>
    <col min="2285" max="2285" width="44" style="260" customWidth="1"/>
    <col min="2286" max="2286" width="24" style="260" customWidth="1"/>
    <col min="2287" max="2287" width="26.25" style="260" customWidth="1"/>
    <col min="2288" max="2288" width="25.375" style="260" customWidth="1"/>
    <col min="2289" max="2291" width="26" style="260" customWidth="1"/>
    <col min="2292" max="2292" width="9" style="260"/>
    <col min="2293" max="2294" width="26" style="260" customWidth="1"/>
    <col min="2295" max="2540" width="9" style="260"/>
    <col min="2541" max="2541" width="44" style="260" customWidth="1"/>
    <col min="2542" max="2542" width="24" style="260" customWidth="1"/>
    <col min="2543" max="2543" width="26.25" style="260" customWidth="1"/>
    <col min="2544" max="2544" width="25.375" style="260" customWidth="1"/>
    <col min="2545" max="2547" width="26" style="260" customWidth="1"/>
    <col min="2548" max="2548" width="9" style="260"/>
    <col min="2549" max="2550" width="26" style="260" customWidth="1"/>
    <col min="2551" max="2796" width="9" style="260"/>
    <col min="2797" max="2797" width="44" style="260" customWidth="1"/>
    <col min="2798" max="2798" width="24" style="260" customWidth="1"/>
    <col min="2799" max="2799" width="26.25" style="260" customWidth="1"/>
    <col min="2800" max="2800" width="25.375" style="260" customWidth="1"/>
    <col min="2801" max="2803" width="26" style="260" customWidth="1"/>
    <col min="2804" max="2804" width="9" style="260"/>
    <col min="2805" max="2806" width="26" style="260" customWidth="1"/>
    <col min="2807" max="3052" width="9" style="260"/>
    <col min="3053" max="3053" width="44" style="260" customWidth="1"/>
    <col min="3054" max="3054" width="24" style="260" customWidth="1"/>
    <col min="3055" max="3055" width="26.25" style="260" customWidth="1"/>
    <col min="3056" max="3056" width="25.375" style="260" customWidth="1"/>
    <col min="3057" max="3059" width="26" style="260" customWidth="1"/>
    <col min="3060" max="3060" width="9" style="260"/>
    <col min="3061" max="3062" width="26" style="260" customWidth="1"/>
    <col min="3063" max="3308" width="9" style="260"/>
    <col min="3309" max="3309" width="44" style="260" customWidth="1"/>
    <col min="3310" max="3310" width="24" style="260" customWidth="1"/>
    <col min="3311" max="3311" width="26.25" style="260" customWidth="1"/>
    <col min="3312" max="3312" width="25.375" style="260" customWidth="1"/>
    <col min="3313" max="3315" width="26" style="260" customWidth="1"/>
    <col min="3316" max="3316" width="9" style="260"/>
    <col min="3317" max="3318" width="26" style="260" customWidth="1"/>
    <col min="3319" max="3564" width="9" style="260"/>
    <col min="3565" max="3565" width="44" style="260" customWidth="1"/>
    <col min="3566" max="3566" width="24" style="260" customWidth="1"/>
    <col min="3567" max="3567" width="26.25" style="260" customWidth="1"/>
    <col min="3568" max="3568" width="25.375" style="260" customWidth="1"/>
    <col min="3569" max="3571" width="26" style="260" customWidth="1"/>
    <col min="3572" max="3572" width="9" style="260"/>
    <col min="3573" max="3574" width="26" style="260" customWidth="1"/>
    <col min="3575" max="3820" width="9" style="260"/>
    <col min="3821" max="3821" width="44" style="260" customWidth="1"/>
    <col min="3822" max="3822" width="24" style="260" customWidth="1"/>
    <col min="3823" max="3823" width="26.25" style="260" customWidth="1"/>
    <col min="3824" max="3824" width="25.375" style="260" customWidth="1"/>
    <col min="3825" max="3827" width="26" style="260" customWidth="1"/>
    <col min="3828" max="3828" width="9" style="260"/>
    <col min="3829" max="3830" width="26" style="260" customWidth="1"/>
    <col min="3831" max="4076" width="9" style="260"/>
    <col min="4077" max="4077" width="44" style="260" customWidth="1"/>
    <col min="4078" max="4078" width="24" style="260" customWidth="1"/>
    <col min="4079" max="4079" width="26.25" style="260" customWidth="1"/>
    <col min="4080" max="4080" width="25.375" style="260" customWidth="1"/>
    <col min="4081" max="4083" width="26" style="260" customWidth="1"/>
    <col min="4084" max="4084" width="9" style="260"/>
    <col min="4085" max="4086" width="26" style="260" customWidth="1"/>
    <col min="4087" max="4332" width="9" style="260"/>
    <col min="4333" max="4333" width="44" style="260" customWidth="1"/>
    <col min="4334" max="4334" width="24" style="260" customWidth="1"/>
    <col min="4335" max="4335" width="26.25" style="260" customWidth="1"/>
    <col min="4336" max="4336" width="25.375" style="260" customWidth="1"/>
    <col min="4337" max="4339" width="26" style="260" customWidth="1"/>
    <col min="4340" max="4340" width="9" style="260"/>
    <col min="4341" max="4342" width="26" style="260" customWidth="1"/>
    <col min="4343" max="4588" width="9" style="260"/>
    <col min="4589" max="4589" width="44" style="260" customWidth="1"/>
    <col min="4590" max="4590" width="24" style="260" customWidth="1"/>
    <col min="4591" max="4591" width="26.25" style="260" customWidth="1"/>
    <col min="4592" max="4592" width="25.375" style="260" customWidth="1"/>
    <col min="4593" max="4595" width="26" style="260" customWidth="1"/>
    <col min="4596" max="4596" width="9" style="260"/>
    <col min="4597" max="4598" width="26" style="260" customWidth="1"/>
    <col min="4599" max="4844" width="9" style="260"/>
    <col min="4845" max="4845" width="44" style="260" customWidth="1"/>
    <col min="4846" max="4846" width="24" style="260" customWidth="1"/>
    <col min="4847" max="4847" width="26.25" style="260" customWidth="1"/>
    <col min="4848" max="4848" width="25.375" style="260" customWidth="1"/>
    <col min="4849" max="4851" width="26" style="260" customWidth="1"/>
    <col min="4852" max="4852" width="9" style="260"/>
    <col min="4853" max="4854" width="26" style="260" customWidth="1"/>
    <col min="4855" max="5100" width="9" style="260"/>
    <col min="5101" max="5101" width="44" style="260" customWidth="1"/>
    <col min="5102" max="5102" width="24" style="260" customWidth="1"/>
    <col min="5103" max="5103" width="26.25" style="260" customWidth="1"/>
    <col min="5104" max="5104" width="25.375" style="260" customWidth="1"/>
    <col min="5105" max="5107" width="26" style="260" customWidth="1"/>
    <col min="5108" max="5108" width="9" style="260"/>
    <col min="5109" max="5110" width="26" style="260" customWidth="1"/>
    <col min="5111" max="5356" width="9" style="260"/>
    <col min="5357" max="5357" width="44" style="260" customWidth="1"/>
    <col min="5358" max="5358" width="24" style="260" customWidth="1"/>
    <col min="5359" max="5359" width="26.25" style="260" customWidth="1"/>
    <col min="5360" max="5360" width="25.375" style="260" customWidth="1"/>
    <col min="5361" max="5363" width="26" style="260" customWidth="1"/>
    <col min="5364" max="5364" width="9" style="260"/>
    <col min="5365" max="5366" width="26" style="260" customWidth="1"/>
    <col min="5367" max="5612" width="9" style="260"/>
    <col min="5613" max="5613" width="44" style="260" customWidth="1"/>
    <col min="5614" max="5614" width="24" style="260" customWidth="1"/>
    <col min="5615" max="5615" width="26.25" style="260" customWidth="1"/>
    <col min="5616" max="5616" width="25.375" style="260" customWidth="1"/>
    <col min="5617" max="5619" width="26" style="260" customWidth="1"/>
    <col min="5620" max="5620" width="9" style="260"/>
    <col min="5621" max="5622" width="26" style="260" customWidth="1"/>
    <col min="5623" max="5868" width="9" style="260"/>
    <col min="5869" max="5869" width="44" style="260" customWidth="1"/>
    <col min="5870" max="5870" width="24" style="260" customWidth="1"/>
    <col min="5871" max="5871" width="26.25" style="260" customWidth="1"/>
    <col min="5872" max="5872" width="25.375" style="260" customWidth="1"/>
    <col min="5873" max="5875" width="26" style="260" customWidth="1"/>
    <col min="5876" max="5876" width="9" style="260"/>
    <col min="5877" max="5878" width="26" style="260" customWidth="1"/>
    <col min="5879" max="6124" width="9" style="260"/>
    <col min="6125" max="6125" width="44" style="260" customWidth="1"/>
    <col min="6126" max="6126" width="24" style="260" customWidth="1"/>
    <col min="6127" max="6127" width="26.25" style="260" customWidth="1"/>
    <col min="6128" max="6128" width="25.375" style="260" customWidth="1"/>
    <col min="6129" max="6131" width="26" style="260" customWidth="1"/>
    <col min="6132" max="6132" width="9" style="260"/>
    <col min="6133" max="6134" width="26" style="260" customWidth="1"/>
    <col min="6135" max="6380" width="9" style="260"/>
    <col min="6381" max="6381" width="44" style="260" customWidth="1"/>
    <col min="6382" max="6382" width="24" style="260" customWidth="1"/>
    <col min="6383" max="6383" width="26.25" style="260" customWidth="1"/>
    <col min="6384" max="6384" width="25.375" style="260" customWidth="1"/>
    <col min="6385" max="6387" width="26" style="260" customWidth="1"/>
    <col min="6388" max="6388" width="9" style="260"/>
    <col min="6389" max="6390" width="26" style="260" customWidth="1"/>
    <col min="6391" max="6636" width="9" style="260"/>
    <col min="6637" max="6637" width="44" style="260" customWidth="1"/>
    <col min="6638" max="6638" width="24" style="260" customWidth="1"/>
    <col min="6639" max="6639" width="26.25" style="260" customWidth="1"/>
    <col min="6640" max="6640" width="25.375" style="260" customWidth="1"/>
    <col min="6641" max="6643" width="26" style="260" customWidth="1"/>
    <col min="6644" max="6644" width="9" style="260"/>
    <col min="6645" max="6646" width="26" style="260" customWidth="1"/>
    <col min="6647" max="6892" width="9" style="260"/>
    <col min="6893" max="6893" width="44" style="260" customWidth="1"/>
    <col min="6894" max="6894" width="24" style="260" customWidth="1"/>
    <col min="6895" max="6895" width="26.25" style="260" customWidth="1"/>
    <col min="6896" max="6896" width="25.375" style="260" customWidth="1"/>
    <col min="6897" max="6899" width="26" style="260" customWidth="1"/>
    <col min="6900" max="6900" width="9" style="260"/>
    <col min="6901" max="6902" width="26" style="260" customWidth="1"/>
    <col min="6903" max="7148" width="9" style="260"/>
    <col min="7149" max="7149" width="44" style="260" customWidth="1"/>
    <col min="7150" max="7150" width="24" style="260" customWidth="1"/>
    <col min="7151" max="7151" width="26.25" style="260" customWidth="1"/>
    <col min="7152" max="7152" width="25.375" style="260" customWidth="1"/>
    <col min="7153" max="7155" width="26" style="260" customWidth="1"/>
    <col min="7156" max="7156" width="9" style="260"/>
    <col min="7157" max="7158" width="26" style="260" customWidth="1"/>
    <col min="7159" max="7404" width="9" style="260"/>
    <col min="7405" max="7405" width="44" style="260" customWidth="1"/>
    <col min="7406" max="7406" width="24" style="260" customWidth="1"/>
    <col min="7407" max="7407" width="26.25" style="260" customWidth="1"/>
    <col min="7408" max="7408" width="25.375" style="260" customWidth="1"/>
    <col min="7409" max="7411" width="26" style="260" customWidth="1"/>
    <col min="7412" max="7412" width="9" style="260"/>
    <col min="7413" max="7414" width="26" style="260" customWidth="1"/>
    <col min="7415" max="7660" width="9" style="260"/>
    <col min="7661" max="7661" width="44" style="260" customWidth="1"/>
    <col min="7662" max="7662" width="24" style="260" customWidth="1"/>
    <col min="7663" max="7663" width="26.25" style="260" customWidth="1"/>
    <col min="7664" max="7664" width="25.375" style="260" customWidth="1"/>
    <col min="7665" max="7667" width="26" style="260" customWidth="1"/>
    <col min="7668" max="7668" width="9" style="260"/>
    <col min="7669" max="7670" width="26" style="260" customWidth="1"/>
    <col min="7671" max="7916" width="9" style="260"/>
    <col min="7917" max="7917" width="44" style="260" customWidth="1"/>
    <col min="7918" max="7918" width="24" style="260" customWidth="1"/>
    <col min="7919" max="7919" width="26.25" style="260" customWidth="1"/>
    <col min="7920" max="7920" width="25.375" style="260" customWidth="1"/>
    <col min="7921" max="7923" width="26" style="260" customWidth="1"/>
    <col min="7924" max="7924" width="9" style="260"/>
    <col min="7925" max="7926" width="26" style="260" customWidth="1"/>
    <col min="7927" max="8172" width="9" style="260"/>
    <col min="8173" max="8173" width="44" style="260" customWidth="1"/>
    <col min="8174" max="8174" width="24" style="260" customWidth="1"/>
    <col min="8175" max="8175" width="26.25" style="260" customWidth="1"/>
    <col min="8176" max="8176" width="25.375" style="260" customWidth="1"/>
    <col min="8177" max="8179" width="26" style="260" customWidth="1"/>
    <col min="8180" max="8180" width="9" style="260"/>
    <col min="8181" max="8182" width="26" style="260" customWidth="1"/>
    <col min="8183" max="8428" width="9" style="260"/>
    <col min="8429" max="8429" width="44" style="260" customWidth="1"/>
    <col min="8430" max="8430" width="24" style="260" customWidth="1"/>
    <col min="8431" max="8431" width="26.25" style="260" customWidth="1"/>
    <col min="8432" max="8432" width="25.375" style="260" customWidth="1"/>
    <col min="8433" max="8435" width="26" style="260" customWidth="1"/>
    <col min="8436" max="8436" width="9" style="260"/>
    <col min="8437" max="8438" width="26" style="260" customWidth="1"/>
    <col min="8439" max="8684" width="9" style="260"/>
    <col min="8685" max="8685" width="44" style="260" customWidth="1"/>
    <col min="8686" max="8686" width="24" style="260" customWidth="1"/>
    <col min="8687" max="8687" width="26.25" style="260" customWidth="1"/>
    <col min="8688" max="8688" width="25.375" style="260" customWidth="1"/>
    <col min="8689" max="8691" width="26" style="260" customWidth="1"/>
    <col min="8692" max="8692" width="9" style="260"/>
    <col min="8693" max="8694" width="26" style="260" customWidth="1"/>
    <col min="8695" max="8940" width="9" style="260"/>
    <col min="8941" max="8941" width="44" style="260" customWidth="1"/>
    <col min="8942" max="8942" width="24" style="260" customWidth="1"/>
    <col min="8943" max="8943" width="26.25" style="260" customWidth="1"/>
    <col min="8944" max="8944" width="25.375" style="260" customWidth="1"/>
    <col min="8945" max="8947" width="26" style="260" customWidth="1"/>
    <col min="8948" max="8948" width="9" style="260"/>
    <col min="8949" max="8950" width="26" style="260" customWidth="1"/>
    <col min="8951" max="9196" width="9" style="260"/>
    <col min="9197" max="9197" width="44" style="260" customWidth="1"/>
    <col min="9198" max="9198" width="24" style="260" customWidth="1"/>
    <col min="9199" max="9199" width="26.25" style="260" customWidth="1"/>
    <col min="9200" max="9200" width="25.375" style="260" customWidth="1"/>
    <col min="9201" max="9203" width="26" style="260" customWidth="1"/>
    <col min="9204" max="9204" width="9" style="260"/>
    <col min="9205" max="9206" width="26" style="260" customWidth="1"/>
    <col min="9207" max="9452" width="9" style="260"/>
    <col min="9453" max="9453" width="44" style="260" customWidth="1"/>
    <col min="9454" max="9454" width="24" style="260" customWidth="1"/>
    <col min="9455" max="9455" width="26.25" style="260" customWidth="1"/>
    <col min="9456" max="9456" width="25.375" style="260" customWidth="1"/>
    <col min="9457" max="9459" width="26" style="260" customWidth="1"/>
    <col min="9460" max="9460" width="9" style="260"/>
    <col min="9461" max="9462" width="26" style="260" customWidth="1"/>
    <col min="9463" max="9708" width="9" style="260"/>
    <col min="9709" max="9709" width="44" style="260" customWidth="1"/>
    <col min="9710" max="9710" width="24" style="260" customWidth="1"/>
    <col min="9711" max="9711" width="26.25" style="260" customWidth="1"/>
    <col min="9712" max="9712" width="25.375" style="260" customWidth="1"/>
    <col min="9713" max="9715" width="26" style="260" customWidth="1"/>
    <col min="9716" max="9716" width="9" style="260"/>
    <col min="9717" max="9718" width="26" style="260" customWidth="1"/>
    <col min="9719" max="9964" width="9" style="260"/>
    <col min="9965" max="9965" width="44" style="260" customWidth="1"/>
    <col min="9966" max="9966" width="24" style="260" customWidth="1"/>
    <col min="9967" max="9967" width="26.25" style="260" customWidth="1"/>
    <col min="9968" max="9968" width="25.375" style="260" customWidth="1"/>
    <col min="9969" max="9971" width="26" style="260" customWidth="1"/>
    <col min="9972" max="9972" width="9" style="260"/>
    <col min="9973" max="9974" width="26" style="260" customWidth="1"/>
    <col min="9975" max="10220" width="9" style="260"/>
    <col min="10221" max="10221" width="44" style="260" customWidth="1"/>
    <col min="10222" max="10222" width="24" style="260" customWidth="1"/>
    <col min="10223" max="10223" width="26.25" style="260" customWidth="1"/>
    <col min="10224" max="10224" width="25.375" style="260" customWidth="1"/>
    <col min="10225" max="10227" width="26" style="260" customWidth="1"/>
    <col min="10228" max="10228" width="9" style="260"/>
    <col min="10229" max="10230" width="26" style="260" customWidth="1"/>
    <col min="10231" max="10476" width="9" style="260"/>
    <col min="10477" max="10477" width="44" style="260" customWidth="1"/>
    <col min="10478" max="10478" width="24" style="260" customWidth="1"/>
    <col min="10479" max="10479" width="26.25" style="260" customWidth="1"/>
    <col min="10480" max="10480" width="25.375" style="260" customWidth="1"/>
    <col min="10481" max="10483" width="26" style="260" customWidth="1"/>
    <col min="10484" max="10484" width="9" style="260"/>
    <col min="10485" max="10486" width="26" style="260" customWidth="1"/>
    <col min="10487" max="10732" width="9" style="260"/>
    <col min="10733" max="10733" width="44" style="260" customWidth="1"/>
    <col min="10734" max="10734" width="24" style="260" customWidth="1"/>
    <col min="10735" max="10735" width="26.25" style="260" customWidth="1"/>
    <col min="10736" max="10736" width="25.375" style="260" customWidth="1"/>
    <col min="10737" max="10739" width="26" style="260" customWidth="1"/>
    <col min="10740" max="10740" width="9" style="260"/>
    <col min="10741" max="10742" width="26" style="260" customWidth="1"/>
    <col min="10743" max="10988" width="9" style="260"/>
    <col min="10989" max="10989" width="44" style="260" customWidth="1"/>
    <col min="10990" max="10990" width="24" style="260" customWidth="1"/>
    <col min="10991" max="10991" width="26.25" style="260" customWidth="1"/>
    <col min="10992" max="10992" width="25.375" style="260" customWidth="1"/>
    <col min="10993" max="10995" width="26" style="260" customWidth="1"/>
    <col min="10996" max="10996" width="9" style="260"/>
    <col min="10997" max="10998" width="26" style="260" customWidth="1"/>
    <col min="10999" max="11244" width="9" style="260"/>
    <col min="11245" max="11245" width="44" style="260" customWidth="1"/>
    <col min="11246" max="11246" width="24" style="260" customWidth="1"/>
    <col min="11247" max="11247" width="26.25" style="260" customWidth="1"/>
    <col min="11248" max="11248" width="25.375" style="260" customWidth="1"/>
    <col min="11249" max="11251" width="26" style="260" customWidth="1"/>
    <col min="11252" max="11252" width="9" style="260"/>
    <col min="11253" max="11254" width="26" style="260" customWidth="1"/>
    <col min="11255" max="11500" width="9" style="260"/>
    <col min="11501" max="11501" width="44" style="260" customWidth="1"/>
    <col min="11502" max="11502" width="24" style="260" customWidth="1"/>
    <col min="11503" max="11503" width="26.25" style="260" customWidth="1"/>
    <col min="11504" max="11504" width="25.375" style="260" customWidth="1"/>
    <col min="11505" max="11507" width="26" style="260" customWidth="1"/>
    <col min="11508" max="11508" width="9" style="260"/>
    <col min="11509" max="11510" width="26" style="260" customWidth="1"/>
    <col min="11511" max="11756" width="9" style="260"/>
    <col min="11757" max="11757" width="44" style="260" customWidth="1"/>
    <col min="11758" max="11758" width="24" style="260" customWidth="1"/>
    <col min="11759" max="11759" width="26.25" style="260" customWidth="1"/>
    <col min="11760" max="11760" width="25.375" style="260" customWidth="1"/>
    <col min="11761" max="11763" width="26" style="260" customWidth="1"/>
    <col min="11764" max="11764" width="9" style="260"/>
    <col min="11765" max="11766" width="26" style="260" customWidth="1"/>
    <col min="11767" max="12012" width="9" style="260"/>
    <col min="12013" max="12013" width="44" style="260" customWidth="1"/>
    <col min="12014" max="12014" width="24" style="260" customWidth="1"/>
    <col min="12015" max="12015" width="26.25" style="260" customWidth="1"/>
    <col min="12016" max="12016" width="25.375" style="260" customWidth="1"/>
    <col min="12017" max="12019" width="26" style="260" customWidth="1"/>
    <col min="12020" max="12020" width="9" style="260"/>
    <col min="12021" max="12022" width="26" style="260" customWidth="1"/>
    <col min="12023" max="12268" width="9" style="260"/>
    <col min="12269" max="12269" width="44" style="260" customWidth="1"/>
    <col min="12270" max="12270" width="24" style="260" customWidth="1"/>
    <col min="12271" max="12271" width="26.25" style="260" customWidth="1"/>
    <col min="12272" max="12272" width="25.375" style="260" customWidth="1"/>
    <col min="12273" max="12275" width="26" style="260" customWidth="1"/>
    <col min="12276" max="12276" width="9" style="260"/>
    <col min="12277" max="12278" width="26" style="260" customWidth="1"/>
    <col min="12279" max="12524" width="9" style="260"/>
    <col min="12525" max="12525" width="44" style="260" customWidth="1"/>
    <col min="12526" max="12526" width="24" style="260" customWidth="1"/>
    <col min="12527" max="12527" width="26.25" style="260" customWidth="1"/>
    <col min="12528" max="12528" width="25.375" style="260" customWidth="1"/>
    <col min="12529" max="12531" width="26" style="260" customWidth="1"/>
    <col min="12532" max="12532" width="9" style="260"/>
    <col min="12533" max="12534" width="26" style="260" customWidth="1"/>
    <col min="12535" max="12780" width="9" style="260"/>
    <col min="12781" max="12781" width="44" style="260" customWidth="1"/>
    <col min="12782" max="12782" width="24" style="260" customWidth="1"/>
    <col min="12783" max="12783" width="26.25" style="260" customWidth="1"/>
    <col min="12784" max="12784" width="25.375" style="260" customWidth="1"/>
    <col min="12785" max="12787" width="26" style="260" customWidth="1"/>
    <col min="12788" max="12788" width="9" style="260"/>
    <col min="12789" max="12790" width="26" style="260" customWidth="1"/>
    <col min="12791" max="13036" width="9" style="260"/>
    <col min="13037" max="13037" width="44" style="260" customWidth="1"/>
    <col min="13038" max="13038" width="24" style="260" customWidth="1"/>
    <col min="13039" max="13039" width="26.25" style="260" customWidth="1"/>
    <col min="13040" max="13040" width="25.375" style="260" customWidth="1"/>
    <col min="13041" max="13043" width="26" style="260" customWidth="1"/>
    <col min="13044" max="13044" width="9" style="260"/>
    <col min="13045" max="13046" width="26" style="260" customWidth="1"/>
    <col min="13047" max="13292" width="9" style="260"/>
    <col min="13293" max="13293" width="44" style="260" customWidth="1"/>
    <col min="13294" max="13294" width="24" style="260" customWidth="1"/>
    <col min="13295" max="13295" width="26.25" style="260" customWidth="1"/>
    <col min="13296" max="13296" width="25.375" style="260" customWidth="1"/>
    <col min="13297" max="13299" width="26" style="260" customWidth="1"/>
    <col min="13300" max="13300" width="9" style="260"/>
    <col min="13301" max="13302" width="26" style="260" customWidth="1"/>
    <col min="13303" max="13548" width="9" style="260"/>
    <col min="13549" max="13549" width="44" style="260" customWidth="1"/>
    <col min="13550" max="13550" width="24" style="260" customWidth="1"/>
    <col min="13551" max="13551" width="26.25" style="260" customWidth="1"/>
    <col min="13552" max="13552" width="25.375" style="260" customWidth="1"/>
    <col min="13553" max="13555" width="26" style="260" customWidth="1"/>
    <col min="13556" max="13556" width="9" style="260"/>
    <col min="13557" max="13558" width="26" style="260" customWidth="1"/>
    <col min="13559" max="13804" width="9" style="260"/>
    <col min="13805" max="13805" width="44" style="260" customWidth="1"/>
    <col min="13806" max="13806" width="24" style="260" customWidth="1"/>
    <col min="13807" max="13807" width="26.25" style="260" customWidth="1"/>
    <col min="13808" max="13808" width="25.375" style="260" customWidth="1"/>
    <col min="13809" max="13811" width="26" style="260" customWidth="1"/>
    <col min="13812" max="13812" width="9" style="260"/>
    <col min="13813" max="13814" width="26" style="260" customWidth="1"/>
    <col min="13815" max="14060" width="9" style="260"/>
    <col min="14061" max="14061" width="44" style="260" customWidth="1"/>
    <col min="14062" max="14062" width="24" style="260" customWidth="1"/>
    <col min="14063" max="14063" width="26.25" style="260" customWidth="1"/>
    <col min="14064" max="14064" width="25.375" style="260" customWidth="1"/>
    <col min="14065" max="14067" width="26" style="260" customWidth="1"/>
    <col min="14068" max="14068" width="9" style="260"/>
    <col min="14069" max="14070" width="26" style="260" customWidth="1"/>
    <col min="14071" max="14316" width="9" style="260"/>
    <col min="14317" max="14317" width="44" style="260" customWidth="1"/>
    <col min="14318" max="14318" width="24" style="260" customWidth="1"/>
    <col min="14319" max="14319" width="26.25" style="260" customWidth="1"/>
    <col min="14320" max="14320" width="25.375" style="260" customWidth="1"/>
    <col min="14321" max="14323" width="26" style="260" customWidth="1"/>
    <col min="14324" max="14324" width="9" style="260"/>
    <col min="14325" max="14326" width="26" style="260" customWidth="1"/>
    <col min="14327" max="14572" width="9" style="260"/>
    <col min="14573" max="14573" width="44" style="260" customWidth="1"/>
    <col min="14574" max="14574" width="24" style="260" customWidth="1"/>
    <col min="14575" max="14575" width="26.25" style="260" customWidth="1"/>
    <col min="14576" max="14576" width="25.375" style="260" customWidth="1"/>
    <col min="14577" max="14579" width="26" style="260" customWidth="1"/>
    <col min="14580" max="14580" width="9" style="260"/>
    <col min="14581" max="14582" width="26" style="260" customWidth="1"/>
    <col min="14583" max="14828" width="9" style="260"/>
    <col min="14829" max="14829" width="44" style="260" customWidth="1"/>
    <col min="14830" max="14830" width="24" style="260" customWidth="1"/>
    <col min="14831" max="14831" width="26.25" style="260" customWidth="1"/>
    <col min="14832" max="14832" width="25.375" style="260" customWidth="1"/>
    <col min="14833" max="14835" width="26" style="260" customWidth="1"/>
    <col min="14836" max="14836" width="9" style="260"/>
    <col min="14837" max="14838" width="26" style="260" customWidth="1"/>
    <col min="14839" max="15084" width="9" style="260"/>
    <col min="15085" max="15085" width="44" style="260" customWidth="1"/>
    <col min="15086" max="15086" width="24" style="260" customWidth="1"/>
    <col min="15087" max="15087" width="26.25" style="260" customWidth="1"/>
    <col min="15088" max="15088" width="25.375" style="260" customWidth="1"/>
    <col min="15089" max="15091" width="26" style="260" customWidth="1"/>
    <col min="15092" max="15092" width="9" style="260"/>
    <col min="15093" max="15094" width="26" style="260" customWidth="1"/>
    <col min="15095" max="15340" width="9" style="260"/>
    <col min="15341" max="15341" width="44" style="260" customWidth="1"/>
    <col min="15342" max="15342" width="24" style="260" customWidth="1"/>
    <col min="15343" max="15343" width="26.25" style="260" customWidth="1"/>
    <col min="15344" max="15344" width="25.375" style="260" customWidth="1"/>
    <col min="15345" max="15347" width="26" style="260" customWidth="1"/>
    <col min="15348" max="15348" width="9" style="260"/>
    <col min="15349" max="15350" width="26" style="260" customWidth="1"/>
    <col min="15351" max="15596" width="9" style="260"/>
    <col min="15597" max="15597" width="44" style="260" customWidth="1"/>
    <col min="15598" max="15598" width="24" style="260" customWidth="1"/>
    <col min="15599" max="15599" width="26.25" style="260" customWidth="1"/>
    <col min="15600" max="15600" width="25.375" style="260" customWidth="1"/>
    <col min="15601" max="15603" width="26" style="260" customWidth="1"/>
    <col min="15604" max="15604" width="9" style="260"/>
    <col min="15605" max="15606" width="26" style="260" customWidth="1"/>
    <col min="15607" max="15852" width="9" style="260"/>
    <col min="15853" max="15853" width="44" style="260" customWidth="1"/>
    <col min="15854" max="15854" width="24" style="260" customWidth="1"/>
    <col min="15855" max="15855" width="26.25" style="260" customWidth="1"/>
    <col min="15856" max="15856" width="25.375" style="260" customWidth="1"/>
    <col min="15857" max="15859" width="26" style="260" customWidth="1"/>
    <col min="15860" max="15860" width="9" style="260"/>
    <col min="15861" max="15862" width="26" style="260" customWidth="1"/>
    <col min="15863" max="16108" width="9" style="260"/>
    <col min="16109" max="16109" width="44" style="260" customWidth="1"/>
    <col min="16110" max="16110" width="24" style="260" customWidth="1"/>
    <col min="16111" max="16111" width="26.25" style="260" customWidth="1"/>
    <col min="16112" max="16112" width="25.375" style="260" customWidth="1"/>
    <col min="16113" max="16115" width="26" style="260" customWidth="1"/>
    <col min="16116" max="16116" width="9" style="260"/>
    <col min="16117" max="16118" width="26" style="260" customWidth="1"/>
    <col min="16119" max="16384" width="9" style="260"/>
  </cols>
  <sheetData>
    <row r="1" spans="2:36">
      <c r="D1" s="74" t="s">
        <v>497</v>
      </c>
      <c r="E1" s="74" t="s">
        <v>497</v>
      </c>
      <c r="I1" s="74" t="s">
        <v>497</v>
      </c>
    </row>
    <row r="2" spans="2:36" ht="25.5">
      <c r="D2" s="348" t="s">
        <v>498</v>
      </c>
    </row>
    <row r="3" spans="2:36">
      <c r="D3" s="260" t="s">
        <v>123</v>
      </c>
      <c r="E3" s="260" t="s">
        <v>124</v>
      </c>
      <c r="F3" s="260" t="s">
        <v>127</v>
      </c>
      <c r="H3" s="260" t="s">
        <v>127</v>
      </c>
      <c r="I3" s="260" t="s">
        <v>499</v>
      </c>
      <c r="J3" s="260" t="s">
        <v>126</v>
      </c>
      <c r="P3" s="260" t="s">
        <v>127</v>
      </c>
      <c r="Q3" s="260" t="s">
        <v>127</v>
      </c>
      <c r="S3" s="260" t="s">
        <v>126</v>
      </c>
      <c r="T3" s="260" t="s">
        <v>124</v>
      </c>
      <c r="U3" s="260" t="s">
        <v>148</v>
      </c>
      <c r="X3" s="260" t="s">
        <v>128</v>
      </c>
      <c r="Y3" s="260" t="s">
        <v>150</v>
      </c>
      <c r="Z3" s="260" t="s">
        <v>149</v>
      </c>
      <c r="AA3" s="260" t="s">
        <v>303</v>
      </c>
      <c r="AG3" s="260"/>
      <c r="AH3" s="260"/>
      <c r="AI3" s="260"/>
      <c r="AJ3" s="260"/>
    </row>
    <row r="4" spans="2:36">
      <c r="D4" s="74" t="s">
        <v>500</v>
      </c>
      <c r="E4" s="80" t="s">
        <v>369</v>
      </c>
      <c r="F4" s="81"/>
      <c r="H4" s="75"/>
      <c r="I4" s="75" t="s">
        <v>501</v>
      </c>
      <c r="J4" s="75"/>
      <c r="P4" s="75"/>
      <c r="Q4" s="75"/>
      <c r="T4" s="81" t="s">
        <v>502</v>
      </c>
      <c r="Y4" s="81"/>
      <c r="Z4" s="81"/>
      <c r="AA4" s="81"/>
      <c r="AG4" s="81" t="s">
        <v>503</v>
      </c>
      <c r="AH4" s="81" t="s">
        <v>503</v>
      </c>
      <c r="AI4" s="81" t="s">
        <v>503</v>
      </c>
      <c r="AJ4" s="81" t="s">
        <v>503</v>
      </c>
    </row>
    <row r="5" spans="2:36">
      <c r="C5" s="349"/>
      <c r="D5" s="86" t="s">
        <v>504</v>
      </c>
      <c r="E5" s="78" t="s">
        <v>142</v>
      </c>
      <c r="F5" s="78" t="s">
        <v>505</v>
      </c>
      <c r="H5" s="84"/>
      <c r="I5" s="84" t="s">
        <v>151</v>
      </c>
      <c r="J5" s="84"/>
      <c r="P5" s="84"/>
      <c r="Q5" s="84"/>
      <c r="S5" s="78" t="s">
        <v>374</v>
      </c>
      <c r="T5" s="78" t="s">
        <v>506</v>
      </c>
      <c r="U5" s="86" t="s">
        <v>155</v>
      </c>
      <c r="X5" s="78" t="s">
        <v>374</v>
      </c>
      <c r="Y5" s="78" t="s">
        <v>507</v>
      </c>
      <c r="Z5" s="78" t="s">
        <v>508</v>
      </c>
      <c r="AA5" s="78" t="s">
        <v>509</v>
      </c>
      <c r="AG5" s="78" t="s">
        <v>510</v>
      </c>
      <c r="AH5" s="78" t="s">
        <v>511</v>
      </c>
      <c r="AI5" s="78" t="s">
        <v>512</v>
      </c>
      <c r="AJ5" s="78" t="s">
        <v>513</v>
      </c>
    </row>
    <row r="6" spans="2:36">
      <c r="C6" s="349"/>
      <c r="D6" s="86"/>
      <c r="E6" s="78" t="s">
        <v>157</v>
      </c>
      <c r="F6" s="78"/>
      <c r="H6" s="78" t="s">
        <v>514</v>
      </c>
      <c r="I6" s="78"/>
      <c r="J6" s="78" t="s">
        <v>515</v>
      </c>
      <c r="P6" s="78" t="s">
        <v>516</v>
      </c>
      <c r="Q6" s="78" t="s">
        <v>516</v>
      </c>
      <c r="S6" s="78"/>
      <c r="T6" s="78"/>
      <c r="U6" s="86"/>
      <c r="X6" s="78"/>
      <c r="Y6" s="78"/>
      <c r="Z6" s="78"/>
      <c r="AA6" s="78"/>
      <c r="AG6" s="78"/>
      <c r="AH6" s="78"/>
      <c r="AI6" s="78"/>
      <c r="AJ6" s="78"/>
    </row>
    <row r="7" spans="2:36">
      <c r="B7" s="87" t="s">
        <v>158</v>
      </c>
      <c r="C7" s="87" t="s">
        <v>159</v>
      </c>
      <c r="D7" s="87" t="s">
        <v>123</v>
      </c>
      <c r="E7" s="87" t="s">
        <v>124</v>
      </c>
      <c r="F7" s="87" t="s">
        <v>126</v>
      </c>
      <c r="H7" s="87" t="s">
        <v>126</v>
      </c>
      <c r="I7" s="87" t="s">
        <v>126</v>
      </c>
      <c r="J7" s="87" t="s">
        <v>126</v>
      </c>
      <c r="P7" s="87" t="s">
        <v>126</v>
      </c>
      <c r="Q7" s="87" t="s">
        <v>126</v>
      </c>
      <c r="S7" s="87" t="s">
        <v>124</v>
      </c>
      <c r="T7" s="87" t="s">
        <v>124</v>
      </c>
      <c r="U7" s="87" t="s">
        <v>123</v>
      </c>
      <c r="X7" s="87" t="s">
        <v>126</v>
      </c>
      <c r="Y7" s="87" t="s">
        <v>124</v>
      </c>
      <c r="Z7" s="87" t="s">
        <v>124</v>
      </c>
      <c r="AA7" s="87" t="s">
        <v>124</v>
      </c>
      <c r="AG7" s="87" t="s">
        <v>123</v>
      </c>
      <c r="AH7" s="87" t="s">
        <v>124</v>
      </c>
      <c r="AI7" s="87" t="s">
        <v>126</v>
      </c>
      <c r="AJ7" s="87" t="s">
        <v>127</v>
      </c>
    </row>
    <row r="8" spans="2:36">
      <c r="B8" s="88" t="s">
        <v>160</v>
      </c>
      <c r="C8" s="89" t="e">
        <f>дата_оц</f>
        <v>#NAME?</v>
      </c>
      <c r="D8" s="89" t="e">
        <f>дата_оц</f>
        <v>#NAME?</v>
      </c>
      <c r="E8" s="89" t="e">
        <f>дата_оц</f>
        <v>#NAME?</v>
      </c>
      <c r="F8" s="89" t="e">
        <f>дата_оц</f>
        <v>#NAME?</v>
      </c>
      <c r="H8" s="89" t="e">
        <f>дата_оц</f>
        <v>#NAME?</v>
      </c>
      <c r="I8" s="89" t="e">
        <f>дата_оц</f>
        <v>#NAME?</v>
      </c>
      <c r="J8" s="89" t="e">
        <f>дата_оц</f>
        <v>#NAME?</v>
      </c>
      <c r="P8" s="89" t="e">
        <f>дата_оц</f>
        <v>#NAME?</v>
      </c>
      <c r="Q8" s="89" t="e">
        <f>дата_оц</f>
        <v>#NAME?</v>
      </c>
      <c r="S8" s="89" t="e">
        <f>дата_оц</f>
        <v>#NAME?</v>
      </c>
      <c r="T8" s="89" t="e">
        <f>дата_оц</f>
        <v>#NAME?</v>
      </c>
      <c r="U8" s="89" t="e">
        <f>дата_оц</f>
        <v>#NAME?</v>
      </c>
      <c r="X8" s="89" t="e">
        <f>дата_оц</f>
        <v>#NAME?</v>
      </c>
      <c r="Y8" s="89" t="e">
        <f>дата_оц</f>
        <v>#NAME?</v>
      </c>
      <c r="Z8" s="89" t="e">
        <f>дата_оц</f>
        <v>#NAME?</v>
      </c>
      <c r="AA8" s="89" t="e">
        <f>дата_оц</f>
        <v>#NAME?</v>
      </c>
      <c r="AG8" s="89" t="e">
        <f>F8</f>
        <v>#NAME?</v>
      </c>
      <c r="AH8" s="89" t="e">
        <f>F8</f>
        <v>#NAME?</v>
      </c>
      <c r="AI8" s="89" t="e">
        <f>AH8</f>
        <v>#NAME?</v>
      </c>
      <c r="AJ8" s="89" t="e">
        <f>#REF!</f>
        <v>#REF!</v>
      </c>
    </row>
    <row r="9" spans="2:36">
      <c r="B9" s="88" t="s">
        <v>161</v>
      </c>
      <c r="C9" s="90"/>
      <c r="D9" s="93" t="s">
        <v>517</v>
      </c>
      <c r="E9" s="93" t="s">
        <v>385</v>
      </c>
      <c r="F9" s="93" t="s">
        <v>330</v>
      </c>
      <c r="H9" s="91" t="s">
        <v>518</v>
      </c>
      <c r="I9" s="91" t="s">
        <v>162</v>
      </c>
      <c r="J9" s="91" t="s">
        <v>519</v>
      </c>
      <c r="P9" s="91" t="s">
        <v>518</v>
      </c>
      <c r="Q9" s="91" t="s">
        <v>518</v>
      </c>
      <c r="S9" s="93" t="s">
        <v>387</v>
      </c>
      <c r="T9" s="93" t="s">
        <v>520</v>
      </c>
      <c r="U9" s="93" t="s">
        <v>166</v>
      </c>
      <c r="X9" s="91" t="s">
        <v>387</v>
      </c>
      <c r="Y9" s="97" t="s">
        <v>521</v>
      </c>
      <c r="Z9" s="97" t="s">
        <v>522</v>
      </c>
      <c r="AA9" s="97" t="s">
        <v>523</v>
      </c>
      <c r="AG9" s="97" t="s">
        <v>524</v>
      </c>
      <c r="AH9" s="97" t="s">
        <v>525</v>
      </c>
      <c r="AI9" s="97" t="s">
        <v>526</v>
      </c>
      <c r="AJ9" s="97" t="s">
        <v>527</v>
      </c>
    </row>
    <row r="10" spans="2:36" ht="25.5">
      <c r="B10" s="88"/>
      <c r="C10" s="94" t="s">
        <v>170</v>
      </c>
      <c r="D10" s="94" t="s">
        <v>170</v>
      </c>
      <c r="E10" s="94" t="s">
        <v>170</v>
      </c>
      <c r="F10" s="94" t="s">
        <v>170</v>
      </c>
      <c r="H10" s="95" t="s">
        <v>528</v>
      </c>
      <c r="I10" s="95" t="s">
        <v>170</v>
      </c>
      <c r="J10" s="95" t="s">
        <v>170</v>
      </c>
      <c r="P10" s="95" t="s">
        <v>170</v>
      </c>
      <c r="Q10" s="95" t="s">
        <v>170</v>
      </c>
      <c r="S10" s="94" t="s">
        <v>170</v>
      </c>
      <c r="T10" s="94" t="s">
        <v>170</v>
      </c>
      <c r="U10" s="94" t="s">
        <v>170</v>
      </c>
      <c r="X10" s="93" t="s">
        <v>170</v>
      </c>
      <c r="Y10" s="115" t="s">
        <v>529</v>
      </c>
      <c r="Z10" s="115" t="s">
        <v>530</v>
      </c>
      <c r="AA10" s="115" t="s">
        <v>170</v>
      </c>
      <c r="AG10" s="115" t="s">
        <v>170</v>
      </c>
      <c r="AH10" s="115" t="s">
        <v>170</v>
      </c>
      <c r="AI10" s="115" t="s">
        <v>170</v>
      </c>
      <c r="AJ10" s="115" t="s">
        <v>170</v>
      </c>
    </row>
    <row r="11" spans="2:36" ht="25.5">
      <c r="B11" s="88" t="s">
        <v>172</v>
      </c>
      <c r="C11" s="99" t="s">
        <v>496</v>
      </c>
      <c r="D11" s="99" t="s">
        <v>174</v>
      </c>
      <c r="E11" s="99" t="s">
        <v>179</v>
      </c>
      <c r="F11" s="99" t="s">
        <v>175</v>
      </c>
      <c r="H11" s="97" t="s">
        <v>531</v>
      </c>
      <c r="I11" s="97" t="s">
        <v>173</v>
      </c>
      <c r="J11" s="97" t="s">
        <v>532</v>
      </c>
      <c r="P11" s="97" t="s">
        <v>533</v>
      </c>
      <c r="Q11" s="97" t="s">
        <v>533</v>
      </c>
      <c r="S11" s="99" t="s">
        <v>404</v>
      </c>
      <c r="T11" s="99" t="s">
        <v>534</v>
      </c>
      <c r="U11" s="99" t="s">
        <v>332</v>
      </c>
      <c r="X11" s="98" t="s">
        <v>410</v>
      </c>
      <c r="Y11" s="97" t="s">
        <v>535</v>
      </c>
      <c r="Z11" s="97" t="s">
        <v>531</v>
      </c>
      <c r="AA11" s="97" t="s">
        <v>536</v>
      </c>
      <c r="AG11" s="97" t="s">
        <v>537</v>
      </c>
      <c r="AH11" s="97" t="s">
        <v>538</v>
      </c>
      <c r="AI11" s="97" t="s">
        <v>539</v>
      </c>
      <c r="AJ11" s="97" t="s">
        <v>540</v>
      </c>
    </row>
    <row r="12" spans="2:36">
      <c r="B12" s="88" t="s">
        <v>180</v>
      </c>
      <c r="C12" s="99" t="s">
        <v>584</v>
      </c>
      <c r="D12" s="99" t="s">
        <v>181</v>
      </c>
      <c r="E12" s="99" t="s">
        <v>185</v>
      </c>
      <c r="F12" s="99" t="s">
        <v>181</v>
      </c>
      <c r="H12" s="96" t="s">
        <v>541</v>
      </c>
      <c r="I12" s="101" t="s">
        <v>181</v>
      </c>
      <c r="J12" s="101" t="s">
        <v>542</v>
      </c>
      <c r="P12" s="289" t="s">
        <v>542</v>
      </c>
      <c r="Q12" s="289" t="s">
        <v>542</v>
      </c>
      <c r="S12" s="99" t="s">
        <v>181</v>
      </c>
      <c r="T12" s="99" t="s">
        <v>181</v>
      </c>
      <c r="U12" s="99" t="s">
        <v>181</v>
      </c>
      <c r="X12" s="286" t="s">
        <v>181</v>
      </c>
      <c r="Y12" s="286" t="s">
        <v>181</v>
      </c>
      <c r="Z12" s="286" t="s">
        <v>181</v>
      </c>
      <c r="AA12" s="286" t="s">
        <v>181</v>
      </c>
      <c r="AG12" s="286" t="s">
        <v>543</v>
      </c>
      <c r="AH12" s="286" t="s">
        <v>544</v>
      </c>
      <c r="AI12" s="286" t="s">
        <v>545</v>
      </c>
      <c r="AJ12" s="286" t="s">
        <v>546</v>
      </c>
    </row>
    <row r="13" spans="2:36" ht="20.25" customHeight="1">
      <c r="B13" s="88" t="s">
        <v>186</v>
      </c>
      <c r="C13" s="102" t="s">
        <v>585</v>
      </c>
      <c r="D13" s="102" t="s">
        <v>187</v>
      </c>
      <c r="E13" s="102" t="s">
        <v>187</v>
      </c>
      <c r="F13" s="102" t="s">
        <v>187</v>
      </c>
      <c r="H13" s="102" t="s">
        <v>187</v>
      </c>
      <c r="I13" s="94" t="s">
        <v>187</v>
      </c>
      <c r="J13" s="102" t="s">
        <v>187</v>
      </c>
      <c r="P13" s="208" t="s">
        <v>547</v>
      </c>
      <c r="Q13" s="208" t="s">
        <v>547</v>
      </c>
      <c r="S13" s="102" t="s">
        <v>431</v>
      </c>
      <c r="T13" s="102" t="s">
        <v>340</v>
      </c>
      <c r="U13" s="102" t="s">
        <v>188</v>
      </c>
      <c r="X13" s="94" t="s">
        <v>340</v>
      </c>
      <c r="Y13" s="94" t="s">
        <v>340</v>
      </c>
      <c r="Z13" s="94" t="s">
        <v>340</v>
      </c>
      <c r="AA13" s="94" t="s">
        <v>187</v>
      </c>
      <c r="AG13" s="94" t="s">
        <v>187</v>
      </c>
      <c r="AH13" s="94" t="s">
        <v>187</v>
      </c>
      <c r="AI13" s="94" t="s">
        <v>188</v>
      </c>
      <c r="AJ13" s="94" t="s">
        <v>188</v>
      </c>
    </row>
    <row r="14" spans="2:36" ht="20.25" customHeight="1">
      <c r="B14" s="88" t="s">
        <v>215</v>
      </c>
      <c r="C14" s="115" t="s">
        <v>217</v>
      </c>
      <c r="D14" s="115" t="s">
        <v>217</v>
      </c>
      <c r="E14" s="102" t="s">
        <v>219</v>
      </c>
      <c r="F14" s="115" t="s">
        <v>217</v>
      </c>
      <c r="H14" s="115" t="s">
        <v>217</v>
      </c>
      <c r="I14" s="94" t="s">
        <v>216</v>
      </c>
      <c r="J14" s="115" t="s">
        <v>217</v>
      </c>
      <c r="P14" s="121" t="s">
        <v>216</v>
      </c>
      <c r="Q14" s="121" t="s">
        <v>216</v>
      </c>
      <c r="S14" s="115" t="s">
        <v>457</v>
      </c>
      <c r="T14" s="115" t="s">
        <v>217</v>
      </c>
      <c r="U14" s="115" t="s">
        <v>216</v>
      </c>
      <c r="X14" s="94" t="s">
        <v>217</v>
      </c>
      <c r="Y14" s="115" t="s">
        <v>217</v>
      </c>
      <c r="Z14" s="115" t="s">
        <v>548</v>
      </c>
      <c r="AA14" s="115" t="s">
        <v>217</v>
      </c>
      <c r="AG14" s="115" t="s">
        <v>217</v>
      </c>
      <c r="AH14" s="115" t="s">
        <v>219</v>
      </c>
      <c r="AI14" s="115" t="s">
        <v>549</v>
      </c>
      <c r="AJ14" s="115" t="s">
        <v>216</v>
      </c>
    </row>
    <row r="15" spans="2:36" ht="15">
      <c r="B15" s="88" t="s">
        <v>341</v>
      </c>
      <c r="C15" s="104">
        <f>SUM(C16:C24)</f>
        <v>6505.32</v>
      </c>
      <c r="D15" s="104">
        <f t="shared" ref="D15" si="0">SUM(D16:D24)</f>
        <v>6996</v>
      </c>
      <c r="E15" s="104">
        <f>SUM(E16:E24)</f>
        <v>1800</v>
      </c>
      <c r="F15" s="104">
        <f>SUM(F16:F24)</f>
        <v>3337.1</v>
      </c>
      <c r="H15" s="104">
        <f>SUM(H16:H24)</f>
        <v>682.4</v>
      </c>
      <c r="I15" s="104">
        <f>SUM(I16:I24)</f>
        <v>1870</v>
      </c>
      <c r="J15" s="104">
        <f>SUM(J16:J24)</f>
        <v>2700</v>
      </c>
      <c r="P15" s="104">
        <f>SUM(P16:P24)</f>
        <v>1200</v>
      </c>
      <c r="Q15" s="104">
        <f>SUM(Q16:Q24)</f>
        <v>1800</v>
      </c>
      <c r="S15" s="104">
        <f>SUM(S16:S24)</f>
        <v>5015.6000000000004</v>
      </c>
      <c r="T15" s="104">
        <f>SUM(T16:T24)</f>
        <v>870.36</v>
      </c>
      <c r="U15" s="104">
        <f>SUM(U16:U19)</f>
        <v>1906</v>
      </c>
      <c r="X15" s="103">
        <f t="shared" ref="X15" si="1">SUM(X16:X24)</f>
        <v>1370</v>
      </c>
      <c r="Y15" s="103">
        <f>SUM(Y16:Y24)</f>
        <v>2030</v>
      </c>
      <c r="Z15" s="103">
        <f>SUM(Z16:Z24)</f>
        <v>233</v>
      </c>
      <c r="AA15" s="212">
        <f>SUM(AA16:AA24)</f>
        <v>2550</v>
      </c>
      <c r="AG15" s="103">
        <v>1000</v>
      </c>
      <c r="AH15" s="103">
        <f t="shared" ref="AH15:AJ15" si="2">SUM(AH16:AH19)</f>
        <v>376</v>
      </c>
      <c r="AI15" s="103">
        <f t="shared" si="2"/>
        <v>800</v>
      </c>
      <c r="AJ15" s="103">
        <f t="shared" si="2"/>
        <v>636</v>
      </c>
    </row>
    <row r="16" spans="2:36">
      <c r="B16" s="105" t="str">
        <f>Выжимка!B32</f>
        <v>произв класс 4</v>
      </c>
      <c r="C16" s="378">
        <f>Выжимка!F3</f>
        <v>138.69999999999999</v>
      </c>
      <c r="D16" s="108">
        <f>Выжимка!H3</f>
        <v>1112.2</v>
      </c>
      <c r="E16" s="108">
        <f>Выжимка!N3</f>
        <v>0</v>
      </c>
      <c r="F16" s="108">
        <f>Выжимка!I3</f>
        <v>0</v>
      </c>
      <c r="H16" s="106">
        <v>682.4</v>
      </c>
      <c r="I16" s="106">
        <v>110</v>
      </c>
      <c r="J16" s="106">
        <v>0</v>
      </c>
      <c r="P16" s="106">
        <v>1200</v>
      </c>
      <c r="Q16" s="106">
        <v>0</v>
      </c>
      <c r="S16" s="108">
        <v>0</v>
      </c>
      <c r="T16" s="108">
        <f>100+50+7+11</f>
        <v>168</v>
      </c>
      <c r="U16" s="108">
        <f>1200+60</f>
        <v>1260</v>
      </c>
      <c r="X16" s="106">
        <v>0</v>
      </c>
      <c r="Y16" s="106">
        <v>2030</v>
      </c>
      <c r="Z16" s="106">
        <v>0</v>
      </c>
      <c r="AA16" s="210">
        <v>200</v>
      </c>
      <c r="AG16" s="106">
        <v>0</v>
      </c>
      <c r="AH16" s="106">
        <v>0</v>
      </c>
      <c r="AI16" s="106">
        <v>0</v>
      </c>
      <c r="AJ16" s="106">
        <v>0</v>
      </c>
    </row>
    <row r="17" spans="2:36">
      <c r="B17" s="105" t="str">
        <f>Выжимка!B33</f>
        <v>произв класс 3</v>
      </c>
      <c r="C17" s="378">
        <f>Выжимка!F4</f>
        <v>4519.7000000000007</v>
      </c>
      <c r="D17" s="108">
        <f>Выжимка!H4</f>
        <v>5523.8</v>
      </c>
      <c r="E17" s="108">
        <f>Выжимка!N4</f>
        <v>1776.9</v>
      </c>
      <c r="F17" s="108">
        <f>Выжимка!I4</f>
        <v>0</v>
      </c>
      <c r="H17" s="106">
        <v>0</v>
      </c>
      <c r="I17" s="106">
        <v>1300</v>
      </c>
      <c r="J17" s="106">
        <v>0</v>
      </c>
      <c r="P17" s="106">
        <v>0</v>
      </c>
      <c r="Q17" s="106">
        <v>0</v>
      </c>
      <c r="S17" s="108">
        <f>1486.3</f>
        <v>1486.3</v>
      </c>
      <c r="T17" s="108">
        <v>444.36</v>
      </c>
      <c r="U17" s="108">
        <v>0</v>
      </c>
      <c r="X17" s="106">
        <v>0</v>
      </c>
      <c r="Y17" s="106">
        <v>0</v>
      </c>
      <c r="Z17" s="106">
        <v>0</v>
      </c>
      <c r="AA17" s="210">
        <v>0</v>
      </c>
      <c r="AG17" s="106">
        <v>0</v>
      </c>
      <c r="AH17" s="106">
        <v>376</v>
      </c>
      <c r="AI17" s="106">
        <v>0</v>
      </c>
      <c r="AJ17" s="106">
        <v>0</v>
      </c>
    </row>
    <row r="18" spans="2:36">
      <c r="B18" s="105" t="str">
        <f>Выжимка!B34</f>
        <v>произв класс 2</v>
      </c>
      <c r="C18" s="378">
        <f>Выжимка!F5</f>
        <v>1576.1</v>
      </c>
      <c r="D18" s="108">
        <f>Выжимка!H5</f>
        <v>0</v>
      </c>
      <c r="E18" s="108">
        <f>Выжимка!N5</f>
        <v>0</v>
      </c>
      <c r="F18" s="108">
        <f>Выжимка!I5</f>
        <v>1947.1</v>
      </c>
      <c r="H18" s="108">
        <v>0</v>
      </c>
      <c r="I18" s="108">
        <v>0</v>
      </c>
      <c r="J18" s="108">
        <f>1150+1550</f>
        <v>2700</v>
      </c>
      <c r="P18" s="108">
        <v>0</v>
      </c>
      <c r="Q18" s="108">
        <v>1800</v>
      </c>
      <c r="S18" s="108">
        <f>2661.4+384.3+483.6</f>
        <v>3529.3</v>
      </c>
      <c r="T18" s="108">
        <v>30</v>
      </c>
      <c r="U18" s="108">
        <v>646</v>
      </c>
      <c r="X18" s="106">
        <v>1370</v>
      </c>
      <c r="Y18" s="106">
        <v>0</v>
      </c>
      <c r="Z18" s="106">
        <v>233</v>
      </c>
      <c r="AA18" s="210">
        <v>2350</v>
      </c>
      <c r="AG18" s="106">
        <v>1040</v>
      </c>
      <c r="AH18" s="106">
        <v>0</v>
      </c>
      <c r="AI18" s="106">
        <v>800</v>
      </c>
      <c r="AJ18" s="106">
        <v>636</v>
      </c>
    </row>
    <row r="19" spans="2:36">
      <c r="B19" s="105" t="str">
        <f>Выжимка!B35</f>
        <v>произв класс 1</v>
      </c>
      <c r="C19" s="378">
        <f>Выжимка!F6</f>
        <v>0</v>
      </c>
      <c r="D19" s="108">
        <f>Выжимка!H6</f>
        <v>0</v>
      </c>
      <c r="E19" s="108">
        <f>Выжимка!N6</f>
        <v>0</v>
      </c>
      <c r="F19" s="108">
        <f>Выжимка!I6</f>
        <v>0</v>
      </c>
      <c r="H19" s="106">
        <v>0</v>
      </c>
      <c r="I19" s="106">
        <v>460</v>
      </c>
      <c r="J19" s="106">
        <v>0</v>
      </c>
      <c r="P19" s="106">
        <v>0</v>
      </c>
      <c r="Q19" s="106">
        <v>0</v>
      </c>
      <c r="S19" s="108">
        <v>0</v>
      </c>
      <c r="T19" s="108">
        <v>228</v>
      </c>
      <c r="U19" s="108">
        <v>0</v>
      </c>
      <c r="X19" s="106">
        <v>0</v>
      </c>
      <c r="Y19" s="106">
        <v>0</v>
      </c>
      <c r="Z19" s="106">
        <v>0</v>
      </c>
      <c r="AA19" s="210">
        <v>0</v>
      </c>
      <c r="AG19" s="106">
        <v>0</v>
      </c>
      <c r="AH19" s="106">
        <v>0</v>
      </c>
      <c r="AI19" s="106">
        <v>0</v>
      </c>
      <c r="AJ19" s="106">
        <v>0</v>
      </c>
    </row>
    <row r="20" spans="2:36">
      <c r="B20" s="105" t="str">
        <f>Выжимка!B36</f>
        <v>гражд класс 4</v>
      </c>
      <c r="C20" s="378">
        <f>Выжимка!F7</f>
        <v>24.82</v>
      </c>
      <c r="D20" s="108">
        <f>Выжимка!H7</f>
        <v>0</v>
      </c>
      <c r="E20" s="108">
        <f>Выжимка!N7</f>
        <v>23.1</v>
      </c>
      <c r="F20" s="108">
        <f>Выжимка!I7</f>
        <v>0</v>
      </c>
      <c r="H20" s="106"/>
      <c r="I20" s="106"/>
      <c r="J20" s="106"/>
      <c r="P20" s="106"/>
      <c r="Q20" s="106"/>
      <c r="S20" s="108"/>
      <c r="T20" s="108"/>
      <c r="U20" s="108"/>
      <c r="X20" s="106"/>
      <c r="Y20" s="106"/>
      <c r="Z20" s="106"/>
      <c r="AA20" s="210"/>
      <c r="AG20" s="106"/>
      <c r="AH20" s="106"/>
      <c r="AI20" s="106"/>
      <c r="AJ20" s="106"/>
    </row>
    <row r="21" spans="2:36">
      <c r="B21" s="105" t="str">
        <f>Выжимка!B37</f>
        <v>гражд класс 3</v>
      </c>
      <c r="C21" s="378">
        <f>Выжимка!F8</f>
        <v>221.2</v>
      </c>
      <c r="D21" s="108">
        <f>Выжимка!H8</f>
        <v>360</v>
      </c>
      <c r="E21" s="108">
        <f>Выжимка!N8</f>
        <v>0</v>
      </c>
      <c r="F21" s="108">
        <f>Выжимка!I8</f>
        <v>1390</v>
      </c>
      <c r="H21" s="106"/>
      <c r="I21" s="106"/>
      <c r="J21" s="106"/>
      <c r="P21" s="106"/>
      <c r="Q21" s="106"/>
      <c r="S21" s="108"/>
      <c r="T21" s="108"/>
      <c r="U21" s="108"/>
      <c r="X21" s="106"/>
      <c r="Y21" s="106"/>
      <c r="Z21" s="106"/>
      <c r="AA21" s="210"/>
      <c r="AG21" s="106"/>
      <c r="AH21" s="106"/>
      <c r="AI21" s="106"/>
      <c r="AJ21" s="106"/>
    </row>
    <row r="22" spans="2:36">
      <c r="B22" s="105" t="str">
        <f>Выжимка!B38</f>
        <v>гражд класс 2</v>
      </c>
      <c r="C22" s="378">
        <f>Выжимка!F9</f>
        <v>0</v>
      </c>
      <c r="D22" s="108">
        <f>Выжимка!H9</f>
        <v>0</v>
      </c>
      <c r="E22" s="108">
        <f>Выжимка!N9</f>
        <v>0</v>
      </c>
      <c r="F22" s="108">
        <f>Выжимка!I9</f>
        <v>0</v>
      </c>
      <c r="H22" s="106"/>
      <c r="I22" s="106"/>
      <c r="J22" s="106"/>
      <c r="P22" s="106"/>
      <c r="Q22" s="106"/>
      <c r="S22" s="108"/>
      <c r="T22" s="108"/>
      <c r="U22" s="108"/>
      <c r="X22" s="106"/>
      <c r="Y22" s="106"/>
      <c r="Z22" s="106"/>
      <c r="AA22" s="210"/>
      <c r="AG22" s="106"/>
      <c r="AH22" s="106"/>
      <c r="AI22" s="106"/>
      <c r="AJ22" s="106"/>
    </row>
    <row r="23" spans="2:36">
      <c r="B23" s="105" t="str">
        <f>Выжимка!B39</f>
        <v>гражд класс 1</v>
      </c>
      <c r="C23" s="378">
        <f>Выжимка!F10</f>
        <v>0</v>
      </c>
      <c r="D23" s="108">
        <f>Выжимка!H10</f>
        <v>0</v>
      </c>
      <c r="E23" s="108">
        <f>Выжимка!N10</f>
        <v>0</v>
      </c>
      <c r="F23" s="108">
        <f>Выжимка!I10</f>
        <v>0</v>
      </c>
      <c r="H23" s="106"/>
      <c r="I23" s="106"/>
      <c r="J23" s="106"/>
      <c r="P23" s="106"/>
      <c r="Q23" s="106"/>
      <c r="S23" s="108"/>
      <c r="T23" s="108"/>
      <c r="U23" s="108"/>
      <c r="X23" s="106"/>
      <c r="Y23" s="106"/>
      <c r="Z23" s="106"/>
      <c r="AA23" s="210"/>
      <c r="AG23" s="106"/>
      <c r="AH23" s="106"/>
      <c r="AI23" s="106"/>
      <c r="AJ23" s="106"/>
    </row>
    <row r="24" spans="2:36">
      <c r="B24" s="105" t="str">
        <f>Выжимка!B40</f>
        <v>прочие</v>
      </c>
      <c r="C24" s="378">
        <f>Выжимка!F11</f>
        <v>24.8</v>
      </c>
      <c r="D24" s="108">
        <f>Выжимка!H11</f>
        <v>0</v>
      </c>
      <c r="E24" s="108">
        <f>Выжимка!N11</f>
        <v>0</v>
      </c>
      <c r="F24" s="108">
        <f>Выжимка!I11</f>
        <v>0</v>
      </c>
      <c r="H24" s="108">
        <v>0</v>
      </c>
      <c r="I24" s="108">
        <v>0</v>
      </c>
      <c r="J24" s="108">
        <v>0</v>
      </c>
      <c r="P24" s="108">
        <v>0</v>
      </c>
      <c r="Q24" s="108">
        <v>0</v>
      </c>
      <c r="S24" s="108">
        <v>0</v>
      </c>
      <c r="T24" s="108">
        <v>0</v>
      </c>
      <c r="U24" s="108">
        <v>0</v>
      </c>
      <c r="X24" s="94">
        <v>0</v>
      </c>
      <c r="Y24" s="103">
        <v>0</v>
      </c>
      <c r="Z24" s="103">
        <v>0</v>
      </c>
      <c r="AA24" s="212">
        <v>0</v>
      </c>
      <c r="AG24" s="103">
        <v>0</v>
      </c>
      <c r="AH24" s="103">
        <v>0</v>
      </c>
      <c r="AI24" s="103">
        <v>0</v>
      </c>
      <c r="AJ24" s="103">
        <v>0</v>
      </c>
    </row>
    <row r="25" spans="2:36" ht="25.5">
      <c r="B25" s="88" t="s">
        <v>202</v>
      </c>
      <c r="C25" s="115" t="s">
        <v>552</v>
      </c>
      <c r="D25" s="115" t="s">
        <v>205</v>
      </c>
      <c r="E25" s="115" t="s">
        <v>210</v>
      </c>
      <c r="F25" s="115" t="s">
        <v>206</v>
      </c>
      <c r="H25" s="115" t="s">
        <v>450</v>
      </c>
      <c r="I25" s="115" t="s">
        <v>553</v>
      </c>
      <c r="J25" s="115" t="s">
        <v>450</v>
      </c>
      <c r="P25" s="115" t="s">
        <v>450</v>
      </c>
      <c r="Q25" s="115" t="s">
        <v>450</v>
      </c>
      <c r="S25" s="115" t="s">
        <v>447</v>
      </c>
      <c r="T25" s="115" t="s">
        <v>448</v>
      </c>
      <c r="U25" s="115" t="s">
        <v>344</v>
      </c>
      <c r="X25" s="94" t="s">
        <v>449</v>
      </c>
      <c r="Y25" s="94" t="s">
        <v>554</v>
      </c>
      <c r="Z25" s="94" t="s">
        <v>448</v>
      </c>
      <c r="AA25" s="209" t="s">
        <v>206</v>
      </c>
      <c r="AG25" s="94" t="s">
        <v>555</v>
      </c>
      <c r="AH25" s="94" t="s">
        <v>555</v>
      </c>
      <c r="AI25" s="94" t="s">
        <v>555</v>
      </c>
      <c r="AJ25" s="94" t="s">
        <v>556</v>
      </c>
    </row>
    <row r="26" spans="2:36" ht="25.5">
      <c r="B26" s="88" t="s">
        <v>211</v>
      </c>
      <c r="C26" s="205" t="s">
        <v>646</v>
      </c>
      <c r="D26" s="205" t="s">
        <v>212</v>
      </c>
      <c r="E26" s="205" t="s">
        <v>214</v>
      </c>
      <c r="F26" s="205" t="s">
        <v>214</v>
      </c>
      <c r="H26" s="94" t="s">
        <v>214</v>
      </c>
      <c r="I26" s="94" t="s">
        <v>213</v>
      </c>
      <c r="J26" s="94" t="s">
        <v>557</v>
      </c>
      <c r="P26" s="94" t="s">
        <v>214</v>
      </c>
      <c r="Q26" s="94" t="s">
        <v>214</v>
      </c>
      <c r="S26" s="94" t="s">
        <v>214</v>
      </c>
      <c r="T26" s="94" t="s">
        <v>214</v>
      </c>
      <c r="U26" s="94" t="s">
        <v>212</v>
      </c>
      <c r="X26" s="94" t="s">
        <v>212</v>
      </c>
      <c r="Y26" s="94" t="s">
        <v>214</v>
      </c>
      <c r="Z26" s="94" t="s">
        <v>214</v>
      </c>
      <c r="AA26" s="209" t="s">
        <v>214</v>
      </c>
      <c r="AG26" s="94" t="s">
        <v>212</v>
      </c>
      <c r="AH26" s="94" t="s">
        <v>558</v>
      </c>
      <c r="AI26" s="94" t="s">
        <v>212</v>
      </c>
      <c r="AJ26" s="94" t="s">
        <v>212</v>
      </c>
    </row>
    <row r="27" spans="2:36">
      <c r="B27" s="88" t="s">
        <v>220</v>
      </c>
      <c r="C27" s="115" t="s">
        <v>221</v>
      </c>
      <c r="D27" s="115" t="s">
        <v>221</v>
      </c>
      <c r="E27" s="115" t="s">
        <v>221</v>
      </c>
      <c r="F27" s="115" t="s">
        <v>221</v>
      </c>
      <c r="H27" s="115" t="s">
        <v>221</v>
      </c>
      <c r="I27" s="115" t="s">
        <v>221</v>
      </c>
      <c r="J27" s="115" t="s">
        <v>221</v>
      </c>
      <c r="P27" s="115" t="s">
        <v>221</v>
      </c>
      <c r="Q27" s="115" t="s">
        <v>221</v>
      </c>
      <c r="S27" s="115" t="s">
        <v>221</v>
      </c>
      <c r="T27" s="115" t="s">
        <v>221</v>
      </c>
      <c r="U27" s="115" t="s">
        <v>221</v>
      </c>
      <c r="X27" s="94" t="s">
        <v>221</v>
      </c>
      <c r="Y27" s="94" t="s">
        <v>221</v>
      </c>
      <c r="Z27" s="94" t="s">
        <v>221</v>
      </c>
      <c r="AA27" s="209" t="s">
        <v>221</v>
      </c>
      <c r="AG27" s="94" t="s">
        <v>221</v>
      </c>
      <c r="AH27" s="94" t="s">
        <v>221</v>
      </c>
      <c r="AI27" s="94" t="s">
        <v>221</v>
      </c>
      <c r="AJ27" s="94" t="s">
        <v>221</v>
      </c>
    </row>
    <row r="28" spans="2:36" ht="15">
      <c r="B28" s="88" t="s">
        <v>350</v>
      </c>
      <c r="C28" s="104">
        <v>9410</v>
      </c>
      <c r="D28" s="104">
        <v>12620</v>
      </c>
      <c r="E28" s="104">
        <v>3200</v>
      </c>
      <c r="F28" s="115">
        <v>7800</v>
      </c>
      <c r="H28" s="104">
        <v>1230</v>
      </c>
      <c r="I28" s="104">
        <v>5480</v>
      </c>
      <c r="J28" s="104">
        <v>2300</v>
      </c>
      <c r="P28" s="104">
        <v>680</v>
      </c>
      <c r="Q28" s="104">
        <v>3710</v>
      </c>
      <c r="S28" s="115">
        <v>2200</v>
      </c>
      <c r="T28" s="115">
        <v>2423</v>
      </c>
      <c r="U28" s="115">
        <v>1300</v>
      </c>
      <c r="X28" s="103">
        <v>2200</v>
      </c>
      <c r="Y28" s="103">
        <v>700</v>
      </c>
      <c r="Z28" s="103">
        <v>430</v>
      </c>
      <c r="AA28" s="212">
        <v>16300</v>
      </c>
      <c r="AG28" s="103">
        <v>1037</v>
      </c>
      <c r="AH28" s="103">
        <v>500</v>
      </c>
      <c r="AI28" s="103">
        <v>800</v>
      </c>
      <c r="AJ28" s="103">
        <v>1149</v>
      </c>
    </row>
    <row r="29" spans="2:36">
      <c r="B29" s="88" t="s">
        <v>226</v>
      </c>
      <c r="C29" s="94" t="s">
        <v>227</v>
      </c>
      <c r="D29" s="94" t="s">
        <v>227</v>
      </c>
      <c r="E29" s="94" t="s">
        <v>227</v>
      </c>
      <c r="F29" s="94" t="s">
        <v>227</v>
      </c>
      <c r="H29" s="94" t="s">
        <v>227</v>
      </c>
      <c r="I29" s="94" t="s">
        <v>227</v>
      </c>
      <c r="J29" s="94" t="s">
        <v>461</v>
      </c>
      <c r="P29" s="94" t="s">
        <v>461</v>
      </c>
      <c r="Q29" s="94" t="s">
        <v>461</v>
      </c>
      <c r="S29" s="94" t="s">
        <v>461</v>
      </c>
      <c r="T29" s="94" t="s">
        <v>227</v>
      </c>
      <c r="U29" s="94" t="s">
        <v>227</v>
      </c>
      <c r="X29" s="94" t="s">
        <v>461</v>
      </c>
      <c r="Y29" s="94" t="s">
        <v>227</v>
      </c>
      <c r="Z29" s="94" t="s">
        <v>227</v>
      </c>
      <c r="AA29" s="209" t="s">
        <v>227</v>
      </c>
      <c r="AG29" s="94" t="s">
        <v>559</v>
      </c>
      <c r="AH29" s="94" t="s">
        <v>559</v>
      </c>
      <c r="AI29" s="94" t="s">
        <v>559</v>
      </c>
      <c r="AJ29" s="94" t="s">
        <v>559</v>
      </c>
    </row>
    <row r="30" spans="2:36" ht="25.5">
      <c r="B30" s="88" t="s">
        <v>230</v>
      </c>
      <c r="C30" s="116" t="s">
        <v>560</v>
      </c>
      <c r="D30" s="116" t="s">
        <v>232</v>
      </c>
      <c r="E30" s="116" t="s">
        <v>234</v>
      </c>
      <c r="F30" s="116" t="s">
        <v>463</v>
      </c>
      <c r="H30" s="116" t="s">
        <v>233</v>
      </c>
      <c r="I30" s="116" t="s">
        <v>231</v>
      </c>
      <c r="J30" s="116" t="s">
        <v>561</v>
      </c>
      <c r="P30" s="116" t="s">
        <v>561</v>
      </c>
      <c r="Q30" s="116" t="s">
        <v>561</v>
      </c>
      <c r="S30" s="116" t="s">
        <v>231</v>
      </c>
      <c r="T30" s="116" t="s">
        <v>562</v>
      </c>
      <c r="U30" s="116" t="s">
        <v>233</v>
      </c>
      <c r="X30" s="97" t="s">
        <v>233</v>
      </c>
      <c r="Y30" s="97" t="s">
        <v>563</v>
      </c>
      <c r="Z30" s="97" t="s">
        <v>233</v>
      </c>
      <c r="AA30" s="355" t="s">
        <v>564</v>
      </c>
      <c r="AG30" s="97" t="s">
        <v>565</v>
      </c>
      <c r="AH30" s="97" t="s">
        <v>565</v>
      </c>
      <c r="AI30" s="97" t="s">
        <v>565</v>
      </c>
      <c r="AJ30" s="97" t="s">
        <v>566</v>
      </c>
    </row>
    <row r="31" spans="2:36" ht="63.75">
      <c r="B31" s="88" t="s">
        <v>567</v>
      </c>
      <c r="C31" s="94" t="s">
        <v>568</v>
      </c>
      <c r="D31" s="115" t="s">
        <v>569</v>
      </c>
      <c r="E31" s="115" t="s">
        <v>569</v>
      </c>
      <c r="F31" s="94" t="s">
        <v>239</v>
      </c>
      <c r="H31" s="115" t="s">
        <v>238</v>
      </c>
      <c r="I31" s="115" t="s">
        <v>569</v>
      </c>
      <c r="J31" s="115" t="s">
        <v>469</v>
      </c>
      <c r="P31" s="121" t="s">
        <v>469</v>
      </c>
      <c r="Q31" s="121" t="s">
        <v>469</v>
      </c>
      <c r="S31" s="94" t="s">
        <v>467</v>
      </c>
      <c r="T31" s="94" t="s">
        <v>570</v>
      </c>
      <c r="U31" s="94" t="s">
        <v>239</v>
      </c>
      <c r="X31" s="94" t="s">
        <v>471</v>
      </c>
      <c r="Y31" s="94" t="s">
        <v>571</v>
      </c>
      <c r="Z31" s="94" t="s">
        <v>571</v>
      </c>
      <c r="AA31" s="209" t="s">
        <v>572</v>
      </c>
      <c r="AG31" s="94" t="s">
        <v>239</v>
      </c>
      <c r="AH31" s="94" t="s">
        <v>239</v>
      </c>
      <c r="AI31" s="94" t="s">
        <v>239</v>
      </c>
      <c r="AJ31" s="94" t="s">
        <v>239</v>
      </c>
    </row>
    <row r="32" spans="2:36">
      <c r="B32" s="88" t="s">
        <v>573</v>
      </c>
      <c r="C32" s="94" t="s">
        <v>586</v>
      </c>
      <c r="D32" s="94" t="s">
        <v>238</v>
      </c>
      <c r="E32" s="94" t="s">
        <v>238</v>
      </c>
      <c r="F32" s="94" t="s">
        <v>239</v>
      </c>
      <c r="H32" s="94" t="s">
        <v>238</v>
      </c>
      <c r="I32" s="94" t="s">
        <v>236</v>
      </c>
      <c r="J32" s="94" t="s">
        <v>238</v>
      </c>
      <c r="P32" s="205" t="s">
        <v>238</v>
      </c>
      <c r="Q32" s="205" t="s">
        <v>238</v>
      </c>
      <c r="S32" s="94" t="s">
        <v>574</v>
      </c>
      <c r="T32" s="94" t="s">
        <v>238</v>
      </c>
      <c r="U32" s="94" t="s">
        <v>238</v>
      </c>
      <c r="X32" s="94" t="s">
        <v>574</v>
      </c>
      <c r="Y32" s="94" t="s">
        <v>238</v>
      </c>
      <c r="Z32" s="94" t="s">
        <v>238</v>
      </c>
      <c r="AA32" s="94" t="s">
        <v>574</v>
      </c>
      <c r="AG32" s="94" t="s">
        <v>224</v>
      </c>
      <c r="AH32" s="94" t="s">
        <v>224</v>
      </c>
      <c r="AI32" s="94" t="s">
        <v>224</v>
      </c>
      <c r="AJ32" s="94" t="s">
        <v>224</v>
      </c>
    </row>
    <row r="33" spans="2:36">
      <c r="B33" s="88" t="s">
        <v>243</v>
      </c>
      <c r="C33" s="117"/>
      <c r="D33" s="94" t="s">
        <v>244</v>
      </c>
      <c r="E33" s="94" t="s">
        <v>244</v>
      </c>
      <c r="F33" s="94" t="s">
        <v>245</v>
      </c>
      <c r="H33" s="94" t="s">
        <v>482</v>
      </c>
      <c r="I33" s="94" t="s">
        <v>245</v>
      </c>
      <c r="J33" s="94" t="s">
        <v>244</v>
      </c>
      <c r="P33" s="205" t="s">
        <v>245</v>
      </c>
      <c r="Q33" s="205" t="s">
        <v>245</v>
      </c>
      <c r="S33" s="94" t="s">
        <v>245</v>
      </c>
      <c r="T33" s="94" t="s">
        <v>244</v>
      </c>
      <c r="U33" s="94" t="s">
        <v>244</v>
      </c>
      <c r="X33" s="101" t="s">
        <v>244</v>
      </c>
      <c r="Y33" s="94" t="s">
        <v>244</v>
      </c>
      <c r="Z33" s="94" t="s">
        <v>244</v>
      </c>
      <c r="AA33" s="94" t="s">
        <v>244</v>
      </c>
      <c r="AG33" s="94" t="s">
        <v>245</v>
      </c>
      <c r="AH33" s="94" t="s">
        <v>245</v>
      </c>
      <c r="AI33" s="94" t="s">
        <v>245</v>
      </c>
      <c r="AJ33" s="94" t="s">
        <v>245</v>
      </c>
    </row>
    <row r="34" spans="2:36">
      <c r="B34" s="88" t="s">
        <v>122</v>
      </c>
      <c r="C34" s="117"/>
      <c r="D34" s="94">
        <v>6000000</v>
      </c>
      <c r="E34" s="94">
        <v>1500000</v>
      </c>
      <c r="F34" s="94">
        <v>2600000</v>
      </c>
      <c r="H34" s="94">
        <v>700000</v>
      </c>
      <c r="I34" s="94">
        <v>1800000</v>
      </c>
      <c r="J34" s="94">
        <v>800000</v>
      </c>
      <c r="P34" s="94">
        <v>1500000</v>
      </c>
      <c r="Q34" s="94">
        <v>1500000</v>
      </c>
      <c r="S34" s="94">
        <v>2500000</v>
      </c>
      <c r="T34" s="94">
        <v>700000</v>
      </c>
      <c r="U34" s="94">
        <v>1200000</v>
      </c>
      <c r="X34" s="118">
        <v>760000</v>
      </c>
      <c r="Y34" s="118">
        <v>1600000</v>
      </c>
      <c r="Z34" s="118">
        <v>280000</v>
      </c>
      <c r="AA34" s="118">
        <v>5200000</v>
      </c>
      <c r="AG34" s="118">
        <f>700*AG15</f>
        <v>700000</v>
      </c>
      <c r="AH34" s="118">
        <v>320000</v>
      </c>
      <c r="AI34" s="118">
        <v>750000</v>
      </c>
      <c r="AJ34" s="118">
        <v>525000</v>
      </c>
    </row>
    <row r="35" spans="2:36">
      <c r="B35" s="88" t="s">
        <v>246</v>
      </c>
      <c r="C35" s="117"/>
      <c r="D35" s="94">
        <f>ROUND(D34*долл,-4)</f>
        <v>524700000</v>
      </c>
      <c r="E35" s="94">
        <f>ROUND(E34*долл,-4)</f>
        <v>131180000</v>
      </c>
      <c r="F35" s="94">
        <f>F34*долл</f>
        <v>227370000</v>
      </c>
      <c r="H35" s="94">
        <f>ROUND(H34*долл,-4)</f>
        <v>61220000</v>
      </c>
      <c r="I35" s="94">
        <f>ROUND(I34*долл,-3)</f>
        <v>157410000</v>
      </c>
      <c r="J35" s="94">
        <f>ROUND(J34*долл,-4)</f>
        <v>69960000</v>
      </c>
      <c r="P35" s="94">
        <f>ROUND(P34*долл,-4)</f>
        <v>131180000</v>
      </c>
      <c r="Q35" s="94">
        <f>ROUND(Q34*долл,-4)</f>
        <v>131180000</v>
      </c>
      <c r="S35" s="94">
        <f>S34*долл</f>
        <v>218625000</v>
      </c>
      <c r="T35" s="94">
        <f>T34*долл</f>
        <v>61215000</v>
      </c>
      <c r="U35" s="94">
        <f>ROUND(U34*долл,-3)</f>
        <v>104940000</v>
      </c>
      <c r="X35" s="115">
        <f>X34*долл</f>
        <v>66462000</v>
      </c>
      <c r="Y35" s="94">
        <f>Y34*долл</f>
        <v>139920000</v>
      </c>
      <c r="Z35" s="94">
        <f>Z34*долл</f>
        <v>24486000</v>
      </c>
      <c r="AA35" s="94">
        <f>AA34*долл</f>
        <v>454740000</v>
      </c>
      <c r="AG35" s="94">
        <f>ROUND(AG34*долл,-3)</f>
        <v>61215000</v>
      </c>
      <c r="AH35" s="94">
        <f>ROUND(AH34*долл,-3)</f>
        <v>27984000</v>
      </c>
      <c r="AI35" s="94">
        <f>ROUND(AI34*долл,-3)</f>
        <v>65588000</v>
      </c>
      <c r="AJ35" s="94">
        <f>ROUND(AJ34*долл,-3)</f>
        <v>45911000</v>
      </c>
    </row>
    <row r="36" spans="2:36" ht="15">
      <c r="B36" s="88" t="s">
        <v>247</v>
      </c>
      <c r="C36" s="115"/>
      <c r="D36" s="115">
        <f>D34/D15</f>
        <v>857.63293310463121</v>
      </c>
      <c r="E36" s="115">
        <f>E34/E15</f>
        <v>833.33333333333337</v>
      </c>
      <c r="F36" s="115">
        <f>F34/F15</f>
        <v>779.11959485781074</v>
      </c>
      <c r="H36" s="115">
        <f>H34/H15</f>
        <v>1025.7913247362251</v>
      </c>
      <c r="I36" s="115">
        <f t="shared" ref="I36" si="3">I34/I15</f>
        <v>962.56684491978615</v>
      </c>
      <c r="J36" s="115">
        <f>J34/J15</f>
        <v>296.2962962962963</v>
      </c>
      <c r="P36" s="115">
        <f>P34/P15</f>
        <v>1250</v>
      </c>
      <c r="Q36" s="115">
        <f>Q34/Q15</f>
        <v>833.33333333333337</v>
      </c>
      <c r="S36" s="115">
        <f>S34/S15</f>
        <v>498.44485206156787</v>
      </c>
      <c r="T36" s="115">
        <f>T34/T15</f>
        <v>804.26490187968193</v>
      </c>
      <c r="U36" s="115">
        <f>U34/U15</f>
        <v>629.59076600209869</v>
      </c>
      <c r="X36" s="115">
        <f>X34/X15</f>
        <v>554.74452554744528</v>
      </c>
      <c r="Y36" s="115">
        <f t="shared" ref="Y36:Z36" si="4">Y34/Y15</f>
        <v>788.17733990147781</v>
      </c>
      <c r="Z36" s="115">
        <f t="shared" si="4"/>
        <v>1201.716738197425</v>
      </c>
      <c r="AA36" s="115">
        <f>AA34/AA15</f>
        <v>2039.2156862745098</v>
      </c>
      <c r="AG36" s="115">
        <f>AG34/AG15</f>
        <v>700</v>
      </c>
      <c r="AH36" s="115">
        <f>AH34/AH15</f>
        <v>851.063829787234</v>
      </c>
      <c r="AI36" s="115">
        <f>AI34/AI15</f>
        <v>937.5</v>
      </c>
      <c r="AJ36" s="115">
        <f>AJ34/AJ15</f>
        <v>825.47169811320759</v>
      </c>
    </row>
    <row r="37" spans="2:36" ht="15">
      <c r="B37" s="88" t="s">
        <v>248</v>
      </c>
      <c r="C37" s="115"/>
      <c r="D37" s="115">
        <f>D36*долл</f>
        <v>75000</v>
      </c>
      <c r="E37" s="115">
        <f>E36*долл</f>
        <v>72875</v>
      </c>
      <c r="F37" s="115">
        <f>F36*долл</f>
        <v>68134.008570315549</v>
      </c>
      <c r="H37" s="115">
        <f>H36*долл</f>
        <v>89705.451348182891</v>
      </c>
      <c r="I37" s="115">
        <f>I36*долл</f>
        <v>84176.470588235301</v>
      </c>
      <c r="J37" s="115">
        <f>J36*долл</f>
        <v>25911.111111111113</v>
      </c>
      <c r="P37" s="115">
        <f>P36*долл</f>
        <v>109312.5</v>
      </c>
      <c r="Q37" s="115">
        <f>Q36*долл</f>
        <v>72875</v>
      </c>
      <c r="S37" s="115">
        <f>S36*долл</f>
        <v>43589.002312784112</v>
      </c>
      <c r="T37" s="115">
        <f>T36*долл</f>
        <v>70332.965669378187</v>
      </c>
      <c r="U37" s="115">
        <f>U35/U15</f>
        <v>55057.712486883524</v>
      </c>
      <c r="X37" s="115">
        <f>X36*долл</f>
        <v>48512.40875912409</v>
      </c>
      <c r="Y37" s="115">
        <f>Y36*долл</f>
        <v>68926.108374384232</v>
      </c>
      <c r="Z37" s="115">
        <f>Z36*долл</f>
        <v>105090.12875536481</v>
      </c>
      <c r="AA37" s="115">
        <f>AA36*долл</f>
        <v>178329.4117647059</v>
      </c>
      <c r="AG37" s="115">
        <f>AG35/AG15</f>
        <v>61215</v>
      </c>
      <c r="AH37" s="115">
        <f>AH35/AH15</f>
        <v>74425.531914893611</v>
      </c>
      <c r="AI37" s="115">
        <f>AI35/AI15</f>
        <v>81985</v>
      </c>
      <c r="AJ37" s="115">
        <f>AJ35/AJ15</f>
        <v>72187.106918238991</v>
      </c>
    </row>
    <row r="38" spans="2:36">
      <c r="B38" s="119" t="s">
        <v>249</v>
      </c>
      <c r="C38" s="87" t="s">
        <v>159</v>
      </c>
      <c r="D38" s="87" t="str">
        <f>D7</f>
        <v>Аналог 1</v>
      </c>
      <c r="E38" s="87" t="str">
        <f>E7</f>
        <v>Аналог 2</v>
      </c>
      <c r="F38" s="87" t="str">
        <f>F7</f>
        <v>Аналог 3</v>
      </c>
      <c r="H38" s="87" t="str">
        <f>H7</f>
        <v>Аналог 3</v>
      </c>
      <c r="I38" s="87" t="str">
        <f>I7</f>
        <v>Аналог 3</v>
      </c>
      <c r="J38" s="87" t="str">
        <f>J7</f>
        <v>Аналог 3</v>
      </c>
      <c r="P38" s="87" t="str">
        <f>P7</f>
        <v>Аналог 3</v>
      </c>
      <c r="Q38" s="87" t="str">
        <f>Q7</f>
        <v>Аналог 3</v>
      </c>
      <c r="S38" s="87" t="str">
        <f>S7</f>
        <v>Аналог 2</v>
      </c>
      <c r="T38" s="87" t="str">
        <f>T7</f>
        <v>Аналог 2</v>
      </c>
      <c r="U38" s="87" t="str">
        <f>U7</f>
        <v>Аналог 1</v>
      </c>
      <c r="X38" s="87" t="str">
        <f>X7</f>
        <v>Аналог 3</v>
      </c>
      <c r="Y38" s="87" t="str">
        <f>Y7</f>
        <v>Аналог 2</v>
      </c>
      <c r="Z38" s="87" t="str">
        <f>Z7</f>
        <v>Аналог 2</v>
      </c>
      <c r="AA38" s="87" t="str">
        <f>AA7</f>
        <v>Аналог 2</v>
      </c>
      <c r="AG38" s="87" t="str">
        <f>AG7</f>
        <v>Аналог 1</v>
      </c>
      <c r="AH38" s="87" t="str">
        <f>AH7</f>
        <v>Аналог 2</v>
      </c>
      <c r="AI38" s="87" t="str">
        <f>AI7</f>
        <v>Аналог 3</v>
      </c>
      <c r="AJ38" s="87" t="str">
        <f>AJ7</f>
        <v>Аналог 4</v>
      </c>
    </row>
    <row r="39" spans="2:36" hidden="1" outlineLevel="1">
      <c r="B39" s="120" t="s">
        <v>250</v>
      </c>
      <c r="C39" s="121"/>
      <c r="D39" s="356">
        <v>1</v>
      </c>
      <c r="E39" s="356">
        <v>1</v>
      </c>
      <c r="F39" s="356">
        <v>1</v>
      </c>
      <c r="H39" s="121">
        <v>1</v>
      </c>
      <c r="I39" s="121">
        <v>1</v>
      </c>
      <c r="J39" s="121">
        <v>1</v>
      </c>
      <c r="P39" s="121">
        <v>1</v>
      </c>
      <c r="Q39" s="121">
        <v>1</v>
      </c>
      <c r="S39" s="121">
        <v>1</v>
      </c>
      <c r="T39" s="121">
        <v>1</v>
      </c>
      <c r="U39" s="121">
        <v>1</v>
      </c>
      <c r="X39" s="122">
        <v>1</v>
      </c>
      <c r="Y39" s="122">
        <v>1</v>
      </c>
      <c r="Z39" s="122">
        <v>1</v>
      </c>
      <c r="AA39" s="122">
        <v>1</v>
      </c>
      <c r="AG39" s="122">
        <v>1</v>
      </c>
      <c r="AH39" s="122">
        <v>1</v>
      </c>
      <c r="AI39" s="122">
        <v>1</v>
      </c>
      <c r="AJ39" s="122">
        <v>1</v>
      </c>
    </row>
    <row r="40" spans="2:36" s="300" customFormat="1" ht="15" hidden="1" outlineLevel="1">
      <c r="B40" s="123" t="s">
        <v>352</v>
      </c>
      <c r="C40" s="124"/>
      <c r="D40" s="124">
        <f>D39*D37</f>
        <v>75000</v>
      </c>
      <c r="E40" s="124">
        <f>E39*E37</f>
        <v>72875</v>
      </c>
      <c r="F40" s="124">
        <f>F39*F37</f>
        <v>68134.008570315549</v>
      </c>
      <c r="H40" s="124">
        <f>H39*H37</f>
        <v>89705.451348182891</v>
      </c>
      <c r="I40" s="124">
        <f>I39*I37</f>
        <v>84176.470588235301</v>
      </c>
      <c r="J40" s="124">
        <f>J39*J37</f>
        <v>25911.111111111113</v>
      </c>
      <c r="P40" s="124">
        <f>P39*P37</f>
        <v>109312.5</v>
      </c>
      <c r="Q40" s="124">
        <f>Q39*Q37</f>
        <v>72875</v>
      </c>
      <c r="S40" s="124">
        <f>S39*S37</f>
        <v>43589.002312784112</v>
      </c>
      <c r="T40" s="124">
        <f>T39*T37</f>
        <v>70332.965669378187</v>
      </c>
      <c r="U40" s="124">
        <f>U39*U37</f>
        <v>55057.712486883524</v>
      </c>
      <c r="X40" s="124">
        <f>X39*X37</f>
        <v>48512.40875912409</v>
      </c>
      <c r="Y40" s="124">
        <f>Y39*Y37</f>
        <v>68926.108374384232</v>
      </c>
      <c r="Z40" s="124">
        <f>Z39*Z37</f>
        <v>105090.12875536481</v>
      </c>
      <c r="AA40" s="124">
        <f>AA39*AA37</f>
        <v>178329.4117647059</v>
      </c>
      <c r="AG40" s="124">
        <f>AG39*AG37</f>
        <v>61215</v>
      </c>
      <c r="AH40" s="124">
        <f>AH39*AH37</f>
        <v>74425.531914893611</v>
      </c>
      <c r="AI40" s="124">
        <f>AI39*AI37</f>
        <v>81985</v>
      </c>
      <c r="AJ40" s="124">
        <f>AJ39*AJ37</f>
        <v>72187.106918238991</v>
      </c>
    </row>
    <row r="41" spans="2:36" collapsed="1">
      <c r="B41" s="130" t="s">
        <v>252</v>
      </c>
      <c r="C41" s="115"/>
      <c r="D41" s="357">
        <v>0.95</v>
      </c>
      <c r="E41" s="357">
        <v>0.95</v>
      </c>
      <c r="F41" s="357">
        <v>0.9</v>
      </c>
      <c r="H41" s="357">
        <v>0.85</v>
      </c>
      <c r="I41" s="357">
        <v>0.9</v>
      </c>
      <c r="J41" s="357">
        <v>0.95</v>
      </c>
      <c r="P41" s="357">
        <v>0.9</v>
      </c>
      <c r="Q41" s="357">
        <v>0.9</v>
      </c>
      <c r="S41" s="357">
        <v>0.88</v>
      </c>
      <c r="T41" s="357">
        <v>0.95</v>
      </c>
      <c r="U41" s="357">
        <v>0.95</v>
      </c>
      <c r="X41" s="131">
        <v>0.95</v>
      </c>
      <c r="Y41" s="357">
        <v>0.95</v>
      </c>
      <c r="Z41" s="357">
        <v>0.95</v>
      </c>
      <c r="AA41" s="357">
        <v>0.95</v>
      </c>
      <c r="AG41" s="357">
        <v>1</v>
      </c>
      <c r="AH41" s="357">
        <v>1</v>
      </c>
      <c r="AI41" s="357">
        <v>1</v>
      </c>
      <c r="AJ41" s="357">
        <v>1</v>
      </c>
    </row>
    <row r="42" spans="2:36" ht="15">
      <c r="B42" s="132" t="s">
        <v>352</v>
      </c>
      <c r="C42" s="133"/>
      <c r="D42" s="133">
        <f>D41*D40</f>
        <v>71250</v>
      </c>
      <c r="E42" s="133">
        <f>E41*E40</f>
        <v>69231.25</v>
      </c>
      <c r="F42" s="133">
        <f>F41*F40</f>
        <v>61320.607713283993</v>
      </c>
      <c r="H42" s="133">
        <f>H41*H40</f>
        <v>76249.633645955459</v>
      </c>
      <c r="I42" s="133">
        <f>I41*I40</f>
        <v>75758.823529411777</v>
      </c>
      <c r="J42" s="133">
        <f>J41*J40</f>
        <v>24615.555555555555</v>
      </c>
      <c r="P42" s="133">
        <f>P41*P40</f>
        <v>98381.25</v>
      </c>
      <c r="Q42" s="133">
        <f>Q41*Q40</f>
        <v>65587.5</v>
      </c>
      <c r="S42" s="133">
        <f>S41*S40</f>
        <v>38358.322035250021</v>
      </c>
      <c r="T42" s="133">
        <f>T41*T40</f>
        <v>66816.317385909279</v>
      </c>
      <c r="U42" s="133">
        <f>U41*U40</f>
        <v>52304.826862539347</v>
      </c>
      <c r="X42" s="133">
        <f>X41*X40</f>
        <v>46086.788321167885</v>
      </c>
      <c r="Y42" s="133">
        <f>Y41*Y40</f>
        <v>65479.802955665014</v>
      </c>
      <c r="Z42" s="133">
        <f>Z41*Z40</f>
        <v>99835.622317596572</v>
      </c>
      <c r="AA42" s="133">
        <f>AA41*AA40</f>
        <v>169412.9411764706</v>
      </c>
      <c r="AG42" s="133">
        <f t="shared" ref="AG42:AJ42" si="5">AG41*AG40</f>
        <v>61215</v>
      </c>
      <c r="AH42" s="133">
        <f t="shared" si="5"/>
        <v>74425.531914893611</v>
      </c>
      <c r="AI42" s="133">
        <f t="shared" si="5"/>
        <v>81985</v>
      </c>
      <c r="AJ42" s="133">
        <f t="shared" si="5"/>
        <v>72187.106918238991</v>
      </c>
    </row>
    <row r="43" spans="2:36">
      <c r="B43" s="130" t="s">
        <v>253</v>
      </c>
      <c r="C43" s="115"/>
      <c r="D43" s="131">
        <v>1</v>
      </c>
      <c r="E43" s="131">
        <v>1</v>
      </c>
      <c r="F43" s="131">
        <v>1</v>
      </c>
      <c r="H43" s="131">
        <v>1.2</v>
      </c>
      <c r="I43" s="131">
        <v>1</v>
      </c>
      <c r="J43" s="131">
        <v>1</v>
      </c>
      <c r="P43" s="131">
        <v>1</v>
      </c>
      <c r="Q43" s="131">
        <v>1</v>
      </c>
      <c r="S43" s="131">
        <v>0.85</v>
      </c>
      <c r="T43" s="131">
        <v>0.85</v>
      </c>
      <c r="U43" s="131">
        <v>0.85</v>
      </c>
      <c r="X43" s="131">
        <v>0.85</v>
      </c>
      <c r="Y43" s="131">
        <v>0.85</v>
      </c>
      <c r="Z43" s="131">
        <v>0.85</v>
      </c>
      <c r="AA43" s="131">
        <v>0.85</v>
      </c>
      <c r="AG43" s="131">
        <v>1</v>
      </c>
      <c r="AH43" s="131">
        <v>1</v>
      </c>
      <c r="AI43" s="131">
        <v>1</v>
      </c>
      <c r="AJ43" s="131">
        <v>1</v>
      </c>
    </row>
    <row r="44" spans="2:36" ht="15">
      <c r="B44" s="132" t="s">
        <v>352</v>
      </c>
      <c r="C44" s="133"/>
      <c r="D44" s="133">
        <f>D43*D42</f>
        <v>71250</v>
      </c>
      <c r="E44" s="133">
        <f>E43*E42</f>
        <v>69231.25</v>
      </c>
      <c r="F44" s="133">
        <f>F43*F42</f>
        <v>61320.607713283993</v>
      </c>
      <c r="H44" s="133">
        <f>H43*H42</f>
        <v>91499.560375146553</v>
      </c>
      <c r="I44" s="133">
        <f t="shared" ref="I44" si="6">I43*I42</f>
        <v>75758.823529411777</v>
      </c>
      <c r="J44" s="133">
        <f>J43*J42</f>
        <v>24615.555555555555</v>
      </c>
      <c r="P44" s="133">
        <f>P43*P42</f>
        <v>98381.25</v>
      </c>
      <c r="Q44" s="133">
        <f>Q43*Q42</f>
        <v>65587.5</v>
      </c>
      <c r="S44" s="133">
        <f>S43*S42</f>
        <v>32604.573729962518</v>
      </c>
      <c r="T44" s="133">
        <f>T43*T42</f>
        <v>56793.869778022883</v>
      </c>
      <c r="U44" s="133">
        <f>U43*U42</f>
        <v>44459.102833158446</v>
      </c>
      <c r="X44" s="133">
        <f>X43*X42</f>
        <v>39173.770072992702</v>
      </c>
      <c r="Y44" s="133">
        <f t="shared" ref="Y44:Z44" si="7">Y43*Y42</f>
        <v>55657.832512315261</v>
      </c>
      <c r="Z44" s="133">
        <f t="shared" si="7"/>
        <v>84860.278969957086</v>
      </c>
      <c r="AA44" s="133">
        <f>AA43*AA42</f>
        <v>144001</v>
      </c>
      <c r="AG44" s="133">
        <f>AG43*AG42</f>
        <v>61215</v>
      </c>
      <c r="AH44" s="133">
        <f t="shared" ref="AH44:AJ44" si="8">AH43*AH42</f>
        <v>74425.531914893611</v>
      </c>
      <c r="AI44" s="133">
        <f t="shared" si="8"/>
        <v>81985</v>
      </c>
      <c r="AJ44" s="133">
        <f t="shared" si="8"/>
        <v>72187.106918238991</v>
      </c>
    </row>
    <row r="45" spans="2:36">
      <c r="B45" s="130" t="s">
        <v>254</v>
      </c>
      <c r="C45" s="115"/>
      <c r="D45" s="131">
        <v>0.8</v>
      </c>
      <c r="E45" s="131">
        <v>1.05</v>
      </c>
      <c r="F45" s="131">
        <v>1.05</v>
      </c>
      <c r="H45" s="131">
        <v>1</v>
      </c>
      <c r="I45" s="131">
        <v>1</v>
      </c>
      <c r="J45" s="131">
        <v>1</v>
      </c>
      <c r="P45" s="131">
        <v>1</v>
      </c>
      <c r="Q45" s="131">
        <v>1</v>
      </c>
      <c r="S45" s="131">
        <v>1</v>
      </c>
      <c r="T45" s="131">
        <v>1.1499999999999999</v>
      </c>
      <c r="U45" s="131">
        <v>1</v>
      </c>
      <c r="X45" s="131">
        <v>1</v>
      </c>
      <c r="Y45" s="131">
        <v>1</v>
      </c>
      <c r="Z45" s="131">
        <v>1</v>
      </c>
      <c r="AA45" s="131">
        <v>1</v>
      </c>
      <c r="AG45" s="131">
        <v>1</v>
      </c>
      <c r="AH45" s="131">
        <v>1</v>
      </c>
      <c r="AI45" s="131">
        <v>1</v>
      </c>
      <c r="AJ45" s="131">
        <v>1</v>
      </c>
    </row>
    <row r="46" spans="2:36" ht="15">
      <c r="B46" s="132" t="s">
        <v>352</v>
      </c>
      <c r="C46" s="133"/>
      <c r="D46" s="133">
        <f>D45*D44</f>
        <v>57000</v>
      </c>
      <c r="E46" s="133">
        <f>E45*E44</f>
        <v>72692.8125</v>
      </c>
      <c r="F46" s="133">
        <f>F45*F44</f>
        <v>64386.638098948199</v>
      </c>
      <c r="H46" s="133">
        <f>H45*H44</f>
        <v>91499.560375146553</v>
      </c>
      <c r="I46" s="133">
        <f t="shared" ref="I46" si="9">I45*I44</f>
        <v>75758.823529411777</v>
      </c>
      <c r="J46" s="133">
        <f>J45*J44</f>
        <v>24615.555555555555</v>
      </c>
      <c r="P46" s="133">
        <f>P45*P44</f>
        <v>98381.25</v>
      </c>
      <c r="Q46" s="133">
        <f>Q45*Q44</f>
        <v>65587.5</v>
      </c>
      <c r="S46" s="133">
        <f>S45*S44</f>
        <v>32604.573729962518</v>
      </c>
      <c r="T46" s="133">
        <f>T45*T44</f>
        <v>65312.950244726308</v>
      </c>
      <c r="U46" s="133">
        <f>U45*U44</f>
        <v>44459.102833158446</v>
      </c>
      <c r="X46" s="133">
        <f>X45*X44</f>
        <v>39173.770072992702</v>
      </c>
      <c r="Y46" s="133">
        <f t="shared" ref="Y46:Z46" si="10">Y45*Y44</f>
        <v>55657.832512315261</v>
      </c>
      <c r="Z46" s="133">
        <f t="shared" si="10"/>
        <v>84860.278969957086</v>
      </c>
      <c r="AA46" s="133">
        <f>AA45*AA44</f>
        <v>144001</v>
      </c>
      <c r="AG46" s="133">
        <f>AG45*AG44</f>
        <v>61215</v>
      </c>
      <c r="AH46" s="133">
        <f t="shared" ref="AH46:AJ46" si="11">AH45*AH44</f>
        <v>74425.531914893611</v>
      </c>
      <c r="AI46" s="133">
        <f t="shared" si="11"/>
        <v>81985</v>
      </c>
      <c r="AJ46" s="133">
        <f t="shared" si="11"/>
        <v>72187.106918238991</v>
      </c>
    </row>
    <row r="47" spans="2:36">
      <c r="B47" s="130" t="s">
        <v>255</v>
      </c>
      <c r="C47" s="115"/>
      <c r="D47" s="131">
        <v>0.95</v>
      </c>
      <c r="E47" s="131">
        <v>0.8</v>
      </c>
      <c r="F47" s="131">
        <v>0.95</v>
      </c>
      <c r="H47" s="131">
        <v>0.95</v>
      </c>
      <c r="I47" s="131">
        <v>0.95</v>
      </c>
      <c r="J47" s="131">
        <v>0.95</v>
      </c>
      <c r="P47" s="131">
        <v>0.95</v>
      </c>
      <c r="Q47" s="131">
        <v>0.95</v>
      </c>
      <c r="S47" s="131">
        <v>1</v>
      </c>
      <c r="T47" s="131">
        <v>1.2</v>
      </c>
      <c r="U47" s="131">
        <v>1.2</v>
      </c>
      <c r="X47" s="122">
        <v>1.1499999999999999</v>
      </c>
      <c r="Y47" s="131">
        <v>1.1499999999999999</v>
      </c>
      <c r="Z47" s="131">
        <v>1.1499999999999999</v>
      </c>
      <c r="AA47" s="131">
        <v>1.1499999999999999</v>
      </c>
      <c r="AG47" s="131">
        <v>1</v>
      </c>
      <c r="AH47" s="131">
        <v>1</v>
      </c>
      <c r="AI47" s="131">
        <v>1</v>
      </c>
      <c r="AJ47" s="131">
        <v>1</v>
      </c>
    </row>
    <row r="48" spans="2:36" ht="15">
      <c r="B48" s="132" t="s">
        <v>352</v>
      </c>
      <c r="C48" s="133"/>
      <c r="D48" s="301">
        <f>D47*D46</f>
        <v>54150</v>
      </c>
      <c r="E48" s="301">
        <f>E47*E46</f>
        <v>58154.25</v>
      </c>
      <c r="F48" s="301">
        <f>F47*F46</f>
        <v>61167.306194000783</v>
      </c>
      <c r="H48" s="301">
        <f>H47*H46</f>
        <v>86924.582356389219</v>
      </c>
      <c r="I48" s="301">
        <f t="shared" ref="I48" si="12">I47*I46</f>
        <v>71970.882352941189</v>
      </c>
      <c r="J48" s="301">
        <f>J47*J46</f>
        <v>23384.777777777777</v>
      </c>
      <c r="P48" s="301">
        <f>P47*P46</f>
        <v>93462.1875</v>
      </c>
      <c r="Q48" s="301">
        <f>Q47*Q46</f>
        <v>62308.125</v>
      </c>
      <c r="S48" s="301">
        <f>S47*S46</f>
        <v>32604.573729962518</v>
      </c>
      <c r="T48" s="301">
        <f>T47*T46</f>
        <v>78375.540293671569</v>
      </c>
      <c r="U48" s="301">
        <f>U47*U46</f>
        <v>53350.923399790132</v>
      </c>
      <c r="X48" s="301">
        <f>X47*X46</f>
        <v>45049.835583941604</v>
      </c>
      <c r="Y48" s="301">
        <f t="shared" ref="Y48:Z48" si="13">Y47*Y46</f>
        <v>64006.507389162543</v>
      </c>
      <c r="Z48" s="301">
        <f t="shared" si="13"/>
        <v>97589.320815450643</v>
      </c>
      <c r="AA48" s="301">
        <f>AA47*AA46</f>
        <v>165601.15</v>
      </c>
      <c r="AG48" s="301">
        <f>AG47*AG46</f>
        <v>61215</v>
      </c>
      <c r="AH48" s="301">
        <f t="shared" ref="AH48:AJ48" si="14">AH47*AH46</f>
        <v>74425.531914893611</v>
      </c>
      <c r="AI48" s="301">
        <f t="shared" si="14"/>
        <v>81985</v>
      </c>
      <c r="AJ48" s="301">
        <f t="shared" si="14"/>
        <v>72187.106918238991</v>
      </c>
    </row>
    <row r="49" spans="2:36">
      <c r="B49" s="130" t="s">
        <v>256</v>
      </c>
      <c r="C49" s="133"/>
      <c r="D49" s="131">
        <v>1</v>
      </c>
      <c r="E49" s="131">
        <v>1</v>
      </c>
      <c r="F49" s="131">
        <v>1</v>
      </c>
      <c r="H49" s="131">
        <v>1</v>
      </c>
      <c r="I49" s="131">
        <v>1</v>
      </c>
      <c r="J49" s="131">
        <v>1</v>
      </c>
      <c r="P49" s="131">
        <v>1</v>
      </c>
      <c r="Q49" s="131">
        <v>1</v>
      </c>
      <c r="S49" s="131">
        <v>1</v>
      </c>
      <c r="T49" s="131">
        <v>1</v>
      </c>
      <c r="U49" s="131">
        <v>1</v>
      </c>
      <c r="X49" s="131">
        <v>1</v>
      </c>
      <c r="Y49" s="131">
        <v>1</v>
      </c>
      <c r="Z49" s="131">
        <v>1</v>
      </c>
      <c r="AA49" s="131">
        <v>1</v>
      </c>
      <c r="AG49" s="131">
        <v>1</v>
      </c>
      <c r="AH49" s="131">
        <v>1</v>
      </c>
      <c r="AI49" s="131">
        <v>1</v>
      </c>
      <c r="AJ49" s="131">
        <v>1</v>
      </c>
    </row>
    <row r="50" spans="2:36" ht="15">
      <c r="B50" s="132" t="s">
        <v>352</v>
      </c>
      <c r="C50" s="133"/>
      <c r="D50" s="301">
        <f>D49*D48</f>
        <v>54150</v>
      </c>
      <c r="E50" s="301">
        <f>E49*E48</f>
        <v>58154.25</v>
      </c>
      <c r="F50" s="301">
        <f>F49*F48</f>
        <v>61167.306194000783</v>
      </c>
      <c r="H50" s="301">
        <f>H49*H48</f>
        <v>86924.582356389219</v>
      </c>
      <c r="I50" s="301">
        <f t="shared" ref="I50" si="15">I49*I48</f>
        <v>71970.882352941189</v>
      </c>
      <c r="J50" s="301">
        <f>J49*J48</f>
        <v>23384.777777777777</v>
      </c>
      <c r="P50" s="301">
        <f>P49*P48</f>
        <v>93462.1875</v>
      </c>
      <c r="Q50" s="301">
        <f>Q49*Q48</f>
        <v>62308.125</v>
      </c>
      <c r="S50" s="301">
        <f>S49*S48</f>
        <v>32604.573729962518</v>
      </c>
      <c r="T50" s="301">
        <f>T49*T48</f>
        <v>78375.540293671569</v>
      </c>
      <c r="U50" s="301">
        <f>U49*U48</f>
        <v>53350.923399790132</v>
      </c>
      <c r="X50" s="301">
        <f>X49*X48</f>
        <v>45049.835583941604</v>
      </c>
      <c r="Y50" s="301">
        <f t="shared" ref="Y50:Z50" si="16">Y49*Y48</f>
        <v>64006.507389162543</v>
      </c>
      <c r="Z50" s="301">
        <f t="shared" si="16"/>
        <v>97589.320815450643</v>
      </c>
      <c r="AA50" s="301">
        <f>AA49*AA48</f>
        <v>165601.15</v>
      </c>
      <c r="AG50" s="301">
        <f>AG49*AG48</f>
        <v>61215</v>
      </c>
      <c r="AH50" s="301">
        <f t="shared" ref="AH50:AJ50" si="17">AH49*AH48</f>
        <v>74425.531914893611</v>
      </c>
      <c r="AI50" s="301">
        <f t="shared" si="17"/>
        <v>81985</v>
      </c>
      <c r="AJ50" s="301">
        <f t="shared" si="17"/>
        <v>72187.106918238991</v>
      </c>
    </row>
    <row r="51" spans="2:36">
      <c r="B51" s="130" t="s">
        <v>257</v>
      </c>
      <c r="C51" s="115"/>
      <c r="D51" s="131">
        <v>1</v>
      </c>
      <c r="E51" s="131">
        <v>0.95</v>
      </c>
      <c r="F51" s="131">
        <v>1</v>
      </c>
      <c r="H51" s="131">
        <v>1</v>
      </c>
      <c r="I51" s="131">
        <v>0.95</v>
      </c>
      <c r="J51" s="131">
        <v>1</v>
      </c>
      <c r="P51" s="131">
        <v>1</v>
      </c>
      <c r="Q51" s="131">
        <v>1</v>
      </c>
      <c r="S51" s="131">
        <v>1.02</v>
      </c>
      <c r="T51" s="131">
        <v>1.05</v>
      </c>
      <c r="U51" s="131">
        <v>1</v>
      </c>
      <c r="X51" s="131">
        <v>1.05</v>
      </c>
      <c r="Y51" s="131">
        <v>1.05</v>
      </c>
      <c r="Z51" s="131">
        <v>1</v>
      </c>
      <c r="AA51" s="131">
        <v>1.05</v>
      </c>
      <c r="AG51" s="131">
        <v>1</v>
      </c>
      <c r="AH51" s="131">
        <v>1</v>
      </c>
      <c r="AI51" s="131">
        <v>1</v>
      </c>
      <c r="AJ51" s="131">
        <v>1</v>
      </c>
    </row>
    <row r="52" spans="2:36" ht="15">
      <c r="B52" s="132" t="s">
        <v>352</v>
      </c>
      <c r="C52" s="133"/>
      <c r="D52" s="301">
        <f>D51*D50</f>
        <v>54150</v>
      </c>
      <c r="E52" s="301">
        <f>E51*E50</f>
        <v>55246.537499999999</v>
      </c>
      <c r="F52" s="301">
        <f>F51*F50</f>
        <v>61167.306194000783</v>
      </c>
      <c r="H52" s="301">
        <f>H51*H50</f>
        <v>86924.582356389219</v>
      </c>
      <c r="I52" s="301">
        <f t="shared" ref="I52" si="18">I51*I50</f>
        <v>68372.338235294126</v>
      </c>
      <c r="J52" s="301">
        <f>J51*J50</f>
        <v>23384.777777777777</v>
      </c>
      <c r="P52" s="301">
        <f>P51*P50</f>
        <v>93462.1875</v>
      </c>
      <c r="Q52" s="301">
        <f>Q51*Q50</f>
        <v>62308.125</v>
      </c>
      <c r="S52" s="301">
        <f>S51*S50</f>
        <v>33256.665204561767</v>
      </c>
      <c r="T52" s="301">
        <f>T51*T50</f>
        <v>82294.317308355152</v>
      </c>
      <c r="U52" s="301">
        <f>U51*U50</f>
        <v>53350.923399790132</v>
      </c>
      <c r="X52" s="301">
        <f>X51*X50</f>
        <v>47302.327363138684</v>
      </c>
      <c r="Y52" s="301">
        <f t="shared" ref="Y52:Z52" si="19">Y51*Y50</f>
        <v>67206.832758620672</v>
      </c>
      <c r="Z52" s="301">
        <f t="shared" si="19"/>
        <v>97589.320815450643</v>
      </c>
      <c r="AA52" s="301">
        <f>AA51*AA50</f>
        <v>173881.20749999999</v>
      </c>
      <c r="AG52" s="301">
        <f>AG51*AG50</f>
        <v>61215</v>
      </c>
      <c r="AH52" s="301">
        <f t="shared" ref="AH52:AJ52" si="20">AH51*AH50</f>
        <v>74425.531914893611</v>
      </c>
      <c r="AI52" s="301">
        <f t="shared" si="20"/>
        <v>81985</v>
      </c>
      <c r="AJ52" s="301">
        <f t="shared" si="20"/>
        <v>72187.106918238991</v>
      </c>
    </row>
    <row r="53" spans="2:36">
      <c r="B53" s="130" t="s">
        <v>258</v>
      </c>
      <c r="C53" s="133"/>
      <c r="D53" s="131">
        <f>MROUND(D129,0.02)</f>
        <v>1.08</v>
      </c>
      <c r="E53" s="131">
        <f>MROUND(E129,0.02)</f>
        <v>1.04</v>
      </c>
      <c r="F53" s="131">
        <f>MROUND(F129,0.02)</f>
        <v>0.96</v>
      </c>
      <c r="H53" s="131">
        <f>MROUND(H129,0.02)</f>
        <v>1.48</v>
      </c>
      <c r="I53" s="131">
        <f>MROUND(I129,0.02)</f>
        <v>0.98</v>
      </c>
      <c r="J53" s="131">
        <f>MROUND(J129,0.02)</f>
        <v>0.92</v>
      </c>
      <c r="P53" s="131">
        <f>MROUND(P129,0.02)</f>
        <v>1.72</v>
      </c>
      <c r="Q53" s="131">
        <f>MROUND(Q129,0.02)</f>
        <v>0.9</v>
      </c>
      <c r="S53" s="131">
        <f>MROUND(S129,0.02)</f>
        <v>0.88</v>
      </c>
      <c r="T53" s="131">
        <f>MROUND(T129,0.02)</f>
        <v>0.98</v>
      </c>
      <c r="U53" s="131">
        <f>MROUND(U129,0.02)</f>
        <v>1.18</v>
      </c>
      <c r="X53" s="131">
        <f>MROUND(X129,0.02)</f>
        <v>0.92</v>
      </c>
      <c r="Y53" s="131">
        <f t="shared" ref="Y53:Z53" si="21">MROUND(Y129,0.02)</f>
        <v>1.72</v>
      </c>
      <c r="Z53" s="131">
        <f t="shared" si="21"/>
        <v>0.86</v>
      </c>
      <c r="AA53" s="131">
        <f>MROUND(AA129,0.02)</f>
        <v>0.94000000000000006</v>
      </c>
      <c r="AG53" s="131">
        <f t="shared" ref="AG53:AJ53" si="22">MROUND(AG129,0.02)</f>
        <v>0.84</v>
      </c>
      <c r="AH53" s="131">
        <f t="shared" si="22"/>
        <v>1.06</v>
      </c>
      <c r="AI53" s="131">
        <f t="shared" si="22"/>
        <v>0.82000000000000006</v>
      </c>
      <c r="AJ53" s="131">
        <f t="shared" si="22"/>
        <v>0.88</v>
      </c>
    </row>
    <row r="54" spans="2:36" ht="13.5" customHeight="1">
      <c r="B54" s="132" t="s">
        <v>352</v>
      </c>
      <c r="C54" s="133"/>
      <c r="D54" s="301">
        <f>D53*D52</f>
        <v>58482.000000000007</v>
      </c>
      <c r="E54" s="301">
        <f>E53*E52</f>
        <v>57456.398999999998</v>
      </c>
      <c r="F54" s="301">
        <f>F53*F52</f>
        <v>58720.613946240752</v>
      </c>
      <c r="H54" s="301">
        <f>H53*H52</f>
        <v>128648.38188745604</v>
      </c>
      <c r="I54" s="301">
        <f t="shared" ref="I54" si="23">I53*I52</f>
        <v>67004.891470588249</v>
      </c>
      <c r="J54" s="301">
        <f>J53*J52</f>
        <v>21513.995555555557</v>
      </c>
      <c r="P54" s="301">
        <f>P53*P52</f>
        <v>160754.96249999999</v>
      </c>
      <c r="Q54" s="301">
        <f>Q53*Q52</f>
        <v>56077.3125</v>
      </c>
      <c r="S54" s="301">
        <f>S53*S52</f>
        <v>29265.865380014355</v>
      </c>
      <c r="T54" s="301">
        <f>T53*T52</f>
        <v>80648.430962188053</v>
      </c>
      <c r="U54" s="301">
        <f>U53*U52</f>
        <v>62954.089611752352</v>
      </c>
      <c r="X54" s="133">
        <f>X53*X52</f>
        <v>43518.141174087592</v>
      </c>
      <c r="Y54" s="301">
        <f t="shared" ref="Y54:Z54" si="24">Y53*Y52</f>
        <v>115595.75234482756</v>
      </c>
      <c r="Z54" s="301">
        <f t="shared" si="24"/>
        <v>83926.815901287555</v>
      </c>
      <c r="AA54" s="301">
        <f>AA53*AA52</f>
        <v>163448.33504999999</v>
      </c>
      <c r="AG54" s="301">
        <f>AG53*AG52</f>
        <v>51420.6</v>
      </c>
      <c r="AH54" s="301">
        <f t="shared" ref="AH54:AJ54" si="25">AH53*AH52</f>
        <v>78891.063829787236</v>
      </c>
      <c r="AI54" s="301">
        <f t="shared" si="25"/>
        <v>67227.700000000012</v>
      </c>
      <c r="AJ54" s="301">
        <f t="shared" si="25"/>
        <v>63524.654088050309</v>
      </c>
    </row>
    <row r="55" spans="2:36">
      <c r="B55" s="130" t="s">
        <v>260</v>
      </c>
      <c r="C55" s="133"/>
      <c r="D55" s="131">
        <v>0.95</v>
      </c>
      <c r="E55" s="131">
        <v>0.95</v>
      </c>
      <c r="F55" s="131">
        <v>0.95</v>
      </c>
      <c r="H55" s="131">
        <v>0.9</v>
      </c>
      <c r="I55" s="131">
        <v>1.1499999999999999</v>
      </c>
      <c r="J55" s="122">
        <v>0.9</v>
      </c>
      <c r="P55" s="131">
        <v>0.95</v>
      </c>
      <c r="Q55" s="131">
        <v>0.95</v>
      </c>
      <c r="S55" s="131">
        <v>0.98</v>
      </c>
      <c r="T55" s="131">
        <v>0.95</v>
      </c>
      <c r="U55" s="131">
        <v>1.05</v>
      </c>
      <c r="X55" s="131">
        <v>1.1499999999999999</v>
      </c>
      <c r="Y55" s="131">
        <v>1.05</v>
      </c>
      <c r="Z55" s="122">
        <v>0.9</v>
      </c>
      <c r="AA55" s="122">
        <v>1</v>
      </c>
      <c r="AG55" s="131">
        <v>1</v>
      </c>
      <c r="AH55" s="131">
        <v>1</v>
      </c>
      <c r="AI55" s="131">
        <v>1</v>
      </c>
      <c r="AJ55" s="131">
        <v>1</v>
      </c>
    </row>
    <row r="56" spans="2:36" ht="15">
      <c r="B56" s="132" t="s">
        <v>352</v>
      </c>
      <c r="C56" s="133"/>
      <c r="D56" s="301">
        <f>D55*D54</f>
        <v>55557.9</v>
      </c>
      <c r="E56" s="301">
        <f>E55*E54</f>
        <v>54583.579049999993</v>
      </c>
      <c r="F56" s="301">
        <f>F55*F54</f>
        <v>55784.583248928713</v>
      </c>
      <c r="H56" s="301">
        <f>H55*H54</f>
        <v>115783.54369871043</v>
      </c>
      <c r="I56" s="301">
        <f t="shared" ref="I56" si="26">I55*I54</f>
        <v>77055.625191176485</v>
      </c>
      <c r="J56" s="301">
        <f>J55*J54</f>
        <v>19362.596000000001</v>
      </c>
      <c r="P56" s="301">
        <f>P55*P54</f>
        <v>152717.21437499998</v>
      </c>
      <c r="Q56" s="301">
        <f>Q55*Q54</f>
        <v>53273.446874999994</v>
      </c>
      <c r="S56" s="301">
        <f>S55*S54</f>
        <v>28680.548072414069</v>
      </c>
      <c r="T56" s="301">
        <f>T55*T54</f>
        <v>76616.009414078653</v>
      </c>
      <c r="U56" s="301">
        <f>U55*U54</f>
        <v>66101.794092339973</v>
      </c>
      <c r="X56" s="301">
        <f>X55*X54</f>
        <v>50045.862350200725</v>
      </c>
      <c r="Y56" s="301">
        <f t="shared" ref="Y56:Z56" si="27">Y55*Y54</f>
        <v>121375.53996206894</v>
      </c>
      <c r="Z56" s="301">
        <f t="shared" si="27"/>
        <v>75534.134311158807</v>
      </c>
      <c r="AA56" s="301">
        <f>AA55*AA54</f>
        <v>163448.33504999999</v>
      </c>
      <c r="AG56" s="301">
        <f>AG55*AG54</f>
        <v>51420.6</v>
      </c>
      <c r="AH56" s="301">
        <f t="shared" ref="AH56:AJ56" si="28">AH55*AH54</f>
        <v>78891.063829787236</v>
      </c>
      <c r="AI56" s="301">
        <f t="shared" si="28"/>
        <v>67227.700000000012</v>
      </c>
      <c r="AJ56" s="301">
        <f t="shared" si="28"/>
        <v>63524.654088050309</v>
      </c>
    </row>
    <row r="57" spans="2:36">
      <c r="B57" s="130" t="s">
        <v>261</v>
      </c>
      <c r="C57" s="133"/>
      <c r="D57" s="428">
        <f>Выжимка!L44</f>
        <v>1.2348993288590604</v>
      </c>
      <c r="E57" s="428">
        <f>Выжимка!M44</f>
        <v>1.4263565891472869</v>
      </c>
      <c r="F57" s="428">
        <f>E57</f>
        <v>1.4263565891472869</v>
      </c>
      <c r="H57" s="131">
        <v>1</v>
      </c>
      <c r="I57" s="131">
        <v>0.9</v>
      </c>
      <c r="J57" s="122">
        <v>1.1000000000000001</v>
      </c>
      <c r="P57" s="131">
        <v>1</v>
      </c>
      <c r="Q57" s="131">
        <v>1</v>
      </c>
      <c r="S57" s="131">
        <v>0.95</v>
      </c>
      <c r="T57" s="131">
        <v>1.05</v>
      </c>
      <c r="U57" s="131">
        <v>1</v>
      </c>
      <c r="X57" s="131">
        <v>1</v>
      </c>
      <c r="Y57" s="131">
        <v>1.05</v>
      </c>
      <c r="Z57" s="131">
        <v>1.05</v>
      </c>
      <c r="AA57" s="122">
        <v>1</v>
      </c>
      <c r="AG57" s="131">
        <v>1</v>
      </c>
      <c r="AH57" s="131">
        <v>1</v>
      </c>
      <c r="AI57" s="131">
        <v>1</v>
      </c>
      <c r="AJ57" s="131">
        <v>1</v>
      </c>
    </row>
    <row r="58" spans="2:36" s="300" customFormat="1" ht="15" hidden="1" outlineLevel="1">
      <c r="B58" s="123" t="s">
        <v>352</v>
      </c>
      <c r="C58" s="124"/>
      <c r="D58" s="301">
        <f>D57*D56</f>
        <v>68608.41342281879</v>
      </c>
      <c r="E58" s="301">
        <f>E57*E56</f>
        <v>77855.647637209302</v>
      </c>
      <c r="F58" s="301">
        <f>F57*F56</f>
        <v>79568.707889944839</v>
      </c>
      <c r="H58" s="301">
        <f>H57*H56</f>
        <v>115783.54369871043</v>
      </c>
      <c r="I58" s="302">
        <f t="shared" ref="I58" si="29">I57*I56</f>
        <v>69350.062672058833</v>
      </c>
      <c r="J58" s="302">
        <f>J57*J56</f>
        <v>21298.855600000003</v>
      </c>
      <c r="P58" s="302">
        <f>P57*P56</f>
        <v>152717.21437499998</v>
      </c>
      <c r="Q58" s="302">
        <f>Q57*Q56</f>
        <v>53273.446874999994</v>
      </c>
      <c r="S58" s="302">
        <f>S57*S56</f>
        <v>27246.520668793364</v>
      </c>
      <c r="T58" s="302">
        <f>T57*T56</f>
        <v>80446.80988478259</v>
      </c>
      <c r="U58" s="302">
        <f>U57*U56</f>
        <v>66101.794092339973</v>
      </c>
      <c r="X58" s="302">
        <f>X57*X56</f>
        <v>50045.862350200725</v>
      </c>
      <c r="Y58" s="302">
        <f t="shared" ref="Y58:Z58" si="30">Y57*Y56</f>
        <v>127444.31696017239</v>
      </c>
      <c r="Z58" s="302">
        <f t="shared" si="30"/>
        <v>79310.841026716749</v>
      </c>
      <c r="AA58" s="302">
        <f>AA57*AA56</f>
        <v>163448.33504999999</v>
      </c>
      <c r="AG58" s="302">
        <f>AG57*AG56</f>
        <v>51420.6</v>
      </c>
      <c r="AH58" s="302">
        <f t="shared" ref="AH58:AJ58" si="31">AH57*AH56</f>
        <v>78891.063829787236</v>
      </c>
      <c r="AI58" s="302">
        <f t="shared" si="31"/>
        <v>67227.700000000012</v>
      </c>
      <c r="AJ58" s="302">
        <f t="shared" si="31"/>
        <v>63524.654088050309</v>
      </c>
    </row>
    <row r="59" spans="2:36" s="300" customFormat="1" hidden="1" outlineLevel="1">
      <c r="B59" s="120" t="s">
        <v>575</v>
      </c>
      <c r="C59" s="124"/>
      <c r="D59" s="131">
        <v>1</v>
      </c>
      <c r="E59" s="131">
        <v>1</v>
      </c>
      <c r="F59" s="131">
        <v>1</v>
      </c>
      <c r="H59" s="131">
        <v>1</v>
      </c>
      <c r="I59" s="122">
        <v>1</v>
      </c>
      <c r="J59" s="122">
        <v>1</v>
      </c>
      <c r="P59" s="122">
        <v>1</v>
      </c>
      <c r="Q59" s="122">
        <v>1</v>
      </c>
      <c r="S59" s="122">
        <v>1</v>
      </c>
      <c r="T59" s="122">
        <v>1</v>
      </c>
      <c r="U59" s="122">
        <v>1</v>
      </c>
      <c r="X59" s="122">
        <v>1</v>
      </c>
      <c r="Y59" s="122">
        <v>1</v>
      </c>
      <c r="Z59" s="122">
        <v>1</v>
      </c>
      <c r="AA59" s="122">
        <v>1</v>
      </c>
      <c r="AG59" s="122">
        <v>1</v>
      </c>
      <c r="AH59" s="122">
        <v>1</v>
      </c>
      <c r="AI59" s="122">
        <v>1</v>
      </c>
      <c r="AJ59" s="122">
        <v>1</v>
      </c>
    </row>
    <row r="60" spans="2:36" ht="15" collapsed="1">
      <c r="B60" s="132" t="s">
        <v>352</v>
      </c>
      <c r="C60" s="133"/>
      <c r="D60" s="301">
        <f>D59*D58</f>
        <v>68608.41342281879</v>
      </c>
      <c r="E60" s="301">
        <f>E59*E58</f>
        <v>77855.647637209302</v>
      </c>
      <c r="F60" s="301">
        <f>F59*F58</f>
        <v>79568.707889944839</v>
      </c>
      <c r="H60" s="301">
        <f>H59*H58</f>
        <v>115783.54369871043</v>
      </c>
      <c r="I60" s="301">
        <f t="shared" ref="I60" si="32">I59*I58</f>
        <v>69350.062672058833</v>
      </c>
      <c r="J60" s="301">
        <f>J59*J58</f>
        <v>21298.855600000003</v>
      </c>
      <c r="P60" s="301">
        <f>P59*P58</f>
        <v>152717.21437499998</v>
      </c>
      <c r="Q60" s="301">
        <f>Q59*Q58</f>
        <v>53273.446874999994</v>
      </c>
      <c r="S60" s="301">
        <f>S59*S58</f>
        <v>27246.520668793364</v>
      </c>
      <c r="T60" s="301">
        <f>T59*T58</f>
        <v>80446.80988478259</v>
      </c>
      <c r="U60" s="301">
        <f>U59*U58</f>
        <v>66101.794092339973</v>
      </c>
      <c r="X60" s="301">
        <f>X59*X58</f>
        <v>50045.862350200725</v>
      </c>
      <c r="Y60" s="301">
        <f t="shared" ref="Y60:Z60" si="33">Y59*Y58</f>
        <v>127444.31696017239</v>
      </c>
      <c r="Z60" s="301">
        <f t="shared" si="33"/>
        <v>79310.841026716749</v>
      </c>
      <c r="AA60" s="301">
        <f>AA59*AA58</f>
        <v>163448.33504999999</v>
      </c>
      <c r="AG60" s="301">
        <f>AG59*AG58</f>
        <v>51420.6</v>
      </c>
      <c r="AH60" s="301">
        <f t="shared" ref="AH60:AJ60" si="34">AH59*AH58</f>
        <v>78891.063829787236</v>
      </c>
      <c r="AI60" s="301">
        <f t="shared" si="34"/>
        <v>67227.700000000012</v>
      </c>
      <c r="AJ60" s="301">
        <f t="shared" si="34"/>
        <v>63524.654088050309</v>
      </c>
    </row>
    <row r="61" spans="2:36">
      <c r="B61" s="130" t="s">
        <v>262</v>
      </c>
      <c r="C61" s="115"/>
      <c r="D61" s="131">
        <v>1</v>
      </c>
      <c r="E61" s="131">
        <v>1</v>
      </c>
      <c r="F61" s="131">
        <v>1</v>
      </c>
      <c r="H61" s="131">
        <v>1</v>
      </c>
      <c r="I61" s="131">
        <v>1</v>
      </c>
      <c r="J61" s="131">
        <v>1.02</v>
      </c>
      <c r="P61" s="131">
        <v>1</v>
      </c>
      <c r="Q61" s="131">
        <v>1</v>
      </c>
      <c r="S61" s="131">
        <v>0.98</v>
      </c>
      <c r="T61" s="131">
        <v>1</v>
      </c>
      <c r="U61" s="131">
        <v>1</v>
      </c>
      <c r="X61" s="131">
        <v>0.95</v>
      </c>
      <c r="Y61" s="131">
        <v>1</v>
      </c>
      <c r="Z61" s="131">
        <v>1</v>
      </c>
      <c r="AA61" s="122">
        <v>1</v>
      </c>
      <c r="AG61" s="131">
        <v>1</v>
      </c>
      <c r="AH61" s="131">
        <v>1</v>
      </c>
      <c r="AI61" s="131">
        <v>1</v>
      </c>
      <c r="AJ61" s="131">
        <v>1</v>
      </c>
    </row>
    <row r="62" spans="2:36" ht="15">
      <c r="B62" s="132" t="s">
        <v>352</v>
      </c>
      <c r="C62" s="133"/>
      <c r="D62" s="301">
        <f>D61*D60</f>
        <v>68608.41342281879</v>
      </c>
      <c r="E62" s="301">
        <f>E61*E60</f>
        <v>77855.647637209302</v>
      </c>
      <c r="F62" s="301">
        <f>F61*F60</f>
        <v>79568.707889944839</v>
      </c>
      <c r="H62" s="301">
        <f>H61*H60</f>
        <v>115783.54369871043</v>
      </c>
      <c r="I62" s="301">
        <f t="shared" ref="I62" si="35">I61*I60</f>
        <v>69350.062672058833</v>
      </c>
      <c r="J62" s="301">
        <f>J61*J60</f>
        <v>21724.832712000003</v>
      </c>
      <c r="P62" s="301">
        <f>P61*P60</f>
        <v>152717.21437499998</v>
      </c>
      <c r="Q62" s="301">
        <f>Q61*Q60</f>
        <v>53273.446874999994</v>
      </c>
      <c r="S62" s="301">
        <f>S61*S60</f>
        <v>26701.590255417497</v>
      </c>
      <c r="T62" s="301">
        <f>T61*T60</f>
        <v>80446.80988478259</v>
      </c>
      <c r="U62" s="301">
        <f>U61*U60</f>
        <v>66101.794092339973</v>
      </c>
      <c r="X62" s="301">
        <f>X61*X60</f>
        <v>47543.569232690686</v>
      </c>
      <c r="Y62" s="301">
        <f t="shared" ref="Y62:Z62" si="36">Y61*Y60</f>
        <v>127444.31696017239</v>
      </c>
      <c r="Z62" s="301">
        <f t="shared" si="36"/>
        <v>79310.841026716749</v>
      </c>
      <c r="AA62" s="301">
        <f>AA61*AA60</f>
        <v>163448.33504999999</v>
      </c>
      <c r="AG62" s="301">
        <f>AG61*AG60</f>
        <v>51420.6</v>
      </c>
      <c r="AH62" s="301">
        <f t="shared" ref="AH62:AJ62" si="37">AH61*AH60</f>
        <v>78891.063829787236</v>
      </c>
      <c r="AI62" s="301">
        <f t="shared" si="37"/>
        <v>67227.700000000012</v>
      </c>
      <c r="AJ62" s="301">
        <f t="shared" si="37"/>
        <v>63524.654088050309</v>
      </c>
    </row>
    <row r="63" spans="2:36">
      <c r="B63" s="130" t="s">
        <v>265</v>
      </c>
      <c r="C63" s="115"/>
      <c r="D63" s="131">
        <v>0.98</v>
      </c>
      <c r="E63" s="131">
        <v>1</v>
      </c>
      <c r="F63" s="131">
        <v>0.98</v>
      </c>
      <c r="H63" s="131">
        <v>1.02</v>
      </c>
      <c r="I63" s="131">
        <v>1</v>
      </c>
      <c r="J63" s="131">
        <v>0.98</v>
      </c>
      <c r="P63" s="131">
        <v>0.95</v>
      </c>
      <c r="Q63" s="131">
        <v>0.95</v>
      </c>
      <c r="S63" s="131">
        <v>1.02</v>
      </c>
      <c r="T63" s="131">
        <v>1.1200000000000001</v>
      </c>
      <c r="U63" s="131">
        <v>1.1000000000000001</v>
      </c>
      <c r="X63" s="131">
        <v>1.1000000000000001</v>
      </c>
      <c r="Y63" s="131">
        <v>1.05</v>
      </c>
      <c r="Z63" s="131">
        <v>1.1000000000000001</v>
      </c>
      <c r="AA63" s="131">
        <v>1</v>
      </c>
      <c r="AG63" s="131">
        <v>1</v>
      </c>
      <c r="AH63" s="131">
        <v>1</v>
      </c>
      <c r="AI63" s="131">
        <v>1</v>
      </c>
      <c r="AJ63" s="131">
        <v>1</v>
      </c>
    </row>
    <row r="64" spans="2:36" ht="15">
      <c r="B64" s="132" t="s">
        <v>352</v>
      </c>
      <c r="C64" s="133"/>
      <c r="D64" s="301">
        <f>D63*D62</f>
        <v>67236.245154362419</v>
      </c>
      <c r="E64" s="301">
        <f>E63*E62</f>
        <v>77855.647637209302</v>
      </c>
      <c r="F64" s="301">
        <f>F63*F62</f>
        <v>77977.33373214594</v>
      </c>
      <c r="H64" s="301">
        <f>H63*H62</f>
        <v>118099.21457268465</v>
      </c>
      <c r="I64" s="301">
        <f t="shared" ref="I64" si="38">I63*I62</f>
        <v>69350.062672058833</v>
      </c>
      <c r="J64" s="301">
        <f>J63*J62</f>
        <v>21290.336057760003</v>
      </c>
      <c r="P64" s="301">
        <f>P63*P62</f>
        <v>145081.35365624996</v>
      </c>
      <c r="Q64" s="301">
        <f>Q63*Q62</f>
        <v>50609.77453124999</v>
      </c>
      <c r="S64" s="301">
        <f>S63*S62</f>
        <v>27235.622060525846</v>
      </c>
      <c r="T64" s="301">
        <f>T63*T62</f>
        <v>90100.427070956503</v>
      </c>
      <c r="U64" s="301">
        <f>U63*U62</f>
        <v>72711.973501573972</v>
      </c>
      <c r="X64" s="301">
        <f>X63*X62</f>
        <v>52297.926155959758</v>
      </c>
      <c r="Y64" s="301">
        <f t="shared" ref="Y64:Z64" si="39">Y63*Y62</f>
        <v>133816.53280818101</v>
      </c>
      <c r="Z64" s="301">
        <f t="shared" si="39"/>
        <v>87241.92512938843</v>
      </c>
      <c r="AA64" s="301">
        <f>AA63*AA62</f>
        <v>163448.33504999999</v>
      </c>
      <c r="AG64" s="301">
        <f>AG63*AG62</f>
        <v>51420.6</v>
      </c>
      <c r="AH64" s="301">
        <f t="shared" ref="AH64:AJ64" si="40">AH63*AH62</f>
        <v>78891.063829787236</v>
      </c>
      <c r="AI64" s="301">
        <f t="shared" si="40"/>
        <v>67227.700000000012</v>
      </c>
      <c r="AJ64" s="301">
        <f t="shared" si="40"/>
        <v>63524.654088050309</v>
      </c>
    </row>
    <row r="65" spans="2:36">
      <c r="B65" s="130" t="s">
        <v>266</v>
      </c>
      <c r="C65" s="115"/>
      <c r="D65" s="131">
        <f>D140</f>
        <v>0.94000000000000006</v>
      </c>
      <c r="E65" s="131">
        <f>E140</f>
        <v>0.96</v>
      </c>
      <c r="F65" s="131">
        <f>F140</f>
        <v>0.88</v>
      </c>
      <c r="H65" s="131">
        <f>H140</f>
        <v>0.98</v>
      </c>
      <c r="I65" s="131">
        <f>I140</f>
        <v>0.76</v>
      </c>
      <c r="J65" s="131">
        <f>J140</f>
        <v>1.24</v>
      </c>
      <c r="P65" s="131">
        <f>P140</f>
        <v>1.06</v>
      </c>
      <c r="Q65" s="131">
        <f>Q140</f>
        <v>0.88</v>
      </c>
      <c r="S65" s="131">
        <f>S140</f>
        <v>1.32</v>
      </c>
      <c r="T65" s="131">
        <f>T140</f>
        <v>0.84</v>
      </c>
      <c r="U65" s="131">
        <f>U140</f>
        <v>1.1000000000000001</v>
      </c>
      <c r="X65" s="131">
        <f>X140</f>
        <v>0.96</v>
      </c>
      <c r="Y65" s="131">
        <f t="shared" ref="Y65:Z65" si="41">Y140</f>
        <v>1.08</v>
      </c>
      <c r="Z65" s="131">
        <f t="shared" si="41"/>
        <v>0.96</v>
      </c>
      <c r="AA65" s="131">
        <f>AA140</f>
        <v>0.64</v>
      </c>
      <c r="AG65" s="131">
        <f t="shared" ref="AG65:AJ65" si="42">AG140</f>
        <v>1.08</v>
      </c>
      <c r="AH65" s="131">
        <f t="shared" si="42"/>
        <v>1.02</v>
      </c>
      <c r="AI65" s="131">
        <f t="shared" si="42"/>
        <v>1.06</v>
      </c>
      <c r="AJ65" s="131">
        <f t="shared" si="42"/>
        <v>0.94000000000000006</v>
      </c>
    </row>
    <row r="66" spans="2:36" ht="15">
      <c r="B66" s="132" t="s">
        <v>352</v>
      </c>
      <c r="C66" s="133"/>
      <c r="D66" s="301">
        <f>D65*D64</f>
        <v>63202.070445100675</v>
      </c>
      <c r="E66" s="301">
        <f>E65*E64</f>
        <v>74741.421731720926</v>
      </c>
      <c r="F66" s="301">
        <f>F65*F64</f>
        <v>68620.053684288432</v>
      </c>
      <c r="H66" s="301">
        <f>H65*H64</f>
        <v>115737.23028123095</v>
      </c>
      <c r="I66" s="301">
        <f t="shared" ref="I66" si="43">I65*I64</f>
        <v>52706.047630764711</v>
      </c>
      <c r="J66" s="301">
        <f>J65*J64</f>
        <v>26400.016711622404</v>
      </c>
      <c r="P66" s="301">
        <f>P65*P64</f>
        <v>153786.23487562497</v>
      </c>
      <c r="Q66" s="301">
        <f>Q65*Q64</f>
        <v>44536.601587499994</v>
      </c>
      <c r="S66" s="301">
        <f>S65*S64</f>
        <v>35951.021119894118</v>
      </c>
      <c r="T66" s="301">
        <f>T65*T64</f>
        <v>75684.358739603456</v>
      </c>
      <c r="U66" s="301">
        <f>U65*U64</f>
        <v>79983.170851731382</v>
      </c>
      <c r="X66" s="301">
        <f>X65*X64</f>
        <v>50206.009109721366</v>
      </c>
      <c r="Y66" s="301">
        <f t="shared" ref="Y66:Z66" si="44">Y65*Y64</f>
        <v>144521.85543283549</v>
      </c>
      <c r="Z66" s="301">
        <f t="shared" si="44"/>
        <v>83752.248124212885</v>
      </c>
      <c r="AA66" s="301">
        <f>AA65*AA64</f>
        <v>104606.93443199999</v>
      </c>
      <c r="AG66" s="301">
        <f>AG65*AG64</f>
        <v>55534.248</v>
      </c>
      <c r="AH66" s="301">
        <f t="shared" ref="AH66:AJ66" si="45">AH65*AH64</f>
        <v>80468.885106382979</v>
      </c>
      <c r="AI66" s="301">
        <f t="shared" si="45"/>
        <v>71261.362000000023</v>
      </c>
      <c r="AJ66" s="301">
        <f t="shared" si="45"/>
        <v>59713.174842767294</v>
      </c>
    </row>
    <row r="67" spans="2:36">
      <c r="B67" s="130" t="s">
        <v>267</v>
      </c>
      <c r="C67" s="115"/>
      <c r="D67" s="131">
        <v>1</v>
      </c>
      <c r="E67" s="131">
        <v>0.85</v>
      </c>
      <c r="F67" s="131">
        <v>0.95</v>
      </c>
      <c r="H67" s="131">
        <v>0.8</v>
      </c>
      <c r="I67" s="131">
        <v>0.85</v>
      </c>
      <c r="J67" s="131">
        <v>0.95</v>
      </c>
      <c r="P67" s="131">
        <v>0.98</v>
      </c>
      <c r="Q67" s="131">
        <v>0.98</v>
      </c>
      <c r="S67" s="131">
        <v>0.85</v>
      </c>
      <c r="T67" s="131">
        <v>0.9</v>
      </c>
      <c r="U67" s="131">
        <v>0.9</v>
      </c>
      <c r="X67" s="122">
        <v>0.9</v>
      </c>
      <c r="Y67" s="131">
        <v>0.9</v>
      </c>
      <c r="Z67" s="131">
        <v>0.85</v>
      </c>
      <c r="AA67" s="131">
        <v>0.92</v>
      </c>
      <c r="AG67" s="131">
        <v>1</v>
      </c>
      <c r="AH67" s="131">
        <v>1</v>
      </c>
      <c r="AI67" s="131">
        <v>1</v>
      </c>
      <c r="AJ67" s="131">
        <v>1</v>
      </c>
    </row>
    <row r="68" spans="2:36" ht="15">
      <c r="B68" s="132" t="s">
        <v>352</v>
      </c>
      <c r="C68" s="134"/>
      <c r="D68" s="301">
        <f>D67*D66</f>
        <v>63202.070445100675</v>
      </c>
      <c r="E68" s="301">
        <f>E67*E66</f>
        <v>63530.208471962782</v>
      </c>
      <c r="F68" s="301">
        <f>F67*F66</f>
        <v>65189.051000074011</v>
      </c>
      <c r="H68" s="301">
        <f>H67*H66</f>
        <v>92589.78422498476</v>
      </c>
      <c r="I68" s="301">
        <f t="shared" ref="I68" si="46">I67*I66</f>
        <v>44800.140486150005</v>
      </c>
      <c r="J68" s="301">
        <f>J67*J66</f>
        <v>25080.015876041281</v>
      </c>
      <c r="P68" s="301">
        <f>P67*P66</f>
        <v>150710.51017811245</v>
      </c>
      <c r="Q68" s="301">
        <f>Q67*Q66</f>
        <v>43645.869555749996</v>
      </c>
      <c r="S68" s="301">
        <f>S67*S66</f>
        <v>30558.367951910001</v>
      </c>
      <c r="T68" s="301">
        <f>T67*T66</f>
        <v>68115.922865643108</v>
      </c>
      <c r="U68" s="301">
        <f>U67*U66</f>
        <v>71984.853766558241</v>
      </c>
      <c r="X68" s="301">
        <f>X67*X66</f>
        <v>45185.408198749232</v>
      </c>
      <c r="Y68" s="301">
        <f t="shared" ref="Y68:Z68" si="47">Y67*Y66</f>
        <v>130069.66988955195</v>
      </c>
      <c r="Z68" s="301">
        <f t="shared" si="47"/>
        <v>71189.410905580953</v>
      </c>
      <c r="AA68" s="301">
        <f>AA67*AA66</f>
        <v>96238.379677439996</v>
      </c>
      <c r="AG68" s="301">
        <f>AG67*AG66</f>
        <v>55534.248</v>
      </c>
      <c r="AH68" s="301">
        <f t="shared" ref="AH68:AJ68" si="48">AH67*AH66</f>
        <v>80468.885106382979</v>
      </c>
      <c r="AI68" s="301">
        <f t="shared" si="48"/>
        <v>71261.362000000023</v>
      </c>
      <c r="AJ68" s="301">
        <f t="shared" si="48"/>
        <v>59713.174842767294</v>
      </c>
    </row>
    <row r="69" spans="2:36">
      <c r="B69" s="130" t="s">
        <v>576</v>
      </c>
      <c r="C69" s="134"/>
      <c r="D69" s="131">
        <v>1</v>
      </c>
      <c r="E69" s="131">
        <v>1</v>
      </c>
      <c r="F69" s="131">
        <v>1</v>
      </c>
      <c r="H69" s="131">
        <v>1</v>
      </c>
      <c r="I69" s="131">
        <v>1</v>
      </c>
      <c r="J69" s="131">
        <v>1</v>
      </c>
      <c r="P69" s="131">
        <v>1</v>
      </c>
      <c r="Q69" s="131">
        <v>1</v>
      </c>
      <c r="S69" s="131">
        <v>1</v>
      </c>
      <c r="T69" s="131">
        <v>1</v>
      </c>
      <c r="U69" s="131">
        <v>1</v>
      </c>
      <c r="X69" s="131">
        <v>1</v>
      </c>
      <c r="Y69" s="131">
        <v>1</v>
      </c>
      <c r="Z69" s="131">
        <v>1</v>
      </c>
      <c r="AA69" s="131">
        <v>1</v>
      </c>
      <c r="AG69" s="131">
        <v>1</v>
      </c>
      <c r="AH69" s="131">
        <v>1</v>
      </c>
      <c r="AI69" s="131">
        <v>1</v>
      </c>
      <c r="AJ69" s="131">
        <v>1</v>
      </c>
    </row>
    <row r="70" spans="2:36" s="300" customFormat="1" ht="15" hidden="1" outlineLevel="1">
      <c r="B70" s="123" t="s">
        <v>352</v>
      </c>
      <c r="C70" s="358"/>
      <c r="D70" s="301">
        <f>D69*D68</f>
        <v>63202.070445100675</v>
      </c>
      <c r="E70" s="301">
        <f>E69*E68</f>
        <v>63530.208471962782</v>
      </c>
      <c r="F70" s="301">
        <f>F69*F68</f>
        <v>65189.051000074011</v>
      </c>
      <c r="H70" s="301">
        <f>H69*H68</f>
        <v>92589.78422498476</v>
      </c>
      <c r="I70" s="302">
        <f t="shared" ref="I70" si="49">I69*I68</f>
        <v>44800.140486150005</v>
      </c>
      <c r="J70" s="302">
        <f>J69*J68</f>
        <v>25080.015876041281</v>
      </c>
      <c r="P70" s="302">
        <f>P69*P68</f>
        <v>150710.51017811245</v>
      </c>
      <c r="Q70" s="302">
        <f>Q69*Q68</f>
        <v>43645.869555749996</v>
      </c>
      <c r="S70" s="302">
        <f>S69*S68</f>
        <v>30558.367951910001</v>
      </c>
      <c r="T70" s="302">
        <f>T69*T68</f>
        <v>68115.922865643108</v>
      </c>
      <c r="U70" s="302">
        <f>U69*U68</f>
        <v>71984.853766558241</v>
      </c>
      <c r="X70" s="302">
        <f>X69*X68</f>
        <v>45185.408198749232</v>
      </c>
      <c r="Y70" s="302">
        <f t="shared" ref="Y70:Z70" si="50">Y69*Y68</f>
        <v>130069.66988955195</v>
      </c>
      <c r="Z70" s="302">
        <f t="shared" si="50"/>
        <v>71189.410905580953</v>
      </c>
      <c r="AA70" s="302">
        <f>AA69*AA68</f>
        <v>96238.379677439996</v>
      </c>
      <c r="AG70" s="302">
        <f>AG69*AG68</f>
        <v>55534.248</v>
      </c>
      <c r="AH70" s="302">
        <f t="shared" ref="AH70:AJ70" si="51">AH69*AH68</f>
        <v>80468.885106382979</v>
      </c>
      <c r="AI70" s="302">
        <f t="shared" si="51"/>
        <v>71261.362000000023</v>
      </c>
      <c r="AJ70" s="302">
        <f t="shared" si="51"/>
        <v>59713.174842767294</v>
      </c>
    </row>
    <row r="71" spans="2:36" s="300" customFormat="1" hidden="1" outlineLevel="1">
      <c r="B71" s="120" t="s">
        <v>577</v>
      </c>
      <c r="C71" s="358"/>
      <c r="D71" s="131">
        <v>1</v>
      </c>
      <c r="E71" s="131">
        <v>1</v>
      </c>
      <c r="F71" s="131">
        <v>1</v>
      </c>
      <c r="H71" s="131">
        <v>1</v>
      </c>
      <c r="I71" s="122">
        <v>1</v>
      </c>
      <c r="J71" s="122">
        <v>1</v>
      </c>
      <c r="P71" s="122">
        <v>1</v>
      </c>
      <c r="Q71" s="122">
        <v>1</v>
      </c>
      <c r="S71" s="122">
        <v>1</v>
      </c>
      <c r="T71" s="122">
        <v>1</v>
      </c>
      <c r="U71" s="122">
        <v>1</v>
      </c>
      <c r="X71" s="122">
        <v>1</v>
      </c>
      <c r="Y71" s="122">
        <v>1</v>
      </c>
      <c r="Z71" s="122">
        <v>1</v>
      </c>
      <c r="AA71" s="122">
        <v>1</v>
      </c>
      <c r="AG71" s="122">
        <v>1</v>
      </c>
      <c r="AH71" s="122">
        <v>1</v>
      </c>
      <c r="AI71" s="122">
        <v>1</v>
      </c>
      <c r="AJ71" s="122">
        <v>1</v>
      </c>
    </row>
    <row r="72" spans="2:36" ht="15" collapsed="1">
      <c r="B72" s="132" t="s">
        <v>352</v>
      </c>
      <c r="C72" s="134"/>
      <c r="D72" s="301">
        <f>D71*D70</f>
        <v>63202.070445100675</v>
      </c>
      <c r="E72" s="301">
        <f>E71*E70</f>
        <v>63530.208471962782</v>
      </c>
      <c r="F72" s="301">
        <f>F71*F70</f>
        <v>65189.051000074011</v>
      </c>
      <c r="H72" s="301">
        <f>H71*H70</f>
        <v>92589.78422498476</v>
      </c>
      <c r="I72" s="301">
        <f t="shared" ref="I72" si="52">I71*I70</f>
        <v>44800.140486150005</v>
      </c>
      <c r="J72" s="301">
        <f>J71*J70</f>
        <v>25080.015876041281</v>
      </c>
      <c r="P72" s="301">
        <f>P71*P70</f>
        <v>150710.51017811245</v>
      </c>
      <c r="Q72" s="301">
        <f>Q71*Q70</f>
        <v>43645.869555749996</v>
      </c>
      <c r="S72" s="301">
        <f>S71*S70</f>
        <v>30558.367951910001</v>
      </c>
      <c r="T72" s="301">
        <f>T71*T70</f>
        <v>68115.922865643108</v>
      </c>
      <c r="U72" s="301">
        <f>U71*U70</f>
        <v>71984.853766558241</v>
      </c>
      <c r="X72" s="301">
        <f>X71*X70</f>
        <v>45185.408198749232</v>
      </c>
      <c r="Y72" s="301">
        <f t="shared" ref="Y72:Z72" si="53">Y71*Y70</f>
        <v>130069.66988955195</v>
      </c>
      <c r="Z72" s="301">
        <f t="shared" si="53"/>
        <v>71189.410905580953</v>
      </c>
      <c r="AA72" s="301">
        <f>AA71*AA70</f>
        <v>96238.379677439996</v>
      </c>
      <c r="AG72" s="301">
        <f>AG71*AG70</f>
        <v>55534.248</v>
      </c>
      <c r="AH72" s="301">
        <f t="shared" ref="AH72:AJ72" si="54">AH71*AH70</f>
        <v>80468.885106382979</v>
      </c>
      <c r="AI72" s="301">
        <f t="shared" si="54"/>
        <v>71261.362000000023</v>
      </c>
      <c r="AJ72" s="301">
        <f t="shared" si="54"/>
        <v>59713.174842767294</v>
      </c>
    </row>
    <row r="73" spans="2:36">
      <c r="B73" s="130" t="s">
        <v>578</v>
      </c>
      <c r="C73" s="134"/>
      <c r="D73" s="131">
        <v>1.1499999999999999</v>
      </c>
      <c r="E73" s="131">
        <v>1.1499999999999999</v>
      </c>
      <c r="F73" s="131">
        <v>1.1499999999999999</v>
      </c>
      <c r="H73" s="131">
        <v>1.1499999999999999</v>
      </c>
      <c r="I73" s="131">
        <v>1.1000000000000001</v>
      </c>
      <c r="J73" s="131">
        <v>1.1499999999999999</v>
      </c>
      <c r="P73" s="131">
        <v>1.02</v>
      </c>
      <c r="Q73" s="131">
        <v>1.02</v>
      </c>
      <c r="S73" s="131">
        <v>1.05</v>
      </c>
      <c r="T73" s="131">
        <v>1</v>
      </c>
      <c r="U73" s="131">
        <v>1</v>
      </c>
      <c r="X73" s="131">
        <v>0.95</v>
      </c>
      <c r="Y73" s="131">
        <v>1</v>
      </c>
      <c r="Z73" s="131">
        <v>1</v>
      </c>
      <c r="AA73" s="131">
        <v>0.95</v>
      </c>
      <c r="AG73" s="131">
        <v>1</v>
      </c>
      <c r="AH73" s="131">
        <v>1</v>
      </c>
      <c r="AI73" s="131">
        <v>1</v>
      </c>
      <c r="AJ73" s="131">
        <v>1</v>
      </c>
    </row>
    <row r="74" spans="2:36" ht="15">
      <c r="B74" s="132" t="s">
        <v>352</v>
      </c>
      <c r="C74" s="134"/>
      <c r="D74" s="301">
        <f>D73*D72</f>
        <v>72682.381011865771</v>
      </c>
      <c r="E74" s="301">
        <f>E73*E72</f>
        <v>73059.7397427572</v>
      </c>
      <c r="F74" s="301">
        <f>F73*F72</f>
        <v>74967.408650085112</v>
      </c>
      <c r="H74" s="301">
        <f>H73*H72</f>
        <v>106478.25185873246</v>
      </c>
      <c r="I74" s="301">
        <f t="shared" ref="I74" si="55">I73*I72</f>
        <v>49280.15453476501</v>
      </c>
      <c r="J74" s="301">
        <f>J73*J72</f>
        <v>28842.018257447471</v>
      </c>
      <c r="P74" s="301">
        <f>P73*P72</f>
        <v>153724.72038167471</v>
      </c>
      <c r="Q74" s="301">
        <f>Q73*Q72</f>
        <v>44518.786946864995</v>
      </c>
      <c r="S74" s="301">
        <f>S73*S72</f>
        <v>32086.286349505503</v>
      </c>
      <c r="T74" s="301">
        <f>T73*T72</f>
        <v>68115.922865643108</v>
      </c>
      <c r="U74" s="301">
        <f>U73*U72</f>
        <v>71984.853766558241</v>
      </c>
      <c r="X74" s="301">
        <f>X73*X72</f>
        <v>42926.137788811771</v>
      </c>
      <c r="Y74" s="301">
        <f t="shared" ref="Y74:Z74" si="56">Y73*Y72</f>
        <v>130069.66988955195</v>
      </c>
      <c r="Z74" s="301">
        <f t="shared" si="56"/>
        <v>71189.410905580953</v>
      </c>
      <c r="AA74" s="301">
        <f>AA73*AA72</f>
        <v>91426.460693567991</v>
      </c>
      <c r="AG74" s="301">
        <f>AG73*AG72</f>
        <v>55534.248</v>
      </c>
      <c r="AH74" s="301">
        <f t="shared" ref="AH74:AJ74" si="57">AH73*AH72</f>
        <v>80468.885106382979</v>
      </c>
      <c r="AI74" s="301">
        <f t="shared" si="57"/>
        <v>71261.362000000023</v>
      </c>
      <c r="AJ74" s="301">
        <f t="shared" si="57"/>
        <v>59713.174842767294</v>
      </c>
    </row>
    <row r="75" spans="2:36">
      <c r="B75" s="130" t="s">
        <v>579</v>
      </c>
      <c r="C75" s="134"/>
      <c r="D75" s="131">
        <v>1.1000000000000001</v>
      </c>
      <c r="E75" s="131">
        <v>1.1000000000000001</v>
      </c>
      <c r="F75" s="131">
        <v>1.1200000000000001</v>
      </c>
      <c r="H75" s="131">
        <v>1.1200000000000001</v>
      </c>
      <c r="I75" s="131">
        <v>1.1000000000000001</v>
      </c>
      <c r="J75" s="131">
        <v>1.1000000000000001</v>
      </c>
      <c r="P75" s="131">
        <v>1</v>
      </c>
      <c r="Q75" s="131">
        <v>1</v>
      </c>
      <c r="S75" s="131">
        <v>0.98</v>
      </c>
      <c r="T75" s="131">
        <v>1</v>
      </c>
      <c r="U75" s="131">
        <v>1.05</v>
      </c>
      <c r="X75" s="131">
        <v>1.05</v>
      </c>
      <c r="Y75" s="131">
        <v>1.05</v>
      </c>
      <c r="Z75" s="131">
        <v>1.05</v>
      </c>
      <c r="AA75" s="131">
        <v>1.05</v>
      </c>
      <c r="AG75" s="131">
        <v>1.1000000000000001</v>
      </c>
      <c r="AH75" s="131">
        <v>1.1499999999999999</v>
      </c>
      <c r="AI75" s="131">
        <v>1.2</v>
      </c>
      <c r="AJ75" s="131">
        <v>1.25</v>
      </c>
    </row>
    <row r="76" spans="2:36" ht="15">
      <c r="B76" s="132" t="s">
        <v>352</v>
      </c>
      <c r="C76" s="134"/>
      <c r="D76" s="133">
        <f>D74*D75</f>
        <v>79950.619113052351</v>
      </c>
      <c r="E76" s="133">
        <f>E74*E75</f>
        <v>80365.713717032922</v>
      </c>
      <c r="F76" s="133">
        <f>F74*F75</f>
        <v>83963.497688095333</v>
      </c>
      <c r="H76" s="133">
        <f>H74*H75</f>
        <v>119255.64208178036</v>
      </c>
      <c r="I76" s="133">
        <f>I74*I75</f>
        <v>54208.169988241512</v>
      </c>
      <c r="J76" s="133">
        <f>J74*J75</f>
        <v>31726.22008319222</v>
      </c>
      <c r="P76" s="133">
        <f>P74*P75</f>
        <v>153724.72038167471</v>
      </c>
      <c r="Q76" s="133">
        <f>Q74*Q75</f>
        <v>44518.786946864995</v>
      </c>
      <c r="S76" s="133">
        <f>S75*S74</f>
        <v>31444.560622515393</v>
      </c>
      <c r="T76" s="133">
        <f>T74*T75</f>
        <v>68115.922865643108</v>
      </c>
      <c r="U76" s="133">
        <f>U74*U75</f>
        <v>75584.096454886152</v>
      </c>
      <c r="X76" s="301">
        <f>X75*X74</f>
        <v>45072.444678252359</v>
      </c>
      <c r="Y76" s="133">
        <f>Y74*Y75</f>
        <v>136573.15338402955</v>
      </c>
      <c r="Z76" s="133">
        <f>Z74*Z75</f>
        <v>74748.881450860004</v>
      </c>
      <c r="AA76" s="133">
        <f>AA74*AA75</f>
        <v>95997.783728246388</v>
      </c>
      <c r="AG76" s="133">
        <f t="shared" ref="AG76" si="58">AG75*AG74</f>
        <v>61087.672800000008</v>
      </c>
      <c r="AH76" s="133">
        <f t="shared" ref="AH76" si="59">AH74*AH75</f>
        <v>92539.217872340421</v>
      </c>
      <c r="AI76" s="133">
        <f t="shared" ref="AI76" si="60">AI75*AI74</f>
        <v>85513.634400000024</v>
      </c>
      <c r="AJ76" s="133">
        <f t="shared" ref="AJ76" si="61">AJ74*AJ75</f>
        <v>74641.468553459112</v>
      </c>
    </row>
    <row r="77" spans="2:36" ht="15">
      <c r="B77" s="132" t="s">
        <v>270</v>
      </c>
      <c r="C77" s="133"/>
      <c r="D77" s="301">
        <f>D76/долл</f>
        <v>914.24378631277705</v>
      </c>
      <c r="E77" s="301">
        <f>E76/долл</f>
        <v>918.99043701581388</v>
      </c>
      <c r="F77" s="301">
        <f>F76/долл</f>
        <v>960.13147727953492</v>
      </c>
      <c r="H77" s="301">
        <f>H76/долл</f>
        <v>1363.7008814383116</v>
      </c>
      <c r="I77" s="301">
        <f>I76/долл</f>
        <v>619.87615767000011</v>
      </c>
      <c r="J77" s="301">
        <f>J76/долл</f>
        <v>362.79268248361598</v>
      </c>
      <c r="P77" s="301">
        <f>P76/долл</f>
        <v>1757.8584377549994</v>
      </c>
      <c r="Q77" s="301">
        <f>Q76/долл</f>
        <v>509.07703769999995</v>
      </c>
      <c r="S77" s="359">
        <f>S76/долл</f>
        <v>359.57187675832353</v>
      </c>
      <c r="T77" s="359">
        <f>T76/долл</f>
        <v>778.91278291187086</v>
      </c>
      <c r="U77" s="359">
        <f>U76/долл</f>
        <v>864.31213784889826</v>
      </c>
      <c r="X77" s="359">
        <f>X76/долл</f>
        <v>515.40817242141065</v>
      </c>
      <c r="Y77" s="359">
        <f>Y76/долл</f>
        <v>1561.7284549345859</v>
      </c>
      <c r="Z77" s="359">
        <f>Z76/долл</f>
        <v>854.76136593321905</v>
      </c>
      <c r="AA77" s="359">
        <f>AA76/долл</f>
        <v>1097.7448110719997</v>
      </c>
      <c r="AG77" s="359">
        <f>AG76/долл</f>
        <v>698.5440000000001</v>
      </c>
      <c r="AH77" s="359">
        <f>AH76/долл</f>
        <v>1058.195744680851</v>
      </c>
      <c r="AI77" s="359">
        <f>AI76/долл</f>
        <v>977.85745454545474</v>
      </c>
      <c r="AJ77" s="359">
        <f>AJ76/долл</f>
        <v>853.53308808986969</v>
      </c>
    </row>
    <row r="78" spans="2:36">
      <c r="B78" s="119" t="s">
        <v>271</v>
      </c>
      <c r="C78" s="87" t="s">
        <v>159</v>
      </c>
      <c r="D78" s="135"/>
      <c r="E78" s="135"/>
      <c r="F78" s="135"/>
      <c r="H78" s="135"/>
      <c r="I78" s="135"/>
      <c r="J78" s="135"/>
      <c r="P78" s="135"/>
      <c r="Q78" s="135"/>
      <c r="S78" s="135"/>
      <c r="T78" s="135"/>
      <c r="U78" s="360"/>
      <c r="X78" s="135"/>
      <c r="Y78" s="135"/>
      <c r="Z78" s="135"/>
      <c r="AA78" s="135"/>
      <c r="AG78" s="135"/>
      <c r="AH78" s="135"/>
      <c r="AI78" s="135"/>
      <c r="AJ78" s="135"/>
    </row>
    <row r="79" spans="2:36" ht="15">
      <c r="B79" s="136" t="s">
        <v>272</v>
      </c>
      <c r="C79" s="115">
        <f>ROUND(AVERAGE(D76:F76),-2)</f>
        <v>81400</v>
      </c>
      <c r="D79" s="104"/>
      <c r="E79" s="104"/>
      <c r="F79" s="104"/>
      <c r="H79" s="104"/>
      <c r="I79" s="104"/>
      <c r="J79" s="104"/>
      <c r="P79" s="104"/>
      <c r="Q79" s="104"/>
      <c r="S79" s="104"/>
      <c r="T79" s="104"/>
      <c r="U79" s="104"/>
      <c r="X79" s="104"/>
      <c r="Y79" s="104"/>
      <c r="Z79" s="104"/>
      <c r="AA79" s="104"/>
      <c r="AG79" s="104"/>
      <c r="AH79" s="104"/>
      <c r="AI79" s="104"/>
      <c r="AJ79" s="104"/>
    </row>
    <row r="80" spans="2:36" ht="15">
      <c r="B80" s="136" t="s">
        <v>273</v>
      </c>
      <c r="C80" s="115">
        <f>ROUND(C79/долл,2)</f>
        <v>930.82</v>
      </c>
      <c r="D80" s="104"/>
      <c r="E80" s="104"/>
      <c r="F80" s="104"/>
      <c r="H80" s="104"/>
      <c r="I80" s="104"/>
      <c r="J80" s="104"/>
      <c r="P80" s="104"/>
      <c r="Q80" s="104"/>
      <c r="S80" s="104"/>
      <c r="T80" s="104"/>
      <c r="U80" s="104"/>
      <c r="X80" s="104"/>
      <c r="Y80" s="104"/>
      <c r="Z80" s="104"/>
      <c r="AA80" s="104"/>
      <c r="AG80" s="104"/>
      <c r="AH80" s="104"/>
      <c r="AI80" s="104"/>
      <c r="AJ80" s="104"/>
    </row>
    <row r="81" spans="2:36">
      <c r="B81" s="132" t="s">
        <v>274</v>
      </c>
      <c r="C81" s="133">
        <f>ROUND(C79*C15,-3)</f>
        <v>529533000</v>
      </c>
      <c r="D81" s="104"/>
      <c r="E81" s="104"/>
      <c r="F81" s="104"/>
      <c r="H81" s="104"/>
      <c r="I81" s="104"/>
      <c r="J81" s="104"/>
      <c r="P81" s="104"/>
      <c r="Q81" s="104"/>
      <c r="S81" s="104"/>
      <c r="T81" s="104"/>
      <c r="U81" s="104"/>
      <c r="X81" s="104"/>
      <c r="Y81" s="104"/>
      <c r="Z81" s="104"/>
      <c r="AA81" s="104"/>
      <c r="AG81" s="104"/>
      <c r="AH81" s="104"/>
      <c r="AI81" s="104"/>
      <c r="AJ81" s="104"/>
    </row>
    <row r="82" spans="2:36">
      <c r="B82" s="132" t="s">
        <v>275</v>
      </c>
      <c r="C82" s="133">
        <f>ROUND(C81/долл,-2)</f>
        <v>6055300</v>
      </c>
      <c r="D82" s="133"/>
      <c r="E82" s="133"/>
      <c r="F82" s="133"/>
      <c r="H82" s="133"/>
      <c r="I82" s="133"/>
      <c r="J82" s="133"/>
      <c r="P82" s="133"/>
      <c r="Q82" s="133"/>
      <c r="S82" s="303"/>
      <c r="T82" s="133"/>
      <c r="U82" s="133"/>
      <c r="X82" s="303"/>
      <c r="Y82" s="133"/>
      <c r="Z82" s="133"/>
      <c r="AA82" s="133"/>
      <c r="AG82" s="133"/>
      <c r="AH82" s="133"/>
      <c r="AI82" s="133"/>
      <c r="AJ82" s="133"/>
    </row>
    <row r="83" spans="2:36">
      <c r="B83" s="137"/>
      <c r="C83" s="138"/>
      <c r="D83" s="138">
        <f>D34/D28</f>
        <v>475.43581616481777</v>
      </c>
      <c r="E83" s="138">
        <f t="shared" ref="E83" si="62">E34/E28</f>
        <v>468.75</v>
      </c>
      <c r="F83" s="138">
        <f>F34/F28</f>
        <v>333.33333333333331</v>
      </c>
      <c r="H83" s="138">
        <f>H34/H28</f>
        <v>569.10569105691059</v>
      </c>
      <c r="I83" s="138"/>
      <c r="J83" s="138">
        <f>J34/J28</f>
        <v>347.82608695652175</v>
      </c>
      <c r="P83" s="138">
        <f>P34/P28</f>
        <v>2205.8823529411766</v>
      </c>
      <c r="Q83" s="138">
        <f>Q34/Q28</f>
        <v>404.31266846361189</v>
      </c>
      <c r="S83" s="304"/>
      <c r="T83" s="138"/>
      <c r="U83" s="138"/>
      <c r="X83" s="304"/>
      <c r="Y83" s="138"/>
      <c r="Z83" s="138"/>
      <c r="AA83" s="138"/>
      <c r="AG83" s="138"/>
      <c r="AH83" s="138"/>
      <c r="AI83" s="138"/>
      <c r="AJ83" s="138"/>
    </row>
    <row r="84" spans="2:36">
      <c r="B84" s="361"/>
      <c r="C84" s="362"/>
      <c r="D84" s="138"/>
      <c r="E84" s="138"/>
      <c r="F84" s="138"/>
      <c r="H84" s="138"/>
      <c r="I84" s="138"/>
      <c r="J84" s="138"/>
      <c r="P84" s="138"/>
      <c r="Q84" s="138"/>
      <c r="S84" s="304"/>
      <c r="T84" s="138"/>
      <c r="U84" s="138"/>
      <c r="X84" s="304"/>
      <c r="Y84" s="138"/>
      <c r="Z84" s="138"/>
      <c r="AA84" s="138"/>
      <c r="AG84" s="138"/>
      <c r="AH84" s="138"/>
      <c r="AI84" s="138"/>
      <c r="AJ84" s="138"/>
    </row>
    <row r="85" spans="2:36">
      <c r="B85" s="363"/>
      <c r="C85" s="364"/>
      <c r="D85" s="138"/>
      <c r="E85" s="138"/>
      <c r="F85" s="138"/>
      <c r="H85" s="138"/>
      <c r="I85" s="138"/>
      <c r="J85" s="138"/>
      <c r="P85" s="138"/>
      <c r="Q85" s="138"/>
      <c r="S85" s="304"/>
      <c r="T85" s="138"/>
      <c r="U85" s="138"/>
      <c r="X85" s="304"/>
      <c r="Y85" s="138"/>
      <c r="Z85" s="138"/>
      <c r="AA85" s="138"/>
      <c r="AG85" s="138"/>
      <c r="AH85" s="138"/>
      <c r="AI85" s="138"/>
      <c r="AJ85" s="138"/>
    </row>
    <row r="86" spans="2:36">
      <c r="B86" s="363"/>
      <c r="C86" s="365"/>
      <c r="D86" s="138"/>
      <c r="E86" s="138"/>
      <c r="F86" s="138"/>
      <c r="H86" s="138"/>
      <c r="I86" s="138"/>
      <c r="J86" s="138"/>
      <c r="P86" s="138"/>
      <c r="Q86" s="138"/>
      <c r="S86" s="304"/>
      <c r="T86" s="138"/>
      <c r="U86" s="138"/>
      <c r="X86" s="304"/>
      <c r="Y86" s="138"/>
      <c r="Z86" s="138"/>
      <c r="AA86" s="138"/>
      <c r="AG86" s="138"/>
      <c r="AH86" s="138"/>
      <c r="AI86" s="138"/>
      <c r="AJ86" s="138"/>
    </row>
    <row r="87" spans="2:36">
      <c r="B87" s="363"/>
      <c r="C87" s="364"/>
      <c r="D87" s="138"/>
      <c r="E87" s="138"/>
      <c r="F87" s="138"/>
      <c r="H87" s="138"/>
      <c r="I87" s="138"/>
      <c r="J87" s="138"/>
      <c r="P87" s="138"/>
      <c r="Q87" s="138"/>
      <c r="S87" s="304"/>
      <c r="T87" s="138"/>
      <c r="U87" s="138"/>
      <c r="X87" s="304"/>
      <c r="Y87" s="138"/>
      <c r="Z87" s="138"/>
      <c r="AA87" s="138"/>
      <c r="AG87" s="138"/>
      <c r="AH87" s="138"/>
      <c r="AI87" s="138"/>
      <c r="AJ87" s="138"/>
    </row>
    <row r="88" spans="2:36">
      <c r="B88" s="363"/>
      <c r="C88" s="364"/>
      <c r="D88" s="138"/>
      <c r="E88" s="138"/>
      <c r="F88" s="138"/>
      <c r="H88" s="138"/>
      <c r="I88" s="138"/>
      <c r="J88" s="138"/>
      <c r="P88" s="138"/>
      <c r="Q88" s="138"/>
      <c r="S88" s="304"/>
      <c r="T88" s="138"/>
      <c r="U88" s="138"/>
      <c r="X88" s="304"/>
      <c r="Y88" s="138"/>
      <c r="Z88" s="138"/>
      <c r="AA88" s="138"/>
      <c r="AG88" s="138"/>
      <c r="AH88" s="138"/>
      <c r="AI88" s="138"/>
      <c r="AJ88" s="138"/>
    </row>
    <row r="89" spans="2:36">
      <c r="D89" s="138"/>
      <c r="E89" s="138"/>
      <c r="F89" s="138"/>
      <c r="H89" s="138"/>
      <c r="I89" s="138"/>
      <c r="J89" s="138"/>
      <c r="P89" s="138"/>
      <c r="Q89" s="138"/>
      <c r="S89" s="304"/>
      <c r="T89" s="138"/>
      <c r="U89" s="138"/>
      <c r="X89" s="304"/>
      <c r="Y89" s="138"/>
      <c r="Z89" s="138"/>
      <c r="AA89" s="138"/>
      <c r="AG89" s="138"/>
      <c r="AH89" s="138"/>
      <c r="AI89" s="138"/>
      <c r="AJ89" s="138"/>
    </row>
    <row r="90" spans="2:36">
      <c r="D90" s="138"/>
      <c r="E90" s="138"/>
      <c r="F90" s="138"/>
      <c r="H90" s="138"/>
      <c r="I90" s="138"/>
      <c r="J90" s="138"/>
      <c r="P90" s="138"/>
      <c r="Q90" s="138"/>
      <c r="S90" s="304"/>
      <c r="T90" s="138"/>
      <c r="U90" s="138"/>
      <c r="X90" s="304"/>
      <c r="Y90" s="138"/>
      <c r="Z90" s="138"/>
      <c r="AA90" s="138"/>
      <c r="AG90" s="138"/>
      <c r="AH90" s="138"/>
      <c r="AI90" s="138"/>
      <c r="AJ90" s="138"/>
    </row>
    <row r="91" spans="2:36">
      <c r="B91" s="366" t="s">
        <v>276</v>
      </c>
      <c r="C91" s="314">
        <f>SUM(C92:C100)</f>
        <v>6505.32</v>
      </c>
      <c r="D91" s="314">
        <f>SUM(D92:D100)</f>
        <v>6996</v>
      </c>
      <c r="E91" s="314">
        <f>SUM(E92:E100)</f>
        <v>1800</v>
      </c>
      <c r="F91" s="314">
        <f>SUM(F92:F100)</f>
        <v>3337.1</v>
      </c>
      <c r="H91" s="314">
        <f>SUM(H92:H100)</f>
        <v>682.4</v>
      </c>
      <c r="I91" s="314">
        <f t="shared" ref="I91" si="63">SUM(I92:I100)</f>
        <v>1870</v>
      </c>
      <c r="J91" s="314">
        <f>SUM(J92:J100)</f>
        <v>2700</v>
      </c>
      <c r="P91" s="314">
        <f>SUM(P92:P100)</f>
        <v>1200</v>
      </c>
      <c r="Q91" s="314">
        <f>SUM(Q92:Q100)</f>
        <v>1800</v>
      </c>
      <c r="S91" s="314">
        <f>SUM(S92:S100)</f>
        <v>5015.6000000000004</v>
      </c>
      <c r="T91" s="314">
        <f>SUM(T92:T100)</f>
        <v>870.36</v>
      </c>
      <c r="U91" s="314">
        <f>SUM(U92:U100)</f>
        <v>1906</v>
      </c>
      <c r="X91" s="314">
        <f>SUM(X92:X100)</f>
        <v>1370</v>
      </c>
      <c r="Y91" s="314">
        <f t="shared" ref="Y91:Z91" si="64">SUM(Y92:Y100)</f>
        <v>2030</v>
      </c>
      <c r="Z91" s="314">
        <f t="shared" si="64"/>
        <v>233</v>
      </c>
      <c r="AA91" s="314">
        <f>SUM(AA92:AA100)</f>
        <v>2550</v>
      </c>
      <c r="AG91" s="314">
        <f t="shared" ref="AG91:AJ91" si="65">SUM(AG92:AG100)</f>
        <v>1040</v>
      </c>
      <c r="AH91" s="314">
        <f t="shared" si="65"/>
        <v>376</v>
      </c>
      <c r="AI91" s="314">
        <f t="shared" si="65"/>
        <v>800</v>
      </c>
      <c r="AJ91" s="314">
        <f t="shared" si="65"/>
        <v>636</v>
      </c>
    </row>
    <row r="92" spans="2:36">
      <c r="B92" s="367" t="str">
        <f>B16</f>
        <v>произв класс 4</v>
      </c>
      <c r="C92" s="368">
        <f>C16</f>
        <v>138.69999999999999</v>
      </c>
      <c r="D92" s="368">
        <f>D16</f>
        <v>1112.2</v>
      </c>
      <c r="E92" s="368">
        <f>E16</f>
        <v>0</v>
      </c>
      <c r="F92" s="368">
        <f>F16</f>
        <v>0</v>
      </c>
      <c r="H92" s="368">
        <f t="shared" ref="H92:J95" si="66">H16</f>
        <v>682.4</v>
      </c>
      <c r="I92" s="368">
        <f t="shared" si="66"/>
        <v>110</v>
      </c>
      <c r="J92" s="368">
        <f t="shared" si="66"/>
        <v>0</v>
      </c>
      <c r="P92" s="368">
        <f t="shared" ref="P92:Q95" si="67">P16</f>
        <v>1200</v>
      </c>
      <c r="Q92" s="368">
        <f t="shared" si="67"/>
        <v>0</v>
      </c>
      <c r="S92" s="368">
        <f t="shared" ref="S92:U95" si="68">S16</f>
        <v>0</v>
      </c>
      <c r="T92" s="368">
        <f t="shared" si="68"/>
        <v>168</v>
      </c>
      <c r="U92" s="368">
        <f t="shared" si="68"/>
        <v>1260</v>
      </c>
      <c r="X92" s="368">
        <f t="shared" ref="X92:AA95" si="69">X16</f>
        <v>0</v>
      </c>
      <c r="Y92" s="368">
        <f t="shared" si="69"/>
        <v>2030</v>
      </c>
      <c r="Z92" s="368">
        <f t="shared" si="69"/>
        <v>0</v>
      </c>
      <c r="AA92" s="368">
        <f t="shared" si="69"/>
        <v>200</v>
      </c>
      <c r="AG92" s="368">
        <f t="shared" ref="AG92:AJ95" si="70">AG16</f>
        <v>0</v>
      </c>
      <c r="AH92" s="368">
        <f t="shared" si="70"/>
        <v>0</v>
      </c>
      <c r="AI92" s="368">
        <f t="shared" si="70"/>
        <v>0</v>
      </c>
      <c r="AJ92" s="368">
        <f t="shared" si="70"/>
        <v>0</v>
      </c>
    </row>
    <row r="93" spans="2:36">
      <c r="B93" s="367" t="str">
        <f t="shared" ref="B93:F100" si="71">B17</f>
        <v>произв класс 3</v>
      </c>
      <c r="C93" s="368">
        <f t="shared" si="71"/>
        <v>4519.7000000000007</v>
      </c>
      <c r="D93" s="368">
        <f t="shared" si="71"/>
        <v>5523.8</v>
      </c>
      <c r="E93" s="368">
        <f t="shared" si="71"/>
        <v>1776.9</v>
      </c>
      <c r="F93" s="368">
        <f t="shared" si="71"/>
        <v>0</v>
      </c>
      <c r="H93" s="368">
        <f t="shared" si="66"/>
        <v>0</v>
      </c>
      <c r="I93" s="368">
        <f t="shared" si="66"/>
        <v>1300</v>
      </c>
      <c r="J93" s="368">
        <f t="shared" si="66"/>
        <v>0</v>
      </c>
      <c r="P93" s="368">
        <f t="shared" si="67"/>
        <v>0</v>
      </c>
      <c r="Q93" s="368">
        <f t="shared" si="67"/>
        <v>0</v>
      </c>
      <c r="S93" s="368">
        <f t="shared" si="68"/>
        <v>1486.3</v>
      </c>
      <c r="T93" s="368">
        <f t="shared" si="68"/>
        <v>444.36</v>
      </c>
      <c r="U93" s="368">
        <f t="shared" si="68"/>
        <v>0</v>
      </c>
      <c r="X93" s="368">
        <f t="shared" si="69"/>
        <v>0</v>
      </c>
      <c r="Y93" s="368">
        <f t="shared" si="69"/>
        <v>0</v>
      </c>
      <c r="Z93" s="368">
        <f t="shared" si="69"/>
        <v>0</v>
      </c>
      <c r="AA93" s="368">
        <f t="shared" si="69"/>
        <v>0</v>
      </c>
      <c r="AG93" s="368">
        <f t="shared" si="70"/>
        <v>0</v>
      </c>
      <c r="AH93" s="368">
        <f t="shared" si="70"/>
        <v>376</v>
      </c>
      <c r="AI93" s="368">
        <f t="shared" si="70"/>
        <v>0</v>
      </c>
      <c r="AJ93" s="368">
        <f t="shared" si="70"/>
        <v>0</v>
      </c>
    </row>
    <row r="94" spans="2:36">
      <c r="B94" s="367" t="str">
        <f t="shared" si="71"/>
        <v>произв класс 2</v>
      </c>
      <c r="C94" s="368">
        <f t="shared" si="71"/>
        <v>1576.1</v>
      </c>
      <c r="D94" s="368">
        <f t="shared" si="71"/>
        <v>0</v>
      </c>
      <c r="E94" s="368">
        <f t="shared" si="71"/>
        <v>0</v>
      </c>
      <c r="F94" s="368">
        <f t="shared" si="71"/>
        <v>1947.1</v>
      </c>
      <c r="H94" s="368">
        <f t="shared" si="66"/>
        <v>0</v>
      </c>
      <c r="I94" s="368">
        <f t="shared" si="66"/>
        <v>0</v>
      </c>
      <c r="J94" s="368">
        <f t="shared" si="66"/>
        <v>2700</v>
      </c>
      <c r="P94" s="368">
        <f t="shared" si="67"/>
        <v>0</v>
      </c>
      <c r="Q94" s="368">
        <f t="shared" si="67"/>
        <v>1800</v>
      </c>
      <c r="S94" s="368">
        <f t="shared" si="68"/>
        <v>3529.3</v>
      </c>
      <c r="T94" s="368">
        <f t="shared" si="68"/>
        <v>30</v>
      </c>
      <c r="U94" s="368">
        <f t="shared" si="68"/>
        <v>646</v>
      </c>
      <c r="X94" s="368">
        <f t="shared" si="69"/>
        <v>1370</v>
      </c>
      <c r="Y94" s="368">
        <f t="shared" si="69"/>
        <v>0</v>
      </c>
      <c r="Z94" s="368">
        <f t="shared" si="69"/>
        <v>233</v>
      </c>
      <c r="AA94" s="368">
        <f t="shared" si="69"/>
        <v>2350</v>
      </c>
      <c r="AG94" s="368">
        <f t="shared" si="70"/>
        <v>1040</v>
      </c>
      <c r="AH94" s="368">
        <f t="shared" si="70"/>
        <v>0</v>
      </c>
      <c r="AI94" s="368">
        <f t="shared" si="70"/>
        <v>800</v>
      </c>
      <c r="AJ94" s="368">
        <f t="shared" si="70"/>
        <v>636</v>
      </c>
    </row>
    <row r="95" spans="2:36">
      <c r="B95" s="367" t="str">
        <f t="shared" si="71"/>
        <v>произв класс 1</v>
      </c>
      <c r="C95" s="368">
        <f t="shared" si="71"/>
        <v>0</v>
      </c>
      <c r="D95" s="368">
        <f t="shared" si="71"/>
        <v>0</v>
      </c>
      <c r="E95" s="368">
        <f t="shared" si="71"/>
        <v>0</v>
      </c>
      <c r="F95" s="368">
        <f t="shared" si="71"/>
        <v>0</v>
      </c>
      <c r="H95" s="368">
        <f t="shared" si="66"/>
        <v>0</v>
      </c>
      <c r="I95" s="368">
        <f t="shared" si="66"/>
        <v>460</v>
      </c>
      <c r="J95" s="368">
        <f t="shared" si="66"/>
        <v>0</v>
      </c>
      <c r="P95" s="368">
        <f t="shared" si="67"/>
        <v>0</v>
      </c>
      <c r="Q95" s="368">
        <f t="shared" si="67"/>
        <v>0</v>
      </c>
      <c r="S95" s="368">
        <f t="shared" si="68"/>
        <v>0</v>
      </c>
      <c r="T95" s="368">
        <f t="shared" si="68"/>
        <v>228</v>
      </c>
      <c r="U95" s="368">
        <f t="shared" si="68"/>
        <v>0</v>
      </c>
      <c r="X95" s="368">
        <f t="shared" si="69"/>
        <v>0</v>
      </c>
      <c r="Y95" s="368">
        <f t="shared" si="69"/>
        <v>0</v>
      </c>
      <c r="Z95" s="368">
        <f t="shared" si="69"/>
        <v>0</v>
      </c>
      <c r="AA95" s="368">
        <f t="shared" si="69"/>
        <v>0</v>
      </c>
      <c r="AG95" s="368">
        <f t="shared" si="70"/>
        <v>0</v>
      </c>
      <c r="AH95" s="368">
        <f t="shared" si="70"/>
        <v>0</v>
      </c>
      <c r="AI95" s="368">
        <f t="shared" si="70"/>
        <v>0</v>
      </c>
      <c r="AJ95" s="368">
        <f t="shared" si="70"/>
        <v>0</v>
      </c>
    </row>
    <row r="96" spans="2:36">
      <c r="B96" s="367" t="str">
        <f t="shared" si="71"/>
        <v>гражд класс 4</v>
      </c>
      <c r="C96" s="368">
        <f t="shared" si="71"/>
        <v>24.82</v>
      </c>
      <c r="D96" s="368">
        <f t="shared" si="71"/>
        <v>0</v>
      </c>
      <c r="E96" s="368">
        <f t="shared" si="71"/>
        <v>23.1</v>
      </c>
      <c r="F96" s="368">
        <f t="shared" si="71"/>
        <v>0</v>
      </c>
      <c r="H96" s="368"/>
      <c r="I96" s="368"/>
      <c r="J96" s="368"/>
      <c r="P96" s="368"/>
      <c r="Q96" s="368"/>
      <c r="S96" s="368"/>
      <c r="T96" s="368"/>
      <c r="U96" s="368"/>
      <c r="X96" s="368"/>
      <c r="Y96" s="368"/>
      <c r="Z96" s="368"/>
      <c r="AA96" s="368"/>
      <c r="AG96" s="368"/>
      <c r="AH96" s="368"/>
      <c r="AI96" s="368"/>
      <c r="AJ96" s="368"/>
    </row>
    <row r="97" spans="2:36">
      <c r="B97" s="367" t="str">
        <f t="shared" si="71"/>
        <v>гражд класс 3</v>
      </c>
      <c r="C97" s="368">
        <f t="shared" si="71"/>
        <v>221.2</v>
      </c>
      <c r="D97" s="368">
        <f t="shared" si="71"/>
        <v>360</v>
      </c>
      <c r="E97" s="368">
        <f t="shared" si="71"/>
        <v>0</v>
      </c>
      <c r="F97" s="368">
        <f t="shared" si="71"/>
        <v>1390</v>
      </c>
      <c r="H97" s="368"/>
      <c r="I97" s="368"/>
      <c r="J97" s="368"/>
      <c r="P97" s="368"/>
      <c r="Q97" s="368"/>
      <c r="S97" s="368"/>
      <c r="T97" s="368"/>
      <c r="U97" s="368"/>
      <c r="X97" s="368"/>
      <c r="Y97" s="368"/>
      <c r="Z97" s="368"/>
      <c r="AA97" s="368"/>
      <c r="AG97" s="368"/>
      <c r="AH97" s="368"/>
      <c r="AI97" s="368"/>
      <c r="AJ97" s="368"/>
    </row>
    <row r="98" spans="2:36">
      <c r="B98" s="367" t="str">
        <f t="shared" si="71"/>
        <v>гражд класс 2</v>
      </c>
      <c r="C98" s="368">
        <f t="shared" si="71"/>
        <v>0</v>
      </c>
      <c r="D98" s="368">
        <f t="shared" si="71"/>
        <v>0</v>
      </c>
      <c r="E98" s="368">
        <f t="shared" si="71"/>
        <v>0</v>
      </c>
      <c r="F98" s="368">
        <f t="shared" si="71"/>
        <v>0</v>
      </c>
      <c r="H98" s="368"/>
      <c r="I98" s="368"/>
      <c r="J98" s="368"/>
      <c r="P98" s="368"/>
      <c r="Q98" s="368"/>
      <c r="S98" s="368"/>
      <c r="T98" s="368"/>
      <c r="U98" s="368"/>
      <c r="X98" s="368"/>
      <c r="Y98" s="368"/>
      <c r="Z98" s="368"/>
      <c r="AA98" s="368"/>
      <c r="AG98" s="368"/>
      <c r="AH98" s="368"/>
      <c r="AI98" s="368"/>
      <c r="AJ98" s="368"/>
    </row>
    <row r="99" spans="2:36">
      <c r="B99" s="367" t="str">
        <f t="shared" si="71"/>
        <v>гражд класс 1</v>
      </c>
      <c r="C99" s="368">
        <f t="shared" si="71"/>
        <v>0</v>
      </c>
      <c r="D99" s="368">
        <f t="shared" si="71"/>
        <v>0</v>
      </c>
      <c r="E99" s="368">
        <f t="shared" si="71"/>
        <v>0</v>
      </c>
      <c r="F99" s="368">
        <f t="shared" si="71"/>
        <v>0</v>
      </c>
      <c r="H99" s="368"/>
      <c r="I99" s="368"/>
      <c r="J99" s="368"/>
      <c r="P99" s="368"/>
      <c r="Q99" s="368"/>
      <c r="S99" s="368"/>
      <c r="T99" s="368"/>
      <c r="U99" s="368"/>
      <c r="X99" s="368"/>
      <c r="Y99" s="368"/>
      <c r="Z99" s="368"/>
      <c r="AA99" s="368"/>
      <c r="AG99" s="368"/>
      <c r="AH99" s="368"/>
      <c r="AI99" s="368"/>
      <c r="AJ99" s="368"/>
    </row>
    <row r="100" spans="2:36">
      <c r="B100" s="367" t="str">
        <f t="shared" si="71"/>
        <v>прочие</v>
      </c>
      <c r="C100" s="368">
        <f t="shared" si="71"/>
        <v>24.8</v>
      </c>
      <c r="D100" s="368">
        <f t="shared" si="71"/>
        <v>0</v>
      </c>
      <c r="E100" s="368">
        <f t="shared" si="71"/>
        <v>0</v>
      </c>
      <c r="F100" s="368">
        <f t="shared" si="71"/>
        <v>0</v>
      </c>
      <c r="H100" s="368">
        <f t="shared" ref="H100:J100" si="72">H24</f>
        <v>0</v>
      </c>
      <c r="I100" s="368">
        <f t="shared" si="72"/>
        <v>0</v>
      </c>
      <c r="J100" s="368">
        <f t="shared" si="72"/>
        <v>0</v>
      </c>
      <c r="P100" s="368">
        <f>P24</f>
        <v>0</v>
      </c>
      <c r="Q100" s="368">
        <f t="shared" ref="Q100" si="73">Q24</f>
        <v>0</v>
      </c>
      <c r="S100" s="368">
        <f t="shared" ref="S100:U100" si="74">S24</f>
        <v>0</v>
      </c>
      <c r="T100" s="368">
        <f t="shared" si="74"/>
        <v>0</v>
      </c>
      <c r="U100" s="368">
        <f t="shared" si="74"/>
        <v>0</v>
      </c>
      <c r="X100" s="368">
        <f t="shared" ref="X100:AA100" si="75">X24</f>
        <v>0</v>
      </c>
      <c r="Y100" s="368">
        <f t="shared" si="75"/>
        <v>0</v>
      </c>
      <c r="Z100" s="368">
        <f t="shared" si="75"/>
        <v>0</v>
      </c>
      <c r="AA100" s="368">
        <f t="shared" si="75"/>
        <v>0</v>
      </c>
      <c r="AG100" s="368">
        <f t="shared" ref="AG100:AJ100" si="76">AG24</f>
        <v>0</v>
      </c>
      <c r="AH100" s="368">
        <f t="shared" si="76"/>
        <v>0</v>
      </c>
      <c r="AI100" s="368">
        <f t="shared" si="76"/>
        <v>0</v>
      </c>
      <c r="AJ100" s="368">
        <f t="shared" si="76"/>
        <v>0</v>
      </c>
    </row>
    <row r="101" spans="2:36">
      <c r="B101" s="278"/>
      <c r="C101" s="278"/>
      <c r="D101" s="278"/>
      <c r="E101" s="278"/>
      <c r="F101" s="278"/>
      <c r="H101" s="278"/>
      <c r="I101" s="278"/>
      <c r="J101" s="278"/>
      <c r="P101" s="278"/>
      <c r="Q101" s="278"/>
      <c r="S101" s="278"/>
      <c r="T101" s="278"/>
      <c r="U101" s="278"/>
      <c r="X101" s="278"/>
      <c r="Y101" s="278"/>
      <c r="Z101" s="278"/>
      <c r="AA101" s="278"/>
      <c r="AG101" s="278"/>
      <c r="AH101" s="278"/>
      <c r="AI101" s="278"/>
      <c r="AJ101" s="278"/>
    </row>
    <row r="102" spans="2:36">
      <c r="B102" s="278"/>
      <c r="C102" s="278"/>
      <c r="D102" s="278"/>
      <c r="E102" s="278"/>
      <c r="F102" s="278"/>
      <c r="H102" s="278"/>
      <c r="I102" s="278"/>
      <c r="J102" s="278"/>
      <c r="P102" s="278"/>
      <c r="Q102" s="278"/>
      <c r="S102" s="278"/>
      <c r="T102" s="278"/>
      <c r="U102" s="278"/>
      <c r="X102" s="278"/>
      <c r="Y102" s="278"/>
      <c r="Z102" s="278"/>
      <c r="AA102" s="278"/>
      <c r="AG102" s="278"/>
      <c r="AH102" s="278"/>
      <c r="AI102" s="278"/>
      <c r="AJ102" s="278"/>
    </row>
    <row r="103" spans="2:36">
      <c r="C103" s="278"/>
      <c r="D103" s="278"/>
      <c r="E103" s="278"/>
      <c r="F103" s="278"/>
      <c r="H103" s="278"/>
      <c r="I103" s="278"/>
      <c r="J103" s="278"/>
      <c r="P103" s="278"/>
      <c r="Q103" s="278"/>
      <c r="S103" s="278"/>
      <c r="T103" s="278"/>
      <c r="U103" s="278"/>
      <c r="X103" s="278"/>
      <c r="Y103" s="278"/>
      <c r="Z103" s="278"/>
      <c r="AA103" s="278"/>
      <c r="AG103" s="278"/>
      <c r="AH103" s="278"/>
      <c r="AI103" s="278"/>
      <c r="AJ103" s="278"/>
    </row>
    <row r="104" spans="2:36" ht="15.75">
      <c r="B104" s="379" t="s">
        <v>277</v>
      </c>
      <c r="C104" s="325"/>
      <c r="D104" s="325"/>
      <c r="E104" s="325"/>
      <c r="F104" s="325"/>
      <c r="H104" s="325"/>
      <c r="I104" s="325"/>
      <c r="J104" s="325"/>
      <c r="P104" s="325"/>
      <c r="Q104" s="325"/>
      <c r="S104" s="325"/>
      <c r="T104" s="325"/>
      <c r="U104" s="325"/>
      <c r="X104" s="325"/>
      <c r="Y104" s="325"/>
      <c r="Z104" s="325"/>
      <c r="AA104" s="325"/>
      <c r="AG104" s="325"/>
      <c r="AH104" s="325"/>
      <c r="AI104" s="325"/>
      <c r="AJ104" s="325"/>
    </row>
    <row r="105" spans="2:36">
      <c r="B105" s="147">
        <f>'1.1 Алыкулова'!A107</f>
        <v>0.33</v>
      </c>
      <c r="C105" s="318">
        <f>C92/C$91</f>
        <v>2.132101111090615E-2</v>
      </c>
      <c r="D105" s="318">
        <f>D92/D$91</f>
        <v>0.15897655803316182</v>
      </c>
      <c r="E105" s="318">
        <f>E92/E$91</f>
        <v>0</v>
      </c>
      <c r="F105" s="318">
        <f>F92/F$91</f>
        <v>0</v>
      </c>
      <c r="H105" s="318">
        <f t="shared" ref="H105:J108" si="77">H92/H$91</f>
        <v>1</v>
      </c>
      <c r="I105" s="318">
        <f t="shared" si="77"/>
        <v>5.8823529411764705E-2</v>
      </c>
      <c r="J105" s="318">
        <f t="shared" si="77"/>
        <v>0</v>
      </c>
      <c r="P105" s="318">
        <f t="shared" ref="P105:Q108" si="78">P92/P$91</f>
        <v>1</v>
      </c>
      <c r="Q105" s="318">
        <f t="shared" si="78"/>
        <v>0</v>
      </c>
      <c r="S105" s="318">
        <f t="shared" ref="S105:U108" si="79">S92/S$91</f>
        <v>0</v>
      </c>
      <c r="T105" s="318">
        <f t="shared" si="79"/>
        <v>0.19302357645112367</v>
      </c>
      <c r="U105" s="318">
        <f t="shared" si="79"/>
        <v>0.66107030430220359</v>
      </c>
      <c r="X105" s="318">
        <f t="shared" ref="X105:AA108" si="80">X92/X$91</f>
        <v>0</v>
      </c>
      <c r="Y105" s="318">
        <f t="shared" si="80"/>
        <v>1</v>
      </c>
      <c r="Z105" s="318">
        <f t="shared" si="80"/>
        <v>0</v>
      </c>
      <c r="AA105" s="318">
        <f t="shared" si="80"/>
        <v>7.8431372549019607E-2</v>
      </c>
      <c r="AG105" s="318">
        <f t="shared" ref="AG105:AJ108" si="81">AG92/AG$91</f>
        <v>0</v>
      </c>
      <c r="AH105" s="318">
        <f t="shared" si="81"/>
        <v>0</v>
      </c>
      <c r="AI105" s="318">
        <f t="shared" si="81"/>
        <v>0</v>
      </c>
      <c r="AJ105" s="318">
        <f t="shared" si="81"/>
        <v>0</v>
      </c>
    </row>
    <row r="106" spans="2:36">
      <c r="B106" s="147">
        <f>'1.1 Алыкулова'!A108</f>
        <v>0.55000000000000004</v>
      </c>
      <c r="C106" s="318">
        <f t="shared" ref="C106:F113" si="82">C93/C$91</f>
        <v>0.69476981916339253</v>
      </c>
      <c r="D106" s="318">
        <f t="shared" si="82"/>
        <v>0.78956546598056032</v>
      </c>
      <c r="E106" s="318">
        <f t="shared" si="82"/>
        <v>0.98716666666666675</v>
      </c>
      <c r="F106" s="318">
        <f t="shared" si="82"/>
        <v>0</v>
      </c>
      <c r="H106" s="318">
        <f t="shared" si="77"/>
        <v>0</v>
      </c>
      <c r="I106" s="318">
        <f t="shared" si="77"/>
        <v>0.69518716577540107</v>
      </c>
      <c r="J106" s="318">
        <f t="shared" si="77"/>
        <v>0</v>
      </c>
      <c r="P106" s="318">
        <f t="shared" si="78"/>
        <v>0</v>
      </c>
      <c r="Q106" s="318">
        <f t="shared" si="78"/>
        <v>0</v>
      </c>
      <c r="S106" s="318">
        <f t="shared" si="79"/>
        <v>0.29633543344764335</v>
      </c>
      <c r="T106" s="318">
        <f t="shared" si="79"/>
        <v>0.51054735971322207</v>
      </c>
      <c r="U106" s="318">
        <f t="shared" si="79"/>
        <v>0</v>
      </c>
      <c r="X106" s="318">
        <f t="shared" si="80"/>
        <v>0</v>
      </c>
      <c r="Y106" s="318">
        <f t="shared" si="80"/>
        <v>0</v>
      </c>
      <c r="Z106" s="318">
        <f t="shared" si="80"/>
        <v>0</v>
      </c>
      <c r="AA106" s="318">
        <f t="shared" si="80"/>
        <v>0</v>
      </c>
      <c r="AG106" s="318">
        <f t="shared" si="81"/>
        <v>0</v>
      </c>
      <c r="AH106" s="318">
        <f t="shared" si="81"/>
        <v>1</v>
      </c>
      <c r="AI106" s="318">
        <f t="shared" si="81"/>
        <v>0</v>
      </c>
      <c r="AJ106" s="318">
        <f t="shared" si="81"/>
        <v>0</v>
      </c>
    </row>
    <row r="107" spans="2:36">
      <c r="B107" s="147">
        <f>'1.1 Алыкулова'!A109</f>
        <v>0.77</v>
      </c>
      <c r="C107" s="318">
        <f t="shared" si="82"/>
        <v>0.24227862733885497</v>
      </c>
      <c r="D107" s="318">
        <f t="shared" si="82"/>
        <v>0</v>
      </c>
      <c r="E107" s="318">
        <f t="shared" si="82"/>
        <v>0</v>
      </c>
      <c r="F107" s="318">
        <f t="shared" si="82"/>
        <v>0.5834706781337089</v>
      </c>
      <c r="H107" s="318">
        <f t="shared" si="77"/>
        <v>0</v>
      </c>
      <c r="I107" s="318">
        <f t="shared" si="77"/>
        <v>0</v>
      </c>
      <c r="J107" s="318">
        <f t="shared" si="77"/>
        <v>1</v>
      </c>
      <c r="P107" s="318">
        <f t="shared" si="78"/>
        <v>0</v>
      </c>
      <c r="Q107" s="318">
        <f t="shared" si="78"/>
        <v>1</v>
      </c>
      <c r="S107" s="318">
        <f t="shared" si="79"/>
        <v>0.70366456655235665</v>
      </c>
      <c r="T107" s="318">
        <f t="shared" si="79"/>
        <v>3.4468495794843512E-2</v>
      </c>
      <c r="U107" s="318">
        <f t="shared" si="79"/>
        <v>0.33892969569779641</v>
      </c>
      <c r="X107" s="318">
        <f t="shared" si="80"/>
        <v>1</v>
      </c>
      <c r="Y107" s="318">
        <f t="shared" si="80"/>
        <v>0</v>
      </c>
      <c r="Z107" s="318">
        <f t="shared" si="80"/>
        <v>1</v>
      </c>
      <c r="AA107" s="318">
        <f t="shared" si="80"/>
        <v>0.92156862745098034</v>
      </c>
      <c r="AG107" s="318">
        <f t="shared" si="81"/>
        <v>1</v>
      </c>
      <c r="AH107" s="318">
        <f t="shared" si="81"/>
        <v>0</v>
      </c>
      <c r="AI107" s="318">
        <f t="shared" si="81"/>
        <v>1</v>
      </c>
      <c r="AJ107" s="318">
        <f t="shared" si="81"/>
        <v>1</v>
      </c>
    </row>
    <row r="108" spans="2:36">
      <c r="B108" s="147">
        <f>'1.1 Алыкулова'!A110</f>
        <v>1</v>
      </c>
      <c r="C108" s="318">
        <f t="shared" si="82"/>
        <v>0</v>
      </c>
      <c r="D108" s="318">
        <f t="shared" si="82"/>
        <v>0</v>
      </c>
      <c r="E108" s="318">
        <f t="shared" si="82"/>
        <v>0</v>
      </c>
      <c r="F108" s="318">
        <f t="shared" si="82"/>
        <v>0</v>
      </c>
      <c r="H108" s="318">
        <f t="shared" si="77"/>
        <v>0</v>
      </c>
      <c r="I108" s="318">
        <f t="shared" si="77"/>
        <v>0.24598930481283424</v>
      </c>
      <c r="J108" s="318">
        <f t="shared" si="77"/>
        <v>0</v>
      </c>
      <c r="P108" s="318">
        <f t="shared" si="78"/>
        <v>0</v>
      </c>
      <c r="Q108" s="318">
        <f t="shared" si="78"/>
        <v>0</v>
      </c>
      <c r="S108" s="318">
        <f t="shared" si="79"/>
        <v>0</v>
      </c>
      <c r="T108" s="318">
        <f t="shared" si="79"/>
        <v>0.26196056804081069</v>
      </c>
      <c r="U108" s="318">
        <f t="shared" si="79"/>
        <v>0</v>
      </c>
      <c r="X108" s="318">
        <f t="shared" si="80"/>
        <v>0</v>
      </c>
      <c r="Y108" s="318">
        <f t="shared" si="80"/>
        <v>0</v>
      </c>
      <c r="Z108" s="318">
        <f t="shared" si="80"/>
        <v>0</v>
      </c>
      <c r="AA108" s="318">
        <f t="shared" si="80"/>
        <v>0</v>
      </c>
      <c r="AG108" s="318">
        <f t="shared" si="81"/>
        <v>0</v>
      </c>
      <c r="AH108" s="318">
        <f t="shared" si="81"/>
        <v>0</v>
      </c>
      <c r="AI108" s="318">
        <f t="shared" si="81"/>
        <v>0</v>
      </c>
      <c r="AJ108" s="318">
        <f t="shared" si="81"/>
        <v>0</v>
      </c>
    </row>
    <row r="109" spans="2:36">
      <c r="B109" s="147">
        <f>'1.1 Алыкулова'!A111</f>
        <v>0.33</v>
      </c>
      <c r="C109" s="318">
        <f t="shared" si="82"/>
        <v>3.8153388303726796E-3</v>
      </c>
      <c r="D109" s="318">
        <f t="shared" si="82"/>
        <v>0</v>
      </c>
      <c r="E109" s="318">
        <f t="shared" si="82"/>
        <v>1.2833333333333334E-2</v>
      </c>
      <c r="F109" s="318">
        <f t="shared" si="82"/>
        <v>0</v>
      </c>
      <c r="H109" s="318"/>
      <c r="I109" s="318"/>
      <c r="J109" s="318"/>
      <c r="P109" s="318"/>
      <c r="Q109" s="318"/>
      <c r="S109" s="318"/>
      <c r="T109" s="318"/>
      <c r="U109" s="318"/>
      <c r="X109" s="318"/>
      <c r="Y109" s="318"/>
      <c r="Z109" s="318"/>
      <c r="AA109" s="318"/>
      <c r="AG109" s="318"/>
      <c r="AH109" s="318"/>
      <c r="AI109" s="318"/>
      <c r="AJ109" s="318"/>
    </row>
    <row r="110" spans="2:36">
      <c r="B110" s="147">
        <f>'1.1 Алыкулова'!A112</f>
        <v>0.55000000000000004</v>
      </c>
      <c r="C110" s="318">
        <f t="shared" si="82"/>
        <v>3.400293913289431E-2</v>
      </c>
      <c r="D110" s="318">
        <f t="shared" si="82"/>
        <v>5.1457975986277875E-2</v>
      </c>
      <c r="E110" s="318">
        <f t="shared" si="82"/>
        <v>0</v>
      </c>
      <c r="F110" s="318">
        <f t="shared" si="82"/>
        <v>0.4165293218662911</v>
      </c>
      <c r="H110" s="318"/>
      <c r="I110" s="318"/>
      <c r="J110" s="318"/>
      <c r="P110" s="318"/>
      <c r="Q110" s="318"/>
      <c r="S110" s="318"/>
      <c r="T110" s="318"/>
      <c r="U110" s="318"/>
      <c r="X110" s="318"/>
      <c r="Y110" s="318"/>
      <c r="Z110" s="318"/>
      <c r="AA110" s="318"/>
      <c r="AG110" s="318"/>
      <c r="AH110" s="318"/>
      <c r="AI110" s="318"/>
      <c r="AJ110" s="318"/>
    </row>
    <row r="111" spans="2:36">
      <c r="B111" s="147">
        <f>'1.1 Алыкулова'!A113</f>
        <v>0.77</v>
      </c>
      <c r="C111" s="318">
        <f t="shared" si="82"/>
        <v>0</v>
      </c>
      <c r="D111" s="318">
        <f t="shared" si="82"/>
        <v>0</v>
      </c>
      <c r="E111" s="318">
        <f t="shared" si="82"/>
        <v>0</v>
      </c>
      <c r="F111" s="318">
        <f t="shared" si="82"/>
        <v>0</v>
      </c>
      <c r="H111" s="318"/>
      <c r="I111" s="318"/>
      <c r="J111" s="318"/>
      <c r="P111" s="318"/>
      <c r="Q111" s="318"/>
      <c r="S111" s="318"/>
      <c r="T111" s="318"/>
      <c r="U111" s="318"/>
      <c r="X111" s="318"/>
      <c r="Y111" s="318"/>
      <c r="Z111" s="318"/>
      <c r="AA111" s="318"/>
      <c r="AG111" s="318"/>
      <c r="AH111" s="318"/>
      <c r="AI111" s="318"/>
      <c r="AJ111" s="318"/>
    </row>
    <row r="112" spans="2:36">
      <c r="B112" s="147">
        <f>'1.1 Алыкулова'!A114</f>
        <v>1</v>
      </c>
      <c r="C112" s="318">
        <f t="shared" si="82"/>
        <v>0</v>
      </c>
      <c r="D112" s="318">
        <f t="shared" si="82"/>
        <v>0</v>
      </c>
      <c r="E112" s="318">
        <f t="shared" si="82"/>
        <v>0</v>
      </c>
      <c r="F112" s="318">
        <f t="shared" si="82"/>
        <v>0</v>
      </c>
      <c r="H112" s="318"/>
      <c r="I112" s="318"/>
      <c r="J112" s="318"/>
      <c r="P112" s="318"/>
      <c r="Q112" s="318"/>
      <c r="S112" s="318"/>
      <c r="T112" s="318"/>
      <c r="U112" s="318"/>
      <c r="X112" s="318"/>
      <c r="Y112" s="318"/>
      <c r="Z112" s="318"/>
      <c r="AA112" s="318"/>
      <c r="AG112" s="318"/>
      <c r="AH112" s="318"/>
      <c r="AI112" s="318"/>
      <c r="AJ112" s="318"/>
    </row>
    <row r="113" spans="2:36">
      <c r="B113" s="147">
        <f>'1.1 Алыкулова'!A115</f>
        <v>0.05</v>
      </c>
      <c r="C113" s="318">
        <f t="shared" si="82"/>
        <v>3.8122644235794706E-3</v>
      </c>
      <c r="D113" s="318">
        <f t="shared" si="82"/>
        <v>0</v>
      </c>
      <c r="E113" s="318">
        <f t="shared" si="82"/>
        <v>0</v>
      </c>
      <c r="F113" s="318">
        <f t="shared" si="82"/>
        <v>0</v>
      </c>
      <c r="H113" s="318">
        <f t="shared" ref="H113:J113" si="83">H100/H$91</f>
        <v>0</v>
      </c>
      <c r="I113" s="318">
        <f t="shared" si="83"/>
        <v>0</v>
      </c>
      <c r="J113" s="318">
        <f t="shared" si="83"/>
        <v>0</v>
      </c>
      <c r="P113" s="318">
        <f t="shared" ref="P113:Q113" si="84">P100/P$91</f>
        <v>0</v>
      </c>
      <c r="Q113" s="318">
        <f t="shared" si="84"/>
        <v>0</v>
      </c>
      <c r="S113" s="318">
        <f t="shared" ref="S113:U113" si="85">S100/S$91</f>
        <v>0</v>
      </c>
      <c r="T113" s="318">
        <f t="shared" si="85"/>
        <v>0</v>
      </c>
      <c r="U113" s="318">
        <f t="shared" si="85"/>
        <v>0</v>
      </c>
      <c r="X113" s="318">
        <f t="shared" ref="X113:AA113" si="86">X100/X$91</f>
        <v>0</v>
      </c>
      <c r="Y113" s="318">
        <f t="shared" si="86"/>
        <v>0</v>
      </c>
      <c r="Z113" s="318">
        <f t="shared" si="86"/>
        <v>0</v>
      </c>
      <c r="AA113" s="318">
        <f t="shared" si="86"/>
        <v>0</v>
      </c>
      <c r="AG113" s="318">
        <f t="shared" ref="AG113:AJ113" si="87">AG100/AG$91</f>
        <v>0</v>
      </c>
      <c r="AH113" s="318">
        <f t="shared" si="87"/>
        <v>0</v>
      </c>
      <c r="AI113" s="318">
        <f t="shared" si="87"/>
        <v>0</v>
      </c>
      <c r="AJ113" s="318">
        <f t="shared" si="87"/>
        <v>0</v>
      </c>
    </row>
    <row r="114" spans="2:36">
      <c r="C114" s="281"/>
      <c r="D114" s="281"/>
      <c r="E114" s="281"/>
      <c r="F114" s="281"/>
      <c r="H114" s="281"/>
      <c r="I114" s="281"/>
      <c r="J114" s="281"/>
      <c r="P114" s="281"/>
      <c r="Q114" s="281"/>
      <c r="S114" s="281"/>
      <c r="T114" s="281"/>
      <c r="U114" s="281"/>
      <c r="X114" s="281"/>
      <c r="Y114" s="281"/>
      <c r="Z114" s="281"/>
      <c r="AA114" s="281"/>
      <c r="AG114" s="281"/>
      <c r="AH114" s="281"/>
      <c r="AI114" s="281"/>
      <c r="AJ114" s="281"/>
    </row>
    <row r="115" spans="2:36">
      <c r="C115" s="281"/>
      <c r="D115" s="278"/>
      <c r="E115" s="278"/>
      <c r="F115" s="278"/>
      <c r="H115" s="278"/>
      <c r="I115" s="278"/>
      <c r="J115" s="278"/>
      <c r="P115" s="278"/>
      <c r="Q115" s="278"/>
      <c r="S115" s="278"/>
      <c r="T115" s="278"/>
      <c r="U115" s="278"/>
      <c r="X115" s="278"/>
      <c r="Y115" s="278"/>
      <c r="Z115" s="278"/>
      <c r="AA115" s="278"/>
      <c r="AG115" s="278"/>
      <c r="AH115" s="278"/>
      <c r="AI115" s="278"/>
      <c r="AJ115" s="278"/>
    </row>
    <row r="116" spans="2:36">
      <c r="B116" s="322" t="s">
        <v>278</v>
      </c>
      <c r="C116" s="147">
        <f>$B105*C105</f>
        <v>7.0359336665990297E-3</v>
      </c>
      <c r="D116" s="147">
        <f>$B105*D105</f>
        <v>5.2462264150943405E-2</v>
      </c>
      <c r="E116" s="147">
        <f>$B105*E105</f>
        <v>0</v>
      </c>
      <c r="F116" s="147">
        <f>$B105*F105</f>
        <v>0</v>
      </c>
      <c r="H116" s="147">
        <f t="shared" ref="H116:J119" si="88">$B105*H105</f>
        <v>0.33</v>
      </c>
      <c r="I116" s="147">
        <f t="shared" si="88"/>
        <v>1.9411764705882354E-2</v>
      </c>
      <c r="J116" s="147">
        <f t="shared" si="88"/>
        <v>0</v>
      </c>
      <c r="P116" s="147">
        <f t="shared" ref="P116:Q119" si="89">$B105*P105</f>
        <v>0.33</v>
      </c>
      <c r="Q116" s="147">
        <f t="shared" si="89"/>
        <v>0</v>
      </c>
      <c r="S116" s="147">
        <f t="shared" ref="S116:U119" si="90">$B105*S105</f>
        <v>0</v>
      </c>
      <c r="T116" s="147">
        <f t="shared" si="90"/>
        <v>6.3697780228870807E-2</v>
      </c>
      <c r="U116" s="147">
        <f t="shared" si="90"/>
        <v>0.21815320041972719</v>
      </c>
      <c r="X116" s="147">
        <f t="shared" ref="X116:AA119" si="91">$B105*X105</f>
        <v>0</v>
      </c>
      <c r="Y116" s="147">
        <f t="shared" si="91"/>
        <v>0.33</v>
      </c>
      <c r="Z116" s="147">
        <f t="shared" si="91"/>
        <v>0</v>
      </c>
      <c r="AA116" s="147">
        <f t="shared" si="91"/>
        <v>2.5882352941176471E-2</v>
      </c>
      <c r="AG116" s="147">
        <f t="shared" ref="AG116:AJ119" si="92">$B105*AG105</f>
        <v>0</v>
      </c>
      <c r="AH116" s="147">
        <f t="shared" si="92"/>
        <v>0</v>
      </c>
      <c r="AI116" s="147">
        <f t="shared" si="92"/>
        <v>0</v>
      </c>
      <c r="AJ116" s="147">
        <f t="shared" si="92"/>
        <v>0</v>
      </c>
    </row>
    <row r="117" spans="2:36">
      <c r="B117" s="334"/>
      <c r="C117" s="147">
        <f t="shared" ref="C117:F124" si="93">$B106*C106</f>
        <v>0.38212340053986593</v>
      </c>
      <c r="D117" s="147">
        <f t="shared" si="93"/>
        <v>0.43426100628930819</v>
      </c>
      <c r="E117" s="147">
        <f t="shared" si="93"/>
        <v>0.54294166666666677</v>
      </c>
      <c r="F117" s="147">
        <f t="shared" si="93"/>
        <v>0</v>
      </c>
      <c r="H117" s="147">
        <f t="shared" si="88"/>
        <v>0</v>
      </c>
      <c r="I117" s="147">
        <f t="shared" si="88"/>
        <v>0.38235294117647062</v>
      </c>
      <c r="J117" s="147">
        <f t="shared" si="88"/>
        <v>0</v>
      </c>
      <c r="P117" s="147">
        <f t="shared" si="89"/>
        <v>0</v>
      </c>
      <c r="Q117" s="147">
        <f t="shared" si="89"/>
        <v>0</v>
      </c>
      <c r="S117" s="147">
        <f t="shared" si="90"/>
        <v>0.16298448839620386</v>
      </c>
      <c r="T117" s="147">
        <f t="shared" si="90"/>
        <v>0.28080104784227217</v>
      </c>
      <c r="U117" s="147">
        <f t="shared" si="90"/>
        <v>0</v>
      </c>
      <c r="X117" s="147">
        <f t="shared" si="91"/>
        <v>0</v>
      </c>
      <c r="Y117" s="147">
        <f t="shared" si="91"/>
        <v>0</v>
      </c>
      <c r="Z117" s="147">
        <f t="shared" si="91"/>
        <v>0</v>
      </c>
      <c r="AA117" s="147">
        <f t="shared" si="91"/>
        <v>0</v>
      </c>
      <c r="AG117" s="147">
        <f t="shared" si="92"/>
        <v>0</v>
      </c>
      <c r="AH117" s="147">
        <f t="shared" si="92"/>
        <v>0.55000000000000004</v>
      </c>
      <c r="AI117" s="147">
        <f t="shared" si="92"/>
        <v>0</v>
      </c>
      <c r="AJ117" s="147">
        <f t="shared" si="92"/>
        <v>0</v>
      </c>
    </row>
    <row r="118" spans="2:36">
      <c r="B118" s="334"/>
      <c r="C118" s="147">
        <f t="shared" si="93"/>
        <v>0.18655454305091834</v>
      </c>
      <c r="D118" s="147">
        <f t="shared" si="93"/>
        <v>0</v>
      </c>
      <c r="E118" s="147">
        <f t="shared" si="93"/>
        <v>0</v>
      </c>
      <c r="F118" s="147">
        <f t="shared" si="93"/>
        <v>0.44927242216295588</v>
      </c>
      <c r="H118" s="147">
        <f t="shared" si="88"/>
        <v>0</v>
      </c>
      <c r="I118" s="147">
        <f t="shared" si="88"/>
        <v>0</v>
      </c>
      <c r="J118" s="147">
        <f t="shared" si="88"/>
        <v>0.77</v>
      </c>
      <c r="P118" s="147">
        <f t="shared" si="89"/>
        <v>0</v>
      </c>
      <c r="Q118" s="147">
        <f t="shared" si="89"/>
        <v>0.77</v>
      </c>
      <c r="S118" s="147">
        <f t="shared" si="90"/>
        <v>0.54182171624531461</v>
      </c>
      <c r="T118" s="147">
        <f t="shared" si="90"/>
        <v>2.6540741762029505E-2</v>
      </c>
      <c r="U118" s="147">
        <f t="shared" si="90"/>
        <v>0.26097586568730324</v>
      </c>
      <c r="X118" s="147">
        <f t="shared" si="91"/>
        <v>0.77</v>
      </c>
      <c r="Y118" s="147">
        <f t="shared" si="91"/>
        <v>0</v>
      </c>
      <c r="Z118" s="147">
        <f t="shared" si="91"/>
        <v>0.77</v>
      </c>
      <c r="AA118" s="147">
        <f t="shared" si="91"/>
        <v>0.70960784313725489</v>
      </c>
      <c r="AG118" s="147">
        <f t="shared" si="92"/>
        <v>0.77</v>
      </c>
      <c r="AH118" s="147">
        <f t="shared" si="92"/>
        <v>0</v>
      </c>
      <c r="AI118" s="147">
        <f t="shared" si="92"/>
        <v>0.77</v>
      </c>
      <c r="AJ118" s="147">
        <f t="shared" si="92"/>
        <v>0.77</v>
      </c>
    </row>
    <row r="119" spans="2:36">
      <c r="B119" s="334"/>
      <c r="C119" s="147">
        <f t="shared" si="93"/>
        <v>0</v>
      </c>
      <c r="D119" s="147">
        <f t="shared" si="93"/>
        <v>0</v>
      </c>
      <c r="E119" s="147">
        <f t="shared" si="93"/>
        <v>0</v>
      </c>
      <c r="F119" s="147">
        <f t="shared" si="93"/>
        <v>0</v>
      </c>
      <c r="H119" s="147">
        <f t="shared" si="88"/>
        <v>0</v>
      </c>
      <c r="I119" s="147">
        <f t="shared" si="88"/>
        <v>0.24598930481283424</v>
      </c>
      <c r="J119" s="147">
        <f t="shared" si="88"/>
        <v>0</v>
      </c>
      <c r="P119" s="147">
        <f t="shared" si="89"/>
        <v>0</v>
      </c>
      <c r="Q119" s="147">
        <f t="shared" si="89"/>
        <v>0</v>
      </c>
      <c r="S119" s="147">
        <f t="shared" si="90"/>
        <v>0</v>
      </c>
      <c r="T119" s="147">
        <f t="shared" si="90"/>
        <v>0.26196056804081069</v>
      </c>
      <c r="U119" s="147">
        <f t="shared" si="90"/>
        <v>0</v>
      </c>
      <c r="X119" s="147">
        <f t="shared" si="91"/>
        <v>0</v>
      </c>
      <c r="Y119" s="147">
        <f t="shared" si="91"/>
        <v>0</v>
      </c>
      <c r="Z119" s="147">
        <f t="shared" si="91"/>
        <v>0</v>
      </c>
      <c r="AA119" s="147">
        <f t="shared" si="91"/>
        <v>0</v>
      </c>
      <c r="AG119" s="147">
        <f t="shared" si="92"/>
        <v>0</v>
      </c>
      <c r="AH119" s="147">
        <f t="shared" si="92"/>
        <v>0</v>
      </c>
      <c r="AI119" s="147">
        <f t="shared" si="92"/>
        <v>0</v>
      </c>
      <c r="AJ119" s="147">
        <f t="shared" si="92"/>
        <v>0</v>
      </c>
    </row>
    <row r="120" spans="2:36">
      <c r="B120" s="334"/>
      <c r="C120" s="147">
        <f t="shared" si="93"/>
        <v>1.2590618140229843E-3</v>
      </c>
      <c r="D120" s="147">
        <f t="shared" si="93"/>
        <v>0</v>
      </c>
      <c r="E120" s="147">
        <f t="shared" si="93"/>
        <v>4.235E-3</v>
      </c>
      <c r="F120" s="147">
        <f t="shared" si="93"/>
        <v>0</v>
      </c>
      <c r="H120" s="147"/>
      <c r="I120" s="147"/>
      <c r="J120" s="147"/>
      <c r="P120" s="147"/>
      <c r="Q120" s="147"/>
      <c r="S120" s="147"/>
      <c r="T120" s="147"/>
      <c r="U120" s="147"/>
      <c r="X120" s="147"/>
      <c r="Y120" s="147"/>
      <c r="Z120" s="147"/>
      <c r="AA120" s="147"/>
      <c r="AG120" s="147"/>
      <c r="AH120" s="147"/>
      <c r="AI120" s="147"/>
      <c r="AJ120" s="147"/>
    </row>
    <row r="121" spans="2:36">
      <c r="B121" s="334"/>
      <c r="C121" s="147">
        <f t="shared" si="93"/>
        <v>1.8701616523091873E-2</v>
      </c>
      <c r="D121" s="147">
        <f t="shared" si="93"/>
        <v>2.8301886792452834E-2</v>
      </c>
      <c r="E121" s="147">
        <f t="shared" si="93"/>
        <v>0</v>
      </c>
      <c r="F121" s="147">
        <f t="shared" si="93"/>
        <v>0.22909112702646012</v>
      </c>
      <c r="H121" s="147"/>
      <c r="I121" s="147"/>
      <c r="J121" s="147"/>
      <c r="P121" s="147"/>
      <c r="Q121" s="147"/>
      <c r="S121" s="147"/>
      <c r="T121" s="147"/>
      <c r="U121" s="147"/>
      <c r="X121" s="147"/>
      <c r="Y121" s="147"/>
      <c r="Z121" s="147"/>
      <c r="AA121" s="147"/>
      <c r="AG121" s="147"/>
      <c r="AH121" s="147"/>
      <c r="AI121" s="147"/>
      <c r="AJ121" s="147"/>
    </row>
    <row r="122" spans="2:36">
      <c r="B122" s="334"/>
      <c r="C122" s="147">
        <f t="shared" si="93"/>
        <v>0</v>
      </c>
      <c r="D122" s="147">
        <f t="shared" si="93"/>
        <v>0</v>
      </c>
      <c r="E122" s="147">
        <f t="shared" si="93"/>
        <v>0</v>
      </c>
      <c r="F122" s="147">
        <f t="shared" si="93"/>
        <v>0</v>
      </c>
      <c r="H122" s="147"/>
      <c r="I122" s="147"/>
      <c r="J122" s="147"/>
      <c r="P122" s="147"/>
      <c r="Q122" s="147"/>
      <c r="S122" s="147"/>
      <c r="T122" s="147"/>
      <c r="U122" s="147"/>
      <c r="X122" s="147"/>
      <c r="Y122" s="147"/>
      <c r="Z122" s="147"/>
      <c r="AA122" s="147"/>
      <c r="AG122" s="147"/>
      <c r="AH122" s="147"/>
      <c r="AI122" s="147"/>
      <c r="AJ122" s="147"/>
    </row>
    <row r="123" spans="2:36">
      <c r="B123" s="334"/>
      <c r="C123" s="147">
        <f t="shared" si="93"/>
        <v>0</v>
      </c>
      <c r="D123" s="147">
        <f t="shared" si="93"/>
        <v>0</v>
      </c>
      <c r="E123" s="147">
        <f t="shared" si="93"/>
        <v>0</v>
      </c>
      <c r="F123" s="147">
        <f t="shared" si="93"/>
        <v>0</v>
      </c>
      <c r="H123" s="147"/>
      <c r="I123" s="147"/>
      <c r="J123" s="147"/>
      <c r="P123" s="147"/>
      <c r="Q123" s="147"/>
      <c r="S123" s="147"/>
      <c r="T123" s="147"/>
      <c r="U123" s="147"/>
      <c r="X123" s="147"/>
      <c r="Y123" s="147"/>
      <c r="Z123" s="147"/>
      <c r="AA123" s="147"/>
      <c r="AG123" s="147"/>
      <c r="AH123" s="147"/>
      <c r="AI123" s="147"/>
      <c r="AJ123" s="147"/>
    </row>
    <row r="124" spans="2:36">
      <c r="B124" s="334"/>
      <c r="C124" s="147">
        <f t="shared" si="93"/>
        <v>1.9061322117897353E-4</v>
      </c>
      <c r="D124" s="147">
        <f t="shared" si="93"/>
        <v>0</v>
      </c>
      <c r="E124" s="147">
        <f t="shared" si="93"/>
        <v>0</v>
      </c>
      <c r="F124" s="147">
        <f t="shared" si="93"/>
        <v>0</v>
      </c>
      <c r="H124" s="147">
        <f t="shared" ref="H124:J124" si="94">$B113*H113</f>
        <v>0</v>
      </c>
      <c r="I124" s="147">
        <f t="shared" si="94"/>
        <v>0</v>
      </c>
      <c r="J124" s="147">
        <f t="shared" si="94"/>
        <v>0</v>
      </c>
      <c r="P124" s="147">
        <f t="shared" ref="P124:Q124" si="95">$B113*P113</f>
        <v>0</v>
      </c>
      <c r="Q124" s="147">
        <f t="shared" si="95"/>
        <v>0</v>
      </c>
      <c r="S124" s="147">
        <f t="shared" ref="S124:U124" si="96">$B113*S113</f>
        <v>0</v>
      </c>
      <c r="T124" s="147">
        <f t="shared" si="96"/>
        <v>0</v>
      </c>
      <c r="U124" s="147">
        <f t="shared" si="96"/>
        <v>0</v>
      </c>
      <c r="X124" s="147">
        <f t="shared" ref="X124:AA124" si="97">$B113*X113</f>
        <v>0</v>
      </c>
      <c r="Y124" s="147">
        <f t="shared" si="97"/>
        <v>0</v>
      </c>
      <c r="Z124" s="147">
        <f t="shared" si="97"/>
        <v>0</v>
      </c>
      <c r="AA124" s="147">
        <f t="shared" si="97"/>
        <v>0</v>
      </c>
      <c r="AG124" s="147">
        <f t="shared" ref="AG124:AJ124" si="98">$B113*AG113</f>
        <v>0</v>
      </c>
      <c r="AH124" s="147">
        <f t="shared" si="98"/>
        <v>0</v>
      </c>
      <c r="AI124" s="147">
        <f t="shared" si="98"/>
        <v>0</v>
      </c>
      <c r="AJ124" s="147">
        <f t="shared" si="98"/>
        <v>0</v>
      </c>
    </row>
    <row r="125" spans="2:36">
      <c r="B125" s="320" t="s">
        <v>279</v>
      </c>
      <c r="C125" s="321">
        <f>SUM(C116:C124)</f>
        <v>0.59586516881567719</v>
      </c>
      <c r="D125" s="321">
        <f>SUM(D116:D124)</f>
        <v>0.51502515723270448</v>
      </c>
      <c r="E125" s="321">
        <f>SUM(E116:E124)</f>
        <v>0.54717666666666676</v>
      </c>
      <c r="F125" s="321">
        <f>SUM(F116:F124)</f>
        <v>0.67836354918941599</v>
      </c>
      <c r="H125" s="321">
        <f>SUM(H116:H124)</f>
        <v>0.33</v>
      </c>
      <c r="I125" s="321">
        <f t="shared" ref="I125" si="99">SUM(I116:I124)</f>
        <v>0.64775401069518723</v>
      </c>
      <c r="J125" s="321">
        <f>SUM(J116:J124)</f>
        <v>0.77</v>
      </c>
      <c r="P125" s="321">
        <f>SUM(P116:P124)</f>
        <v>0.33</v>
      </c>
      <c r="Q125" s="321">
        <f>SUM(Q116:Q124)</f>
        <v>0.77</v>
      </c>
      <c r="S125" s="321">
        <f>SUM(S116:S124)</f>
        <v>0.70480620464151844</v>
      </c>
      <c r="T125" s="321">
        <f>SUM(T116:T124)</f>
        <v>0.63300013787398313</v>
      </c>
      <c r="U125" s="321">
        <f>SUM(U116:U124)</f>
        <v>0.47912906610703043</v>
      </c>
      <c r="X125" s="321">
        <f>SUM(X116:X124)</f>
        <v>0.77</v>
      </c>
      <c r="Y125" s="321">
        <f t="shared" ref="Y125:Z125" si="100">SUM(Y116:Y124)</f>
        <v>0.33</v>
      </c>
      <c r="Z125" s="321">
        <f t="shared" si="100"/>
        <v>0.77</v>
      </c>
      <c r="AA125" s="321">
        <f>SUM(AA116:AA124)</f>
        <v>0.73549019607843136</v>
      </c>
      <c r="AG125" s="321">
        <f t="shared" ref="AG125:AJ125" si="101">SUM(AG116:AG124)</f>
        <v>0.77</v>
      </c>
      <c r="AH125" s="321">
        <f t="shared" si="101"/>
        <v>0.55000000000000004</v>
      </c>
      <c r="AI125" s="321">
        <f t="shared" si="101"/>
        <v>0.77</v>
      </c>
      <c r="AJ125" s="321">
        <f t="shared" si="101"/>
        <v>0.77</v>
      </c>
    </row>
    <row r="126" spans="2:36">
      <c r="B126" s="322" t="s">
        <v>280</v>
      </c>
      <c r="C126" s="323"/>
      <c r="D126" s="324">
        <f>$C$125/D125</f>
        <v>1.1569632287815539</v>
      </c>
      <c r="E126" s="324">
        <f>$C$125/E125</f>
        <v>1.0889813201385483</v>
      </c>
      <c r="F126" s="324">
        <f>$C$125/F125</f>
        <v>0.87838618323122308</v>
      </c>
      <c r="H126" s="324">
        <f>$C$125/H125</f>
        <v>1.8056520267141731</v>
      </c>
      <c r="I126" s="324">
        <f>$C$125/I125</f>
        <v>0.91989421752275757</v>
      </c>
      <c r="J126" s="324">
        <f>$C$125/J125</f>
        <v>0.77385086859178853</v>
      </c>
      <c r="P126" s="324">
        <f>$C$125/P125</f>
        <v>1.8056520267141731</v>
      </c>
      <c r="Q126" s="324">
        <f>$C$125/Q125</f>
        <v>0.77385086859178853</v>
      </c>
      <c r="S126" s="324">
        <f>$C$125/S125</f>
        <v>0.84543121909482721</v>
      </c>
      <c r="T126" s="324">
        <f>$C$125/T125</f>
        <v>0.94133497477105021</v>
      </c>
      <c r="U126" s="324">
        <f>$C$125/U125</f>
        <v>1.2436422896593162</v>
      </c>
      <c r="X126" s="324">
        <f>$C$125/X125</f>
        <v>0.77385086859178853</v>
      </c>
      <c r="Y126" s="324">
        <f>$C$125/Y125</f>
        <v>1.8056520267141731</v>
      </c>
      <c r="Z126" s="324">
        <f>$C$125/Z125</f>
        <v>0.77385086859178853</v>
      </c>
      <c r="AA126" s="324">
        <f>$C$125/AA125</f>
        <v>0.8101605867661833</v>
      </c>
      <c r="AG126" s="324">
        <f t="shared" ref="AG126:AJ126" si="102">$C$125/AG125</f>
        <v>0.77385086859178853</v>
      </c>
      <c r="AH126" s="324">
        <f t="shared" si="102"/>
        <v>1.083391216028504</v>
      </c>
      <c r="AI126" s="324">
        <f t="shared" si="102"/>
        <v>0.77385086859178853</v>
      </c>
      <c r="AJ126" s="324">
        <f t="shared" si="102"/>
        <v>0.77385086859178853</v>
      </c>
    </row>
    <row r="127" spans="2:36">
      <c r="B127" s="320" t="s">
        <v>281</v>
      </c>
      <c r="C127" s="325">
        <f t="shared" ref="C127:E127" si="103">$C$134*C28</f>
        <v>2133247</v>
      </c>
      <c r="D127" s="325">
        <f t="shared" si="103"/>
        <v>2860954</v>
      </c>
      <c r="E127" s="325">
        <f t="shared" si="103"/>
        <v>725440</v>
      </c>
      <c r="F127" s="325">
        <f>$C$134*F28</f>
        <v>1768260</v>
      </c>
      <c r="H127" s="325">
        <f>$C$134*H28</f>
        <v>278841</v>
      </c>
      <c r="I127" s="325">
        <f>$C$134*I28</f>
        <v>1242316</v>
      </c>
      <c r="J127" s="325">
        <f>$C$134*J28</f>
        <v>521410</v>
      </c>
      <c r="P127" s="325">
        <f>$C$134*P28</f>
        <v>154156</v>
      </c>
      <c r="Q127" s="325">
        <f>$C$134*Q28</f>
        <v>841057</v>
      </c>
      <c r="S127" s="325">
        <f>$C$134*S28</f>
        <v>498740</v>
      </c>
      <c r="T127" s="325">
        <f>$C$134*T28</f>
        <v>549294.1</v>
      </c>
      <c r="U127" s="325">
        <f>$C$134*U28</f>
        <v>294710</v>
      </c>
      <c r="X127" s="325">
        <f>$C$134*X28</f>
        <v>498740</v>
      </c>
      <c r="Y127" s="325">
        <f>$C$134*Y28</f>
        <v>158690</v>
      </c>
      <c r="Z127" s="325">
        <f>$C$134*Z28</f>
        <v>97481</v>
      </c>
      <c r="AA127" s="325">
        <f>$C$134*AA28</f>
        <v>3695210</v>
      </c>
      <c r="AG127" s="325">
        <f>$C$134*AG28</f>
        <v>235087.9</v>
      </c>
      <c r="AH127" s="325">
        <f>$C$134*AH28</f>
        <v>113350</v>
      </c>
      <c r="AI127" s="325">
        <f>$C$134*AI28</f>
        <v>181360</v>
      </c>
      <c r="AJ127" s="325">
        <f>$C$134*AJ28</f>
        <v>260478.3</v>
      </c>
    </row>
    <row r="128" spans="2:36">
      <c r="B128" s="322" t="s">
        <v>282</v>
      </c>
      <c r="C128" s="326"/>
      <c r="D128" s="369">
        <f>1-D127/D34</f>
        <v>0.52317433333333341</v>
      </c>
      <c r="E128" s="369">
        <f>1-E127/E34</f>
        <v>0.51637333333333335</v>
      </c>
      <c r="F128" s="369">
        <f>1-F127/F34</f>
        <v>0.31989999999999996</v>
      </c>
      <c r="H128" s="369">
        <f>1-H127/H34</f>
        <v>0.60165571428571429</v>
      </c>
      <c r="I128" s="369">
        <f>1-I127/I34</f>
        <v>0.30982444444444446</v>
      </c>
      <c r="J128" s="369">
        <f>1-J127/J34</f>
        <v>0.34823749999999998</v>
      </c>
      <c r="P128" s="369">
        <f>1-P127/P34</f>
        <v>0.89722933333333332</v>
      </c>
      <c r="Q128" s="369">
        <f>1-Q127/Q34</f>
        <v>0.43929533333333337</v>
      </c>
      <c r="S128" s="369">
        <f>1-S127/S34</f>
        <v>0.80050399999999999</v>
      </c>
      <c r="T128" s="369">
        <f>1-T127/T34</f>
        <v>0.21529414285714288</v>
      </c>
      <c r="U128" s="369">
        <f>1-U127/U34</f>
        <v>0.75440833333333335</v>
      </c>
      <c r="X128" s="369">
        <f>1-X127/X34</f>
        <v>0.34376315789473688</v>
      </c>
      <c r="Y128" s="369">
        <f>1-Y127/Y34</f>
        <v>0.90081875</v>
      </c>
      <c r="Z128" s="369">
        <f>1-Z127/Z34</f>
        <v>0.65185357142857137</v>
      </c>
      <c r="AA128" s="369">
        <f>1-AA127/AA34</f>
        <v>0.28938269230769231</v>
      </c>
      <c r="AG128" s="369">
        <f>1-AG127/AG34</f>
        <v>0.66416014285714287</v>
      </c>
      <c r="AH128" s="369">
        <f>1-AH127/AH34</f>
        <v>0.64578124999999997</v>
      </c>
      <c r="AI128" s="369">
        <f>1-AI127/AI34</f>
        <v>0.75818666666666668</v>
      </c>
      <c r="AJ128" s="369">
        <f>1-AJ127/AJ34</f>
        <v>0.50385085714285716</v>
      </c>
    </row>
    <row r="129" spans="2:36">
      <c r="B129" s="335" t="s">
        <v>283</v>
      </c>
      <c r="C129" s="336"/>
      <c r="D129" s="337">
        <f>1-(1-D126)*D128</f>
        <v>1.082119132575637</v>
      </c>
      <c r="E129" s="337">
        <f>1-(1-E126)*E128</f>
        <v>1.0459475808843426</v>
      </c>
      <c r="F129" s="337">
        <f>1-(1-F126)*F128</f>
        <v>0.96109574001566822</v>
      </c>
      <c r="H129" s="337">
        <f>1-(1-H126)*H128</f>
        <v>1.4847251455984491</v>
      </c>
      <c r="I129" s="337">
        <f t="shared" ref="I129" si="104">1-(1-I126)*I128</f>
        <v>0.97518127044720082</v>
      </c>
      <c r="J129" s="337">
        <f>1-(1-J126)*J128</f>
        <v>0.92124639185123303</v>
      </c>
      <c r="P129" s="337">
        <f>1-(1-P126)*P128</f>
        <v>1.7228546308274064</v>
      </c>
      <c r="Q129" s="337">
        <f>1-(1-Q126)*Q128</f>
        <v>0.90065374193498593</v>
      </c>
      <c r="S129" s="337">
        <f>1-(1-S126)*S128</f>
        <v>0.87626707261028558</v>
      </c>
      <c r="T129" s="337">
        <f>1-(1-T126)*T128</f>
        <v>0.98736976367764062</v>
      </c>
      <c r="U129" s="337">
        <f>1-(1-U126)*U128</f>
        <v>1.1838057736714021</v>
      </c>
      <c r="X129" s="337">
        <f>1-(1-X126)*X128</f>
        <v>0.92225826043196135</v>
      </c>
      <c r="Y129" s="337">
        <f t="shared" ref="Y129:Z129" si="105">1-(1-Y126)*Y128</f>
        <v>1.7257464516396279</v>
      </c>
      <c r="Z129" s="337">
        <f t="shared" si="105"/>
        <v>0.85258388101608806</v>
      </c>
      <c r="AA129" s="337">
        <f>1-(1-AA126)*AA128</f>
        <v>0.9450637594922856</v>
      </c>
      <c r="AG129" s="337">
        <f t="shared" ref="AG129:AJ129" si="106">1-(1-AG126)*AG128</f>
        <v>0.84980076057690346</v>
      </c>
      <c r="AH129" s="337">
        <f t="shared" si="106"/>
        <v>1.0538524837259073</v>
      </c>
      <c r="AI129" s="337">
        <f t="shared" si="106"/>
        <v>0.82853674388804621</v>
      </c>
      <c r="AJ129" s="337">
        <f t="shared" si="106"/>
        <v>0.88605456629786006</v>
      </c>
    </row>
    <row r="130" spans="2:36">
      <c r="D130" s="260"/>
      <c r="E130" s="260"/>
      <c r="F130" s="260"/>
      <c r="H130" s="260"/>
      <c r="I130" s="260"/>
      <c r="J130" s="260"/>
      <c r="P130" s="260"/>
      <c r="Q130" s="260"/>
      <c r="T130" s="260"/>
      <c r="U130" s="260"/>
      <c r="Y130" s="260"/>
      <c r="Z130" s="260"/>
      <c r="AA130" s="260"/>
      <c r="AG130" s="260"/>
      <c r="AH130" s="260"/>
      <c r="AI130" s="260"/>
      <c r="AJ130" s="260"/>
    </row>
    <row r="131" spans="2:36">
      <c r="D131" s="370"/>
      <c r="E131" s="370"/>
      <c r="F131" s="370"/>
      <c r="H131" s="370"/>
      <c r="I131" s="370"/>
      <c r="J131" s="370"/>
      <c r="P131" s="370"/>
      <c r="Q131" s="370"/>
      <c r="S131" s="370"/>
      <c r="T131" s="370"/>
      <c r="U131" s="370"/>
      <c r="X131" s="370"/>
      <c r="Y131" s="370"/>
      <c r="Z131" s="370"/>
      <c r="AA131" s="370"/>
      <c r="AG131" s="370"/>
      <c r="AH131" s="370"/>
      <c r="AI131" s="370"/>
      <c r="AJ131" s="370"/>
    </row>
    <row r="132" spans="2:36">
      <c r="D132" s="260"/>
      <c r="E132" s="260"/>
      <c r="F132" s="260"/>
      <c r="H132" s="260"/>
      <c r="I132" s="260"/>
      <c r="J132" s="260"/>
      <c r="P132" s="260"/>
      <c r="Q132" s="260"/>
      <c r="T132" s="260"/>
      <c r="U132" s="260"/>
      <c r="Y132" s="260"/>
      <c r="Z132" s="260"/>
      <c r="AA132" s="260"/>
      <c r="AG132" s="260"/>
      <c r="AH132" s="260"/>
      <c r="AI132" s="260"/>
      <c r="AJ132" s="260"/>
    </row>
    <row r="133" spans="2:36">
      <c r="B133" s="162" t="s">
        <v>284</v>
      </c>
      <c r="C133" s="318">
        <f t="shared" ref="C133:E133" si="107">C28/C15</f>
        <v>1.4465083962049523</v>
      </c>
      <c r="D133" s="318">
        <f t="shared" si="107"/>
        <v>1.8038879359634077</v>
      </c>
      <c r="E133" s="318">
        <f t="shared" si="107"/>
        <v>1.7777777777777777</v>
      </c>
      <c r="F133" s="318">
        <f>F28/F15</f>
        <v>2.337358784573432</v>
      </c>
      <c r="H133" s="318">
        <f>H28/H15</f>
        <v>1.8024618991793671</v>
      </c>
      <c r="I133" s="318">
        <f>I28/I15</f>
        <v>2.9304812834224601</v>
      </c>
      <c r="J133" s="318">
        <f>J28/J15</f>
        <v>0.85185185185185186</v>
      </c>
      <c r="P133" s="318">
        <f>P28/P15</f>
        <v>0.56666666666666665</v>
      </c>
      <c r="Q133" s="318">
        <f>Q28/Q15</f>
        <v>2.0611111111111109</v>
      </c>
      <c r="S133" s="318">
        <f>S28/S15</f>
        <v>0.43863146981417972</v>
      </c>
      <c r="T133" s="318">
        <f>T28/T15</f>
        <v>2.7839055103635277</v>
      </c>
      <c r="U133" s="318">
        <f>U28/U15</f>
        <v>0.6820566631689402</v>
      </c>
      <c r="X133" s="318">
        <f>X28/X15</f>
        <v>1.6058394160583942</v>
      </c>
      <c r="Y133" s="318">
        <f>Y28/Y15</f>
        <v>0.34482758620689657</v>
      </c>
      <c r="Z133" s="318">
        <f>Z28/Z15</f>
        <v>1.8454935622317596</v>
      </c>
      <c r="AA133" s="318">
        <f>AA28/AA15</f>
        <v>6.3921568627450984</v>
      </c>
      <c r="AG133" s="318">
        <f>AG28/AG15</f>
        <v>1.0369999999999999</v>
      </c>
      <c r="AH133" s="318">
        <f>AH28/AH15</f>
        <v>1.3297872340425532</v>
      </c>
      <c r="AI133" s="318">
        <f>AI28/AI15</f>
        <v>1</v>
      </c>
      <c r="AJ133" s="318">
        <f>AJ28/AJ15</f>
        <v>1.8066037735849056</v>
      </c>
    </row>
    <row r="134" spans="2:36">
      <c r="B134" s="371" t="s">
        <v>285</v>
      </c>
      <c r="C134" s="326">
        <v>226.7</v>
      </c>
      <c r="D134" s="318">
        <f>$C$133-D133</f>
        <v>-0.35737953975845538</v>
      </c>
      <c r="E134" s="318">
        <f>$C$133-E133</f>
        <v>-0.33126938157282537</v>
      </c>
      <c r="F134" s="318">
        <f>$C$133-F133</f>
        <v>-0.89085038836847974</v>
      </c>
      <c r="H134" s="318">
        <f>$C$133-H133</f>
        <v>-0.35595350297441475</v>
      </c>
      <c r="I134" s="318">
        <f>$C$133-I133</f>
        <v>-1.4839728872175078</v>
      </c>
      <c r="J134" s="318">
        <f>$C$133-J133</f>
        <v>0.59465654435310045</v>
      </c>
      <c r="P134" s="318">
        <f>$C$133-P133</f>
        <v>0.87984172953828566</v>
      </c>
      <c r="Q134" s="318">
        <f>$C$133-Q133</f>
        <v>-0.61460271490615859</v>
      </c>
      <c r="S134" s="318">
        <f>$C$133-S133</f>
        <v>1.0078769263907725</v>
      </c>
      <c r="T134" s="318">
        <f>$C$133-T133</f>
        <v>-1.3373971141585754</v>
      </c>
      <c r="U134" s="318">
        <f>$C$133-U133</f>
        <v>0.7644517330360121</v>
      </c>
      <c r="X134" s="318">
        <f>$C$133-X133</f>
        <v>-0.15933101985344189</v>
      </c>
      <c r="Y134" s="318">
        <f>$C$133-Y133</f>
        <v>1.1016808099980557</v>
      </c>
      <c r="Z134" s="318">
        <f>$C$133-Z133</f>
        <v>-0.39898516602680734</v>
      </c>
      <c r="AA134" s="318">
        <f>$C$133-AA133</f>
        <v>-4.9456484665401463</v>
      </c>
      <c r="AG134" s="318">
        <f t="shared" ref="AG134:AJ134" si="108">$C$133-AG133</f>
        <v>0.40950839620495239</v>
      </c>
      <c r="AH134" s="318">
        <f t="shared" si="108"/>
        <v>0.11672116216239914</v>
      </c>
      <c r="AI134" s="318">
        <f t="shared" si="108"/>
        <v>0.44650839620495231</v>
      </c>
      <c r="AJ134" s="318">
        <f t="shared" si="108"/>
        <v>-0.36009537737995334</v>
      </c>
    </row>
    <row r="135" spans="2:36">
      <c r="B135" s="334"/>
      <c r="C135" s="334"/>
      <c r="D135" s="318">
        <f>$C$134*D134</f>
        <v>-81.017941663241828</v>
      </c>
      <c r="E135" s="318">
        <f>$C$134*E134</f>
        <v>-75.098768802559505</v>
      </c>
      <c r="F135" s="318">
        <f>$C$134*F134</f>
        <v>-201.95578304313435</v>
      </c>
      <c r="H135" s="318">
        <f>$C$134*H134</f>
        <v>-80.694659124299818</v>
      </c>
      <c r="I135" s="318">
        <f>$C$134*I134</f>
        <v>-336.41665353220901</v>
      </c>
      <c r="J135" s="318">
        <f>$C$134*J134</f>
        <v>134.80863860484786</v>
      </c>
      <c r="P135" s="318">
        <f>$C$134*P134</f>
        <v>199.46012008632934</v>
      </c>
      <c r="Q135" s="318">
        <f>$C$134*Q134</f>
        <v>-139.33043546922613</v>
      </c>
      <c r="S135" s="318">
        <f>$C$134*S134</f>
        <v>228.48569921278812</v>
      </c>
      <c r="T135" s="318">
        <f>$C$134*T134</f>
        <v>-303.18792577974904</v>
      </c>
      <c r="U135" s="318">
        <f>$C$134*U134</f>
        <v>173.30120787926393</v>
      </c>
      <c r="X135" s="318">
        <f>$C$134*X134</f>
        <v>-36.120342200775276</v>
      </c>
      <c r="Y135" s="318">
        <f>$C$134*Y134</f>
        <v>249.75103962655922</v>
      </c>
      <c r="Z135" s="318">
        <f>$C$134*Z134</f>
        <v>-90.449937138277221</v>
      </c>
      <c r="AA135" s="318">
        <f>$C$134*AA134</f>
        <v>-1121.1785073646511</v>
      </c>
      <c r="AG135" s="318">
        <f t="shared" ref="AG135:AJ135" si="109">$C$134*AG134</f>
        <v>92.835553419662702</v>
      </c>
      <c r="AH135" s="318">
        <f t="shared" si="109"/>
        <v>26.460687462215883</v>
      </c>
      <c r="AI135" s="318">
        <f t="shared" si="109"/>
        <v>101.22345341966269</v>
      </c>
      <c r="AJ135" s="318">
        <f t="shared" si="109"/>
        <v>-81.63362205203542</v>
      </c>
    </row>
    <row r="136" spans="2:36">
      <c r="B136" s="334"/>
      <c r="C136" s="334"/>
      <c r="D136" s="325">
        <f>D135*долл</f>
        <v>-7085.0189984504977</v>
      </c>
      <c r="E136" s="325">
        <f>E135*долл</f>
        <v>-6567.3873317838288</v>
      </c>
      <c r="F136" s="325">
        <f>F135*долл</f>
        <v>-17661.033227122098</v>
      </c>
      <c r="H136" s="325">
        <f>H135*долл</f>
        <v>-7056.7479404200194</v>
      </c>
      <c r="I136" s="325">
        <f>I135*долл</f>
        <v>-29419.63635139168</v>
      </c>
      <c r="J136" s="325">
        <f>J135*долл</f>
        <v>11789.015445993946</v>
      </c>
      <c r="P136" s="325">
        <f>P135*долл</f>
        <v>17442.787501549501</v>
      </c>
      <c r="Q136" s="325">
        <f>Q135*долл</f>
        <v>-12184.446581783826</v>
      </c>
      <c r="S136" s="325">
        <f>S135*долл</f>
        <v>19981.074396158321</v>
      </c>
      <c r="T136" s="325">
        <f>T135*долл</f>
        <v>-26513.784109439053</v>
      </c>
      <c r="U136" s="325">
        <f>U135*долл</f>
        <v>15155.190629041632</v>
      </c>
      <c r="X136" s="325">
        <f>X135*долл</f>
        <v>-3158.723925457798</v>
      </c>
      <c r="Y136" s="325">
        <f>Y135*долл</f>
        <v>21840.728415342604</v>
      </c>
      <c r="Z136" s="325">
        <f>Z135*долл</f>
        <v>-7909.8470027423436</v>
      </c>
      <c r="AA136" s="325">
        <f>AA135*долл</f>
        <v>-98047.060469038741</v>
      </c>
      <c r="AG136" s="325">
        <f>AG135*долл</f>
        <v>8118.4691465495034</v>
      </c>
      <c r="AH136" s="325">
        <f>AH135*долл</f>
        <v>2313.9871185707789</v>
      </c>
      <c r="AI136" s="325">
        <f>AI135*долл</f>
        <v>8851.9910015495025</v>
      </c>
      <c r="AJ136" s="325">
        <f>AJ135*долл</f>
        <v>-7138.8602484504981</v>
      </c>
    </row>
    <row r="137" spans="2:36">
      <c r="B137" s="334"/>
      <c r="C137" s="334"/>
      <c r="D137" s="326">
        <f>1+D136/D64</f>
        <v>0.89462500497782771</v>
      </c>
      <c r="E137" s="326">
        <f>1+E136/E64</f>
        <v>0.9156466161274972</v>
      </c>
      <c r="F137" s="326">
        <f>1+F136/F64</f>
        <v>0.77351068083722663</v>
      </c>
      <c r="H137" s="326">
        <f>1+H136/H64</f>
        <v>0.94024729151710895</v>
      </c>
      <c r="I137" s="326">
        <f>1+I136/I64</f>
        <v>0.57578068111472858</v>
      </c>
      <c r="J137" s="326">
        <f>1+J136/J64</f>
        <v>1.5537261325519109</v>
      </c>
      <c r="P137" s="326">
        <f>1+P136/P64</f>
        <v>1.1202276313390194</v>
      </c>
      <c r="Q137" s="326">
        <f>1+Q136/Q64</f>
        <v>0.75924716727871799</v>
      </c>
      <c r="S137" s="326">
        <f>1+S136/S64</f>
        <v>1.7336375263158774</v>
      </c>
      <c r="T137" s="326">
        <f>1+T136/T64</f>
        <v>0.70573076098120224</v>
      </c>
      <c r="U137" s="326">
        <f>1+U136/U64</f>
        <v>1.2084277169112123</v>
      </c>
      <c r="X137" s="326">
        <f>1+X136/X64</f>
        <v>0.93960135405679301</v>
      </c>
      <c r="Y137" s="326">
        <f>1+Y136/Y64</f>
        <v>1.1632139763077716</v>
      </c>
      <c r="Z137" s="326">
        <f>1+Z136/Z64</f>
        <v>0.90933433677659847</v>
      </c>
      <c r="AA137" s="326">
        <f>1+AA136/AA64</f>
        <v>0.40013423545094262</v>
      </c>
      <c r="AG137" s="326">
        <f>1+AG136/AG64</f>
        <v>1.157883594251127</v>
      </c>
      <c r="AH137" s="326">
        <f>1+AH136/AH64</f>
        <v>1.0293314224227392</v>
      </c>
      <c r="AI137" s="326">
        <f>1+AI136/AI64</f>
        <v>1.1316717811489831</v>
      </c>
      <c r="AJ137" s="326">
        <f>1+AJ136/AJ64</f>
        <v>0.88762063562667404</v>
      </c>
    </row>
    <row r="138" spans="2:36">
      <c r="B138" s="335"/>
      <c r="C138" s="336"/>
      <c r="D138" s="337"/>
      <c r="E138" s="337"/>
      <c r="F138" s="337"/>
      <c r="H138" s="337"/>
      <c r="I138" s="337"/>
      <c r="J138" s="337"/>
      <c r="P138" s="337"/>
      <c r="Q138" s="337"/>
      <c r="S138" s="337"/>
      <c r="T138" s="337"/>
      <c r="U138" s="337"/>
      <c r="X138" s="337"/>
      <c r="Y138" s="337"/>
      <c r="Z138" s="337"/>
      <c r="AA138" s="337"/>
      <c r="AG138" s="337"/>
      <c r="AH138" s="337"/>
      <c r="AI138" s="337"/>
      <c r="AJ138" s="337"/>
    </row>
    <row r="139" spans="2:36" ht="14.25">
      <c r="B139" s="334" t="s">
        <v>286</v>
      </c>
      <c r="C139" s="334">
        <v>0.02</v>
      </c>
      <c r="D139" s="340">
        <f>D136/D64</f>
        <v>-0.10537499502217232</v>
      </c>
      <c r="E139" s="340">
        <f>E136/E64</f>
        <v>-8.4353383872502755E-2</v>
      </c>
      <c r="F139" s="340">
        <f>F136/F64</f>
        <v>-0.2264893191627734</v>
      </c>
      <c r="H139" s="340">
        <f>H136/H64</f>
        <v>-5.9752708482891007E-2</v>
      </c>
      <c r="I139" s="340">
        <f>I136/I64</f>
        <v>-0.42421931888527137</v>
      </c>
      <c r="J139" s="340">
        <f>J136/J64</f>
        <v>0.55372613255191094</v>
      </c>
      <c r="P139" s="340">
        <f>P136/P64</f>
        <v>0.1202276313390193</v>
      </c>
      <c r="Q139" s="340">
        <f>Q136/Q64</f>
        <v>-0.24075283272128198</v>
      </c>
      <c r="S139" s="340">
        <f>S136/S64</f>
        <v>0.73363752631587742</v>
      </c>
      <c r="T139" s="340">
        <f>T136/T64</f>
        <v>-0.29426923901879776</v>
      </c>
      <c r="U139" s="340">
        <f>U136/U64</f>
        <v>0.20842771691121231</v>
      </c>
      <c r="X139" s="340">
        <f>X136/X64</f>
        <v>-6.0398645943206999E-2</v>
      </c>
      <c r="Y139" s="340">
        <f>Y136/Y64</f>
        <v>0.16321397630777165</v>
      </c>
      <c r="Z139" s="340">
        <f>Z136/Z64</f>
        <v>-9.0665663223401541E-2</v>
      </c>
      <c r="AA139" s="340">
        <f>AA136/AA64</f>
        <v>-0.59986576454905738</v>
      </c>
      <c r="AG139" s="340">
        <f>AG136/AG64</f>
        <v>0.15788359425112705</v>
      </c>
      <c r="AH139" s="340">
        <f>AH136/AH64</f>
        <v>2.9331422422739301E-2</v>
      </c>
      <c r="AI139" s="340">
        <f>AI136/AI64</f>
        <v>0.13167178114898326</v>
      </c>
      <c r="AJ139" s="340">
        <f>AJ136/AJ64</f>
        <v>-0.11237936437332599</v>
      </c>
    </row>
    <row r="140" spans="2:36" ht="18">
      <c r="B140" s="334"/>
      <c r="C140" s="372">
        <v>0.49169067650109483</v>
      </c>
      <c r="D140" s="324">
        <f>MROUND((1+D139)^$C$140,$C$139)</f>
        <v>0.94000000000000006</v>
      </c>
      <c r="E140" s="324">
        <f>MROUND((1+E139)^$C$140,$C$139)</f>
        <v>0.96</v>
      </c>
      <c r="F140" s="324">
        <f>MROUND((1+F139)^$C$140,$C$139)</f>
        <v>0.88</v>
      </c>
      <c r="H140" s="324">
        <f>MROUND((1+H139)^$C$140,$C$139)</f>
        <v>0.98</v>
      </c>
      <c r="I140" s="324">
        <f>MROUND((1+I139)^$C$140,$C$139)</f>
        <v>0.76</v>
      </c>
      <c r="J140" s="324">
        <f>MROUND((1+J139)^$C$140,$C$139)</f>
        <v>1.24</v>
      </c>
      <c r="P140" s="324">
        <f>MROUND((1+P139)^$C$140,$C$139)</f>
        <v>1.06</v>
      </c>
      <c r="Q140" s="324">
        <f>MROUND((1+Q139)^$C$140,$C$139)</f>
        <v>0.88</v>
      </c>
      <c r="S140" s="324">
        <f>MROUND((1+S139)^$C$140,$C$139)</f>
        <v>1.32</v>
      </c>
      <c r="T140" s="324">
        <f>MROUND((1+T139)^$C$140,$C$139)</f>
        <v>0.84</v>
      </c>
      <c r="U140" s="324">
        <f>MROUND((1+U139)^$C$140,$C$139)</f>
        <v>1.1000000000000001</v>
      </c>
      <c r="X140" s="324">
        <f>MROUND((1+X139)^$C$140,$C$139)</f>
        <v>0.96</v>
      </c>
      <c r="Y140" s="324">
        <f>MROUND((1+Y139)^$C$140,$C$139)</f>
        <v>1.08</v>
      </c>
      <c r="Z140" s="324">
        <f>MROUND((1+Z139)^$C$140,$C$139)</f>
        <v>0.96</v>
      </c>
      <c r="AA140" s="324">
        <f>MROUND((1+AA139)^$C$140,$C$139)</f>
        <v>0.64</v>
      </c>
      <c r="AG140" s="324">
        <f t="shared" ref="AG140:AJ140" si="110">MROUND((1+AG139)^$C$140,$C$139)</f>
        <v>1.08</v>
      </c>
      <c r="AH140" s="324">
        <f t="shared" si="110"/>
        <v>1.02</v>
      </c>
      <c r="AI140" s="324">
        <f t="shared" si="110"/>
        <v>1.06</v>
      </c>
      <c r="AJ140" s="324">
        <f t="shared" si="110"/>
        <v>0.94000000000000006</v>
      </c>
    </row>
    <row r="141" spans="2:36">
      <c r="B141" s="373" t="s">
        <v>287</v>
      </c>
      <c r="C141" s="74" t="s">
        <v>288</v>
      </c>
      <c r="D141" s="374"/>
      <c r="E141" s="374"/>
      <c r="F141" s="138"/>
      <c r="H141" s="374"/>
      <c r="I141" s="374">
        <v>0.6</v>
      </c>
      <c r="J141" s="374"/>
      <c r="P141" s="374">
        <v>0.6</v>
      </c>
      <c r="Q141" s="374">
        <v>0.6</v>
      </c>
      <c r="T141" s="138"/>
      <c r="U141" s="161"/>
      <c r="Y141" s="138"/>
      <c r="Z141" s="138"/>
      <c r="AA141" s="138"/>
      <c r="AG141" s="138"/>
      <c r="AH141" s="138"/>
      <c r="AI141" s="138"/>
      <c r="AJ141" s="138"/>
    </row>
    <row r="142" spans="2:36">
      <c r="B142" s="375" t="s">
        <v>289</v>
      </c>
      <c r="C142" s="169" t="s">
        <v>290</v>
      </c>
      <c r="D142" s="138"/>
      <c r="E142" s="138"/>
      <c r="F142" s="138"/>
      <c r="H142" s="138"/>
      <c r="I142" s="138"/>
      <c r="J142" s="138"/>
      <c r="P142" s="138"/>
      <c r="Q142" s="138"/>
      <c r="T142" s="138"/>
      <c r="Y142" s="138"/>
      <c r="Z142" s="138"/>
      <c r="AA142" s="138"/>
      <c r="AG142" s="138"/>
      <c r="AH142" s="138"/>
      <c r="AI142" s="138"/>
      <c r="AJ142" s="138"/>
    </row>
    <row r="143" spans="2:36">
      <c r="B143" s="375" t="s">
        <v>291</v>
      </c>
      <c r="C143" s="169" t="s">
        <v>292</v>
      </c>
      <c r="D143" s="138"/>
      <c r="E143" s="138"/>
      <c r="F143" s="138"/>
      <c r="H143" s="138"/>
      <c r="I143" s="138"/>
      <c r="J143" s="138"/>
      <c r="P143" s="138"/>
      <c r="Q143" s="138"/>
      <c r="T143" s="138"/>
      <c r="Y143" s="138"/>
      <c r="Z143" s="138"/>
      <c r="AA143" s="138"/>
      <c r="AG143" s="138"/>
      <c r="AH143" s="138"/>
      <c r="AI143" s="138"/>
      <c r="AJ143" s="138"/>
    </row>
    <row r="144" spans="2:36">
      <c r="B144" s="375" t="s">
        <v>293</v>
      </c>
      <c r="C144" s="169" t="s">
        <v>294</v>
      </c>
      <c r="D144" s="138"/>
      <c r="E144" s="138"/>
      <c r="F144" s="138"/>
      <c r="H144" s="138"/>
      <c r="I144" s="138"/>
      <c r="J144" s="138"/>
      <c r="P144" s="138"/>
      <c r="Q144" s="138"/>
      <c r="T144" s="138"/>
      <c r="Y144" s="138"/>
      <c r="Z144" s="138"/>
      <c r="AA144" s="138"/>
      <c r="AG144" s="138"/>
      <c r="AH144" s="138"/>
      <c r="AI144" s="138"/>
      <c r="AJ144" s="138"/>
    </row>
    <row r="145" spans="2:36">
      <c r="B145" s="373" t="s">
        <v>295</v>
      </c>
      <c r="C145" s="74" t="s">
        <v>296</v>
      </c>
      <c r="D145" s="138"/>
      <c r="E145" s="138"/>
      <c r="F145" s="138"/>
      <c r="H145" s="138"/>
      <c r="I145" s="138"/>
      <c r="J145" s="138"/>
      <c r="P145" s="138"/>
      <c r="Q145" s="138"/>
      <c r="T145" s="138"/>
      <c r="Y145" s="138"/>
      <c r="Z145" s="138"/>
      <c r="AA145" s="138"/>
      <c r="AG145" s="138"/>
      <c r="AH145" s="138"/>
      <c r="AI145" s="138"/>
      <c r="AJ145" s="138"/>
    </row>
    <row r="146" spans="2:36">
      <c r="D146" s="138"/>
      <c r="E146" s="138"/>
      <c r="F146" s="138"/>
      <c r="H146" s="138"/>
      <c r="I146" s="138"/>
      <c r="J146" s="138"/>
      <c r="P146" s="138"/>
      <c r="Q146" s="138"/>
      <c r="T146" s="138"/>
      <c r="Y146" s="138"/>
      <c r="Z146" s="138"/>
      <c r="AA146" s="138"/>
      <c r="AG146" s="138"/>
      <c r="AH146" s="138"/>
      <c r="AI146" s="138"/>
      <c r="AJ146" s="138"/>
    </row>
    <row r="147" spans="2:36">
      <c r="D147" s="138"/>
      <c r="E147" s="138"/>
      <c r="F147" s="138"/>
      <c r="H147" s="138"/>
      <c r="I147" s="138"/>
      <c r="J147" s="138"/>
      <c r="P147" s="138"/>
      <c r="Q147" s="138"/>
      <c r="T147" s="138"/>
      <c r="Y147" s="138"/>
      <c r="Z147" s="138"/>
      <c r="AA147" s="138"/>
      <c r="AG147" s="138"/>
      <c r="AH147" s="138"/>
      <c r="AI147" s="138"/>
      <c r="AJ147" s="138"/>
    </row>
    <row r="148" spans="2:36" ht="14.25">
      <c r="B148" s="376" t="s">
        <v>580</v>
      </c>
      <c r="C148" s="377"/>
      <c r="D148" s="138"/>
      <c r="E148" s="138"/>
      <c r="F148" s="138"/>
      <c r="H148" s="138"/>
      <c r="I148" s="138"/>
      <c r="J148" s="138"/>
      <c r="P148" s="138"/>
      <c r="Q148" s="138"/>
      <c r="T148" s="138"/>
      <c r="X148" s="74"/>
      <c r="Y148" s="138"/>
      <c r="Z148" s="138"/>
      <c r="AA148" s="138"/>
      <c r="AG148" s="138"/>
      <c r="AH148" s="138"/>
      <c r="AI148" s="138"/>
      <c r="AJ148" s="138"/>
    </row>
    <row r="149" spans="2:36">
      <c r="C149" s="281"/>
      <c r="D149" s="138"/>
      <c r="E149" s="138"/>
      <c r="F149" s="138"/>
      <c r="H149" s="138"/>
      <c r="I149" s="138"/>
      <c r="J149" s="138"/>
      <c r="P149" s="138"/>
      <c r="Q149" s="138"/>
      <c r="S149" s="370"/>
      <c r="T149" s="138"/>
      <c r="X149" s="370"/>
      <c r="Y149" s="138"/>
      <c r="Z149" s="138"/>
      <c r="AA149" s="138"/>
      <c r="AG149" s="138"/>
      <c r="AH149" s="138"/>
      <c r="AI149" s="138"/>
      <c r="AJ149" s="138"/>
    </row>
    <row r="150" spans="2:36">
      <c r="B150" s="260" t="s">
        <v>581</v>
      </c>
      <c r="C150" s="278">
        <v>350</v>
      </c>
      <c r="D150" s="138"/>
      <c r="E150" s="138"/>
      <c r="F150" s="138"/>
      <c r="H150" s="138"/>
      <c r="I150" s="138"/>
      <c r="J150" s="138"/>
      <c r="P150" s="138"/>
      <c r="Q150" s="138"/>
      <c r="S150" s="370"/>
      <c r="T150" s="138"/>
      <c r="X150" s="370"/>
      <c r="Y150" s="138"/>
      <c r="Z150" s="138"/>
      <c r="AA150" s="138"/>
      <c r="AG150" s="138"/>
      <c r="AH150" s="138"/>
      <c r="AI150" s="138"/>
      <c r="AJ150" s="138"/>
    </row>
    <row r="151" spans="2:36">
      <c r="B151" s="260" t="s">
        <v>582</v>
      </c>
      <c r="C151" s="278">
        <f>AVERAGE(D36:N36)</f>
        <v>792.45672120801385</v>
      </c>
      <c r="D151" s="138"/>
      <c r="E151" s="138"/>
      <c r="F151" s="138"/>
      <c r="H151" s="138"/>
      <c r="I151" s="138"/>
      <c r="J151" s="138"/>
      <c r="P151" s="138"/>
      <c r="Q151" s="138"/>
      <c r="S151" s="370"/>
      <c r="T151" s="138"/>
      <c r="X151" s="370"/>
      <c r="Y151" s="138"/>
      <c r="Z151" s="138"/>
      <c r="AA151" s="138"/>
      <c r="AG151" s="138"/>
      <c r="AH151" s="138"/>
      <c r="AI151" s="138"/>
      <c r="AJ151" s="138"/>
    </row>
    <row r="152" spans="2:36">
      <c r="B152" s="260" t="s">
        <v>583</v>
      </c>
      <c r="C152" s="281">
        <f>MROUND(C150/C151,0.01)/4</f>
        <v>0.11</v>
      </c>
      <c r="D152" s="138"/>
      <c r="E152" s="138"/>
      <c r="F152" s="138"/>
      <c r="H152" s="138"/>
      <c r="I152" s="138"/>
      <c r="J152" s="138"/>
      <c r="P152" s="138"/>
      <c r="Q152" s="138"/>
      <c r="S152" s="370"/>
      <c r="T152" s="138"/>
      <c r="X152" s="370"/>
      <c r="Y152" s="138"/>
      <c r="Z152" s="138"/>
      <c r="AA152" s="138"/>
      <c r="AG152" s="138"/>
      <c r="AH152" s="138"/>
      <c r="AI152" s="138"/>
      <c r="AJ152" s="138"/>
    </row>
    <row r="153" spans="2:36">
      <c r="D153" s="138"/>
      <c r="E153" s="138"/>
      <c r="F153" s="138"/>
      <c r="H153" s="138"/>
      <c r="I153" s="138"/>
      <c r="J153" s="138"/>
      <c r="P153" s="138"/>
      <c r="Q153" s="138"/>
      <c r="S153" s="370"/>
      <c r="T153" s="138"/>
      <c r="X153" s="370"/>
      <c r="Y153" s="138"/>
      <c r="Z153" s="138"/>
      <c r="AA153" s="138"/>
      <c r="AG153" s="138"/>
      <c r="AH153" s="138"/>
      <c r="AI153" s="138"/>
      <c r="AJ153" s="138"/>
    </row>
    <row r="154" spans="2:36">
      <c r="D154" s="138"/>
      <c r="E154" s="138"/>
      <c r="F154" s="138"/>
      <c r="H154" s="138"/>
      <c r="I154" s="138"/>
      <c r="J154" s="138"/>
      <c r="P154" s="138"/>
      <c r="Q154" s="138"/>
      <c r="S154" s="370"/>
      <c r="T154" s="138"/>
      <c r="X154" s="370"/>
      <c r="Y154" s="138"/>
      <c r="Z154" s="138"/>
      <c r="AA154" s="138"/>
      <c r="AG154" s="138"/>
      <c r="AH154" s="138"/>
      <c r="AI154" s="138"/>
      <c r="AJ154" s="138"/>
    </row>
    <row r="155" spans="2:36">
      <c r="D155" s="138"/>
      <c r="E155" s="138"/>
      <c r="F155" s="138"/>
      <c r="H155" s="138"/>
      <c r="I155" s="138"/>
      <c r="J155" s="138"/>
      <c r="P155" s="138"/>
      <c r="Q155" s="138"/>
      <c r="S155" s="370"/>
      <c r="T155" s="138"/>
      <c r="X155" s="370"/>
      <c r="Y155" s="138"/>
      <c r="Z155" s="138"/>
      <c r="AA155" s="138"/>
      <c r="AG155" s="138"/>
      <c r="AH155" s="138"/>
      <c r="AI155" s="138"/>
      <c r="AJ155" s="138"/>
    </row>
    <row r="156" spans="2:36">
      <c r="D156" s="138"/>
      <c r="E156" s="138"/>
      <c r="F156" s="138"/>
      <c r="H156" s="138"/>
      <c r="I156" s="138"/>
      <c r="J156" s="138"/>
      <c r="P156" s="138"/>
      <c r="Q156" s="138"/>
      <c r="T156" s="138"/>
      <c r="Y156" s="138"/>
      <c r="Z156" s="138"/>
      <c r="AA156" s="138"/>
      <c r="AG156" s="138"/>
      <c r="AH156" s="138"/>
      <c r="AI156" s="138"/>
      <c r="AJ156" s="138"/>
    </row>
    <row r="157" spans="2:36">
      <c r="D157" s="138"/>
      <c r="E157" s="138"/>
      <c r="F157" s="138"/>
      <c r="H157" s="138"/>
      <c r="I157" s="138"/>
      <c r="J157" s="138"/>
      <c r="P157" s="138"/>
      <c r="Q157" s="138"/>
      <c r="T157" s="138"/>
      <c r="Y157" s="138"/>
      <c r="Z157" s="138"/>
      <c r="AA157" s="138"/>
      <c r="AG157" s="138"/>
      <c r="AH157" s="138"/>
      <c r="AI157" s="138"/>
      <c r="AJ157" s="138"/>
    </row>
    <row r="158" spans="2:36">
      <c r="D158" s="138"/>
      <c r="E158" s="138"/>
      <c r="F158" s="138"/>
      <c r="H158" s="138"/>
      <c r="I158" s="138"/>
      <c r="J158" s="138"/>
      <c r="P158" s="138"/>
      <c r="Q158" s="138"/>
      <c r="T158" s="138"/>
      <c r="Y158" s="138"/>
      <c r="Z158" s="138"/>
      <c r="AA158" s="138"/>
      <c r="AG158" s="138"/>
      <c r="AH158" s="138"/>
      <c r="AI158" s="138"/>
      <c r="AJ158" s="138"/>
    </row>
    <row r="159" spans="2:36">
      <c r="D159" s="138"/>
      <c r="E159" s="138"/>
      <c r="F159" s="138"/>
      <c r="H159" s="138"/>
      <c r="I159" s="138"/>
      <c r="J159" s="138"/>
      <c r="P159" s="138"/>
      <c r="Q159" s="138"/>
      <c r="T159" s="138"/>
      <c r="Y159" s="138"/>
      <c r="Z159" s="138"/>
      <c r="AA159" s="138"/>
      <c r="AG159" s="138"/>
      <c r="AH159" s="138"/>
      <c r="AI159" s="138"/>
      <c r="AJ159" s="138"/>
    </row>
    <row r="160" spans="2:36">
      <c r="D160" s="138"/>
      <c r="E160" s="138"/>
      <c r="F160" s="138"/>
      <c r="H160" s="138"/>
      <c r="I160" s="138"/>
      <c r="J160" s="138"/>
      <c r="P160" s="138"/>
      <c r="Q160" s="138"/>
      <c r="T160" s="138"/>
      <c r="Y160" s="138"/>
      <c r="Z160" s="138"/>
      <c r="AA160" s="138"/>
      <c r="AG160" s="138"/>
      <c r="AH160" s="138"/>
      <c r="AI160" s="138"/>
      <c r="AJ160" s="138"/>
    </row>
    <row r="161" spans="4:36">
      <c r="D161" s="138"/>
      <c r="E161" s="138"/>
      <c r="F161" s="138"/>
      <c r="H161" s="138"/>
      <c r="I161" s="138"/>
      <c r="J161" s="138"/>
      <c r="P161" s="138"/>
      <c r="Q161" s="138"/>
      <c r="T161" s="138"/>
      <c r="Y161" s="138"/>
      <c r="Z161" s="138"/>
      <c r="AA161" s="138"/>
      <c r="AG161" s="138"/>
      <c r="AH161" s="138"/>
      <c r="AI161" s="138"/>
      <c r="AJ161" s="138"/>
    </row>
    <row r="162" spans="4:36">
      <c r="D162" s="138"/>
      <c r="E162" s="138"/>
      <c r="F162" s="138"/>
      <c r="H162" s="138"/>
      <c r="I162" s="138"/>
      <c r="J162" s="138"/>
      <c r="P162" s="138"/>
      <c r="Q162" s="138"/>
      <c r="T162" s="138"/>
      <c r="Y162" s="138"/>
      <c r="Z162" s="138"/>
      <c r="AA162" s="138"/>
      <c r="AG162" s="138"/>
      <c r="AH162" s="138"/>
      <c r="AI162" s="138"/>
      <c r="AJ162" s="138"/>
    </row>
    <row r="163" spans="4:36">
      <c r="D163" s="138"/>
      <c r="E163" s="138"/>
      <c r="F163" s="138"/>
      <c r="H163" s="138"/>
      <c r="I163" s="138"/>
      <c r="J163" s="138"/>
      <c r="P163" s="138"/>
      <c r="Q163" s="138"/>
      <c r="T163" s="138"/>
      <c r="Y163" s="138"/>
      <c r="Z163" s="138"/>
      <c r="AA163" s="138"/>
      <c r="AG163" s="138"/>
      <c r="AH163" s="138"/>
      <c r="AI163" s="138"/>
      <c r="AJ163" s="138"/>
    </row>
    <row r="164" spans="4:36">
      <c r="D164" s="138"/>
      <c r="E164" s="138"/>
      <c r="F164" s="138"/>
      <c r="H164" s="138"/>
      <c r="I164" s="138"/>
      <c r="J164" s="138"/>
      <c r="P164" s="138"/>
      <c r="Q164" s="138"/>
      <c r="T164" s="138"/>
      <c r="Y164" s="138"/>
      <c r="Z164" s="138"/>
      <c r="AA164" s="138"/>
      <c r="AG164" s="138"/>
      <c r="AH164" s="138"/>
      <c r="AI164" s="138"/>
      <c r="AJ164" s="138"/>
    </row>
    <row r="165" spans="4:36">
      <c r="D165" s="138"/>
      <c r="E165" s="138"/>
      <c r="F165" s="138"/>
      <c r="H165" s="138"/>
      <c r="I165" s="138"/>
      <c r="J165" s="138"/>
      <c r="P165" s="138"/>
      <c r="Q165" s="138"/>
      <c r="T165" s="138"/>
      <c r="Y165" s="138"/>
      <c r="Z165" s="138"/>
      <c r="AA165" s="138"/>
      <c r="AG165" s="138"/>
      <c r="AH165" s="138"/>
      <c r="AI165" s="138"/>
      <c r="AJ165" s="138"/>
    </row>
    <row r="166" spans="4:36">
      <c r="D166" s="138"/>
      <c r="E166" s="138"/>
      <c r="F166" s="138"/>
      <c r="H166" s="138"/>
      <c r="I166" s="138"/>
      <c r="J166" s="138"/>
      <c r="P166" s="138"/>
      <c r="Q166" s="138"/>
      <c r="T166" s="138"/>
      <c r="Y166" s="138"/>
      <c r="Z166" s="138"/>
      <c r="AA166" s="138"/>
      <c r="AG166" s="138"/>
      <c r="AH166" s="138"/>
      <c r="AI166" s="138"/>
      <c r="AJ166" s="138"/>
    </row>
    <row r="167" spans="4:36">
      <c r="D167" s="138"/>
      <c r="E167" s="138"/>
      <c r="F167" s="138"/>
      <c r="H167" s="138"/>
      <c r="I167" s="138"/>
      <c r="J167" s="138"/>
      <c r="P167" s="138"/>
      <c r="Q167" s="138"/>
      <c r="T167" s="138"/>
      <c r="Y167" s="138"/>
      <c r="Z167" s="138"/>
      <c r="AA167" s="138"/>
      <c r="AG167" s="138"/>
      <c r="AH167" s="138"/>
      <c r="AI167" s="138"/>
      <c r="AJ167" s="138"/>
    </row>
    <row r="168" spans="4:36">
      <c r="D168" s="138"/>
      <c r="E168" s="138"/>
      <c r="F168" s="138"/>
      <c r="H168" s="138"/>
      <c r="I168" s="138"/>
      <c r="J168" s="138"/>
      <c r="P168" s="138"/>
      <c r="Q168" s="138"/>
      <c r="T168" s="138"/>
      <c r="Y168" s="138"/>
      <c r="Z168" s="138"/>
      <c r="AA168" s="138"/>
      <c r="AG168" s="138"/>
      <c r="AH168" s="138"/>
      <c r="AI168" s="138"/>
      <c r="AJ168" s="138"/>
    </row>
    <row r="169" spans="4:36">
      <c r="D169" s="138"/>
      <c r="E169" s="138"/>
      <c r="F169" s="138"/>
      <c r="H169" s="138"/>
      <c r="I169" s="138"/>
      <c r="J169" s="138"/>
      <c r="P169" s="138"/>
      <c r="Q169" s="138"/>
      <c r="T169" s="138"/>
      <c r="Y169" s="138"/>
      <c r="Z169" s="138"/>
      <c r="AA169" s="138"/>
      <c r="AG169" s="138"/>
      <c r="AH169" s="138"/>
      <c r="AI169" s="138"/>
      <c r="AJ169" s="138"/>
    </row>
    <row r="170" spans="4:36">
      <c r="D170" s="138"/>
      <c r="E170" s="138"/>
      <c r="F170" s="138"/>
      <c r="H170" s="138"/>
      <c r="I170" s="138"/>
      <c r="J170" s="138"/>
      <c r="P170" s="138"/>
      <c r="Q170" s="138"/>
      <c r="T170" s="138"/>
      <c r="Y170" s="138"/>
      <c r="Z170" s="138"/>
      <c r="AA170" s="138"/>
      <c r="AG170" s="138"/>
      <c r="AH170" s="138"/>
      <c r="AI170" s="138"/>
      <c r="AJ170" s="138"/>
    </row>
    <row r="171" spans="4:36">
      <c r="D171" s="138"/>
      <c r="E171" s="138"/>
      <c r="F171" s="138"/>
      <c r="H171" s="138"/>
      <c r="I171" s="138"/>
      <c r="J171" s="138"/>
      <c r="P171" s="138"/>
      <c r="Q171" s="138"/>
      <c r="T171" s="138"/>
      <c r="Y171" s="138"/>
      <c r="Z171" s="138"/>
      <c r="AA171" s="138"/>
      <c r="AG171" s="138"/>
      <c r="AH171" s="138"/>
      <c r="AI171" s="138"/>
      <c r="AJ171" s="138"/>
    </row>
    <row r="172" spans="4:36">
      <c r="D172" s="138"/>
      <c r="E172" s="138"/>
      <c r="F172" s="138"/>
      <c r="H172" s="138"/>
      <c r="I172" s="138"/>
      <c r="J172" s="138"/>
      <c r="P172" s="138"/>
      <c r="Q172" s="138"/>
      <c r="T172" s="138"/>
      <c r="Y172" s="138"/>
      <c r="Z172" s="138"/>
      <c r="AA172" s="138"/>
      <c r="AG172" s="138"/>
      <c r="AH172" s="138"/>
      <c r="AI172" s="138"/>
      <c r="AJ172" s="138"/>
    </row>
    <row r="173" spans="4:36">
      <c r="D173" s="138"/>
      <c r="E173" s="138"/>
      <c r="F173" s="138"/>
      <c r="H173" s="138"/>
      <c r="I173" s="138"/>
      <c r="J173" s="138"/>
      <c r="P173" s="138"/>
      <c r="Q173" s="138"/>
      <c r="T173" s="138"/>
      <c r="Y173" s="138"/>
      <c r="Z173" s="138"/>
      <c r="AA173" s="138"/>
      <c r="AG173" s="138"/>
      <c r="AH173" s="138"/>
      <c r="AI173" s="138"/>
      <c r="AJ173" s="138"/>
    </row>
    <row r="174" spans="4:36">
      <c r="D174" s="138"/>
      <c r="E174" s="138"/>
      <c r="F174" s="138"/>
      <c r="H174" s="138"/>
      <c r="I174" s="138"/>
      <c r="J174" s="138"/>
      <c r="P174" s="138"/>
      <c r="Q174" s="138"/>
      <c r="T174" s="138"/>
      <c r="Y174" s="138"/>
      <c r="Z174" s="138"/>
      <c r="AA174" s="138"/>
      <c r="AG174" s="138"/>
      <c r="AH174" s="138"/>
      <c r="AI174" s="138"/>
      <c r="AJ174" s="138"/>
    </row>
    <row r="175" spans="4:36">
      <c r="D175" s="138"/>
      <c r="E175" s="138"/>
      <c r="F175" s="138"/>
      <c r="H175" s="138"/>
      <c r="I175" s="138"/>
      <c r="J175" s="138"/>
      <c r="P175" s="138"/>
      <c r="Q175" s="138"/>
      <c r="T175" s="138"/>
      <c r="Y175" s="138"/>
      <c r="Z175" s="138"/>
      <c r="AA175" s="138"/>
      <c r="AG175" s="138"/>
      <c r="AH175" s="138"/>
      <c r="AI175" s="138"/>
      <c r="AJ175" s="138"/>
    </row>
    <row r="176" spans="4:36">
      <c r="D176" s="138"/>
      <c r="E176" s="138"/>
      <c r="F176" s="138"/>
      <c r="H176" s="138"/>
      <c r="I176" s="138"/>
      <c r="J176" s="138"/>
      <c r="P176" s="138"/>
      <c r="Q176" s="138"/>
      <c r="T176" s="138"/>
      <c r="Y176" s="138"/>
      <c r="Z176" s="138"/>
      <c r="AA176" s="138"/>
      <c r="AG176" s="138"/>
      <c r="AH176" s="138"/>
      <c r="AI176" s="138"/>
      <c r="AJ176" s="138"/>
    </row>
    <row r="177" spans="4:36">
      <c r="D177" s="138"/>
      <c r="E177" s="138"/>
      <c r="F177" s="138"/>
      <c r="H177" s="138"/>
      <c r="I177" s="138"/>
      <c r="J177" s="138"/>
      <c r="P177" s="138"/>
      <c r="Q177" s="138"/>
      <c r="T177" s="138"/>
      <c r="Y177" s="138"/>
      <c r="Z177" s="138"/>
      <c r="AA177" s="138"/>
      <c r="AG177" s="138"/>
      <c r="AH177" s="138"/>
      <c r="AI177" s="138"/>
      <c r="AJ177" s="138"/>
    </row>
    <row r="178" spans="4:36">
      <c r="D178" s="138"/>
      <c r="E178" s="138"/>
      <c r="F178" s="138"/>
      <c r="H178" s="138"/>
      <c r="I178" s="138"/>
      <c r="J178" s="138"/>
      <c r="P178" s="138"/>
      <c r="Q178" s="138"/>
      <c r="T178" s="138"/>
      <c r="Y178" s="138"/>
      <c r="Z178" s="138"/>
      <c r="AA178" s="138"/>
      <c r="AG178" s="138"/>
      <c r="AH178" s="138"/>
      <c r="AI178" s="138"/>
      <c r="AJ178" s="138"/>
    </row>
    <row r="179" spans="4:36">
      <c r="D179" s="138"/>
      <c r="E179" s="138"/>
      <c r="F179" s="138"/>
      <c r="H179" s="138"/>
      <c r="I179" s="138"/>
      <c r="J179" s="138"/>
      <c r="P179" s="138"/>
      <c r="Q179" s="138"/>
      <c r="T179" s="138"/>
      <c r="Y179" s="138"/>
      <c r="Z179" s="138"/>
      <c r="AA179" s="138"/>
      <c r="AG179" s="138"/>
      <c r="AH179" s="138"/>
      <c r="AI179" s="138"/>
      <c r="AJ179" s="138"/>
    </row>
    <row r="180" spans="4:36">
      <c r="D180" s="138"/>
      <c r="E180" s="138"/>
      <c r="F180" s="138"/>
      <c r="H180" s="138"/>
      <c r="I180" s="138"/>
      <c r="J180" s="138"/>
      <c r="P180" s="138"/>
      <c r="Q180" s="138"/>
      <c r="T180" s="138"/>
      <c r="Y180" s="138"/>
      <c r="Z180" s="138"/>
      <c r="AA180" s="138"/>
      <c r="AG180" s="138"/>
      <c r="AH180" s="138"/>
      <c r="AI180" s="138"/>
      <c r="AJ180" s="138"/>
    </row>
    <row r="181" spans="4:36">
      <c r="D181" s="138"/>
      <c r="E181" s="138"/>
      <c r="F181" s="138"/>
      <c r="H181" s="138"/>
      <c r="I181" s="138"/>
      <c r="J181" s="138"/>
      <c r="P181" s="138"/>
      <c r="Q181" s="138"/>
      <c r="T181" s="138"/>
      <c r="Y181" s="138"/>
      <c r="Z181" s="138"/>
      <c r="AA181" s="138"/>
      <c r="AG181" s="138"/>
      <c r="AH181" s="138"/>
      <c r="AI181" s="138"/>
      <c r="AJ181" s="138"/>
    </row>
    <row r="182" spans="4:36">
      <c r="D182" s="138"/>
      <c r="E182" s="138"/>
      <c r="F182" s="138"/>
      <c r="H182" s="138"/>
      <c r="I182" s="138"/>
      <c r="J182" s="138"/>
      <c r="P182" s="138"/>
      <c r="Q182" s="138"/>
      <c r="T182" s="138"/>
      <c r="Y182" s="138"/>
      <c r="Z182" s="138"/>
      <c r="AA182" s="138"/>
      <c r="AG182" s="138"/>
      <c r="AH182" s="138"/>
      <c r="AI182" s="138"/>
      <c r="AJ182" s="138"/>
    </row>
    <row r="183" spans="4:36">
      <c r="D183" s="138"/>
      <c r="E183" s="138"/>
      <c r="F183" s="138"/>
      <c r="H183" s="138"/>
      <c r="I183" s="138"/>
      <c r="J183" s="138"/>
      <c r="P183" s="138"/>
      <c r="Q183" s="138"/>
      <c r="T183" s="138"/>
      <c r="Y183" s="138"/>
      <c r="Z183" s="138"/>
      <c r="AA183" s="138"/>
      <c r="AG183" s="138"/>
      <c r="AH183" s="138"/>
      <c r="AI183" s="138"/>
      <c r="AJ183" s="138"/>
    </row>
    <row r="184" spans="4:36">
      <c r="D184" s="138"/>
      <c r="E184" s="138"/>
      <c r="F184" s="138"/>
      <c r="H184" s="138"/>
      <c r="I184" s="138"/>
      <c r="J184" s="138"/>
      <c r="P184" s="138"/>
      <c r="Q184" s="138"/>
      <c r="T184" s="138"/>
      <c r="Y184" s="138"/>
      <c r="Z184" s="138"/>
      <c r="AA184" s="138"/>
      <c r="AG184" s="138"/>
      <c r="AH184" s="138"/>
      <c r="AI184" s="138"/>
      <c r="AJ184" s="138"/>
    </row>
    <row r="185" spans="4:36">
      <c r="D185" s="138"/>
      <c r="E185" s="138"/>
      <c r="F185" s="138"/>
      <c r="H185" s="138"/>
      <c r="I185" s="138"/>
      <c r="J185" s="138"/>
      <c r="P185" s="138"/>
      <c r="Q185" s="138"/>
      <c r="T185" s="138"/>
      <c r="Y185" s="138"/>
      <c r="Z185" s="138"/>
      <c r="AA185" s="138"/>
      <c r="AG185" s="138"/>
      <c r="AH185" s="138"/>
      <c r="AI185" s="138"/>
      <c r="AJ185" s="138"/>
    </row>
    <row r="186" spans="4:36">
      <c r="D186" s="138"/>
      <c r="E186" s="138"/>
      <c r="F186" s="138"/>
      <c r="H186" s="138"/>
      <c r="I186" s="138"/>
      <c r="J186" s="138"/>
      <c r="P186" s="138"/>
      <c r="Q186" s="138"/>
      <c r="T186" s="138"/>
      <c r="Y186" s="138"/>
      <c r="Z186" s="138"/>
      <c r="AA186" s="138"/>
      <c r="AG186" s="138"/>
      <c r="AH186" s="138"/>
      <c r="AI186" s="138"/>
      <c r="AJ186" s="138"/>
    </row>
    <row r="187" spans="4:36">
      <c r="D187" s="138"/>
      <c r="E187" s="138"/>
      <c r="F187" s="138"/>
      <c r="H187" s="138"/>
      <c r="I187" s="138"/>
      <c r="J187" s="138"/>
      <c r="P187" s="138"/>
      <c r="Q187" s="138"/>
      <c r="T187" s="138"/>
      <c r="Y187" s="138"/>
      <c r="Z187" s="138"/>
      <c r="AA187" s="138"/>
      <c r="AG187" s="138"/>
      <c r="AH187" s="138"/>
      <c r="AI187" s="138"/>
      <c r="AJ187" s="138"/>
    </row>
    <row r="188" spans="4:36">
      <c r="D188" s="138"/>
      <c r="E188" s="138"/>
      <c r="F188" s="138"/>
      <c r="H188" s="138"/>
      <c r="I188" s="138"/>
      <c r="J188" s="138"/>
      <c r="P188" s="138"/>
      <c r="Q188" s="138"/>
      <c r="T188" s="138"/>
      <c r="Y188" s="138"/>
      <c r="Z188" s="138"/>
      <c r="AA188" s="138"/>
      <c r="AG188" s="138"/>
      <c r="AH188" s="138"/>
      <c r="AI188" s="138"/>
      <c r="AJ188" s="138"/>
    </row>
    <row r="189" spans="4:36">
      <c r="D189" s="138"/>
      <c r="E189" s="138"/>
      <c r="F189" s="138"/>
      <c r="H189" s="138"/>
      <c r="I189" s="138"/>
      <c r="J189" s="138"/>
      <c r="P189" s="138"/>
      <c r="Q189" s="138"/>
      <c r="T189" s="138"/>
      <c r="Y189" s="138"/>
      <c r="Z189" s="138"/>
      <c r="AA189" s="138"/>
      <c r="AG189" s="138"/>
      <c r="AH189" s="138"/>
      <c r="AI189" s="138"/>
      <c r="AJ189" s="138"/>
    </row>
    <row r="190" spans="4:36">
      <c r="D190" s="138"/>
      <c r="E190" s="138"/>
      <c r="F190" s="138"/>
      <c r="H190" s="138"/>
      <c r="I190" s="138"/>
      <c r="J190" s="138"/>
      <c r="P190" s="138"/>
      <c r="Q190" s="138"/>
      <c r="T190" s="138"/>
      <c r="Y190" s="138"/>
      <c r="Z190" s="138"/>
      <c r="AA190" s="138"/>
      <c r="AG190" s="138"/>
      <c r="AH190" s="138"/>
      <c r="AI190" s="138"/>
      <c r="AJ190" s="138"/>
    </row>
    <row r="191" spans="4:36">
      <c r="D191" s="138"/>
      <c r="E191" s="138"/>
      <c r="F191" s="138"/>
      <c r="H191" s="138"/>
      <c r="I191" s="138"/>
      <c r="J191" s="138"/>
      <c r="P191" s="138"/>
      <c r="Q191" s="138"/>
      <c r="T191" s="138"/>
      <c r="Y191" s="138"/>
      <c r="Z191" s="138"/>
      <c r="AA191" s="138"/>
      <c r="AG191" s="138"/>
      <c r="AH191" s="138"/>
      <c r="AI191" s="138"/>
      <c r="AJ191" s="138"/>
    </row>
    <row r="192" spans="4:36">
      <c r="D192" s="138"/>
      <c r="E192" s="138"/>
      <c r="F192" s="138"/>
      <c r="H192" s="138"/>
      <c r="I192" s="138"/>
      <c r="J192" s="138"/>
      <c r="P192" s="138"/>
      <c r="Q192" s="138"/>
      <c r="T192" s="138"/>
      <c r="Y192" s="138"/>
      <c r="Z192" s="138"/>
      <c r="AA192" s="138"/>
      <c r="AG192" s="138"/>
      <c r="AH192" s="138"/>
      <c r="AI192" s="138"/>
      <c r="AJ192" s="138"/>
    </row>
    <row r="193" spans="4:36">
      <c r="D193" s="138"/>
      <c r="E193" s="138"/>
      <c r="F193" s="138"/>
      <c r="H193" s="138"/>
      <c r="I193" s="138"/>
      <c r="J193" s="138"/>
      <c r="P193" s="138"/>
      <c r="Q193" s="138"/>
      <c r="T193" s="138"/>
      <c r="Y193" s="138"/>
      <c r="Z193" s="138"/>
      <c r="AA193" s="138"/>
      <c r="AG193" s="138"/>
      <c r="AH193" s="138"/>
      <c r="AI193" s="138"/>
      <c r="AJ193" s="138"/>
    </row>
    <row r="194" spans="4:36">
      <c r="D194" s="138"/>
      <c r="E194" s="138"/>
      <c r="F194" s="138"/>
      <c r="H194" s="138"/>
      <c r="I194" s="138"/>
      <c r="J194" s="138"/>
      <c r="P194" s="138"/>
      <c r="Q194" s="138"/>
      <c r="T194" s="138"/>
      <c r="Y194" s="138"/>
      <c r="Z194" s="138"/>
      <c r="AA194" s="138"/>
      <c r="AG194" s="138"/>
      <c r="AH194" s="138"/>
      <c r="AI194" s="138"/>
      <c r="AJ194" s="138"/>
    </row>
    <row r="195" spans="4:36">
      <c r="D195" s="138"/>
      <c r="E195" s="138"/>
      <c r="F195" s="138"/>
      <c r="H195" s="138"/>
      <c r="I195" s="138"/>
      <c r="J195" s="138"/>
      <c r="P195" s="138"/>
      <c r="Q195" s="138"/>
      <c r="T195" s="138"/>
      <c r="Y195" s="138"/>
      <c r="Z195" s="138"/>
      <c r="AA195" s="138"/>
      <c r="AG195" s="138"/>
      <c r="AH195" s="138"/>
      <c r="AI195" s="138"/>
      <c r="AJ195" s="138"/>
    </row>
    <row r="196" spans="4:36">
      <c r="D196" s="138"/>
      <c r="E196" s="138"/>
      <c r="F196" s="138"/>
      <c r="H196" s="138"/>
      <c r="I196" s="138"/>
      <c r="J196" s="138"/>
      <c r="P196" s="138"/>
      <c r="Q196" s="138"/>
      <c r="T196" s="138"/>
      <c r="Y196" s="138"/>
      <c r="Z196" s="138"/>
      <c r="AA196" s="138"/>
      <c r="AG196" s="138"/>
      <c r="AH196" s="138"/>
      <c r="AI196" s="138"/>
      <c r="AJ196" s="138"/>
    </row>
    <row r="197" spans="4:36">
      <c r="D197" s="138"/>
      <c r="E197" s="138"/>
      <c r="F197" s="138"/>
      <c r="H197" s="138"/>
      <c r="I197" s="138"/>
      <c r="J197" s="138"/>
      <c r="P197" s="138"/>
      <c r="Q197" s="138"/>
      <c r="T197" s="138"/>
      <c r="Y197" s="138"/>
      <c r="Z197" s="138"/>
      <c r="AA197" s="138"/>
      <c r="AG197" s="138"/>
      <c r="AH197" s="138"/>
      <c r="AI197" s="138"/>
      <c r="AJ197" s="138"/>
    </row>
    <row r="198" spans="4:36">
      <c r="D198" s="138"/>
      <c r="E198" s="138"/>
      <c r="F198" s="138"/>
      <c r="H198" s="138"/>
      <c r="I198" s="138"/>
      <c r="J198" s="138"/>
      <c r="P198" s="138"/>
      <c r="Q198" s="138"/>
      <c r="T198" s="138"/>
      <c r="Y198" s="138"/>
      <c r="Z198" s="138"/>
      <c r="AA198" s="138"/>
      <c r="AG198" s="138"/>
      <c r="AH198" s="138"/>
      <c r="AI198" s="138"/>
      <c r="AJ198" s="138"/>
    </row>
    <row r="199" spans="4:36">
      <c r="D199" s="138"/>
      <c r="E199" s="138"/>
      <c r="F199" s="138"/>
      <c r="H199" s="138"/>
      <c r="I199" s="138"/>
      <c r="J199" s="138"/>
      <c r="P199" s="138"/>
      <c r="Q199" s="138"/>
      <c r="T199" s="138"/>
      <c r="Y199" s="138"/>
      <c r="Z199" s="138"/>
      <c r="AA199" s="138"/>
      <c r="AG199" s="138"/>
      <c r="AH199" s="138"/>
      <c r="AI199" s="138"/>
      <c r="AJ199" s="138"/>
    </row>
    <row r="200" spans="4:36">
      <c r="D200" s="138"/>
      <c r="E200" s="138"/>
      <c r="F200" s="138"/>
      <c r="H200" s="138"/>
      <c r="I200" s="138"/>
      <c r="J200" s="138"/>
      <c r="P200" s="138"/>
      <c r="Q200" s="138"/>
      <c r="T200" s="138"/>
      <c r="Y200" s="138"/>
      <c r="Z200" s="138"/>
      <c r="AA200" s="138"/>
      <c r="AG200" s="138"/>
      <c r="AH200" s="138"/>
      <c r="AI200" s="138"/>
      <c r="AJ200" s="138"/>
    </row>
    <row r="201" spans="4:36">
      <c r="D201" s="138"/>
      <c r="E201" s="138"/>
      <c r="F201" s="138"/>
      <c r="H201" s="138"/>
      <c r="I201" s="138"/>
      <c r="J201" s="138"/>
      <c r="P201" s="138"/>
      <c r="Q201" s="138"/>
      <c r="T201" s="138"/>
      <c r="Y201" s="138"/>
      <c r="Z201" s="138"/>
      <c r="AA201" s="138"/>
      <c r="AG201" s="138"/>
      <c r="AH201" s="138"/>
      <c r="AI201" s="138"/>
      <c r="AJ201" s="138"/>
    </row>
    <row r="202" spans="4:36">
      <c r="D202" s="138"/>
      <c r="E202" s="138"/>
      <c r="F202" s="138"/>
      <c r="H202" s="138"/>
      <c r="I202" s="138"/>
      <c r="J202" s="138"/>
      <c r="P202" s="138"/>
      <c r="Q202" s="138"/>
      <c r="T202" s="138"/>
      <c r="Y202" s="138"/>
      <c r="Z202" s="138"/>
      <c r="AA202" s="138"/>
      <c r="AG202" s="138"/>
      <c r="AH202" s="138"/>
      <c r="AI202" s="138"/>
      <c r="AJ202" s="138"/>
    </row>
    <row r="203" spans="4:36">
      <c r="D203" s="138"/>
      <c r="E203" s="138"/>
      <c r="F203" s="138"/>
      <c r="H203" s="138"/>
      <c r="I203" s="138"/>
      <c r="J203" s="138"/>
      <c r="P203" s="138"/>
      <c r="Q203" s="138"/>
      <c r="T203" s="138"/>
      <c r="Y203" s="138"/>
      <c r="Z203" s="138"/>
      <c r="AA203" s="138"/>
      <c r="AG203" s="138"/>
      <c r="AH203" s="138"/>
      <c r="AI203" s="138"/>
      <c r="AJ203" s="138"/>
    </row>
    <row r="204" spans="4:36">
      <c r="D204" s="138"/>
      <c r="E204" s="138"/>
      <c r="F204" s="138"/>
      <c r="H204" s="138"/>
      <c r="I204" s="138"/>
      <c r="J204" s="138"/>
      <c r="P204" s="138"/>
      <c r="Q204" s="138"/>
      <c r="T204" s="138"/>
      <c r="Y204" s="138"/>
      <c r="Z204" s="138"/>
      <c r="AA204" s="138"/>
      <c r="AG204" s="138"/>
      <c r="AH204" s="138"/>
      <c r="AI204" s="138"/>
      <c r="AJ204" s="138"/>
    </row>
    <row r="205" spans="4:36">
      <c r="D205" s="138"/>
      <c r="E205" s="138"/>
      <c r="F205" s="138"/>
      <c r="H205" s="138"/>
      <c r="I205" s="138"/>
      <c r="J205" s="138"/>
      <c r="P205" s="138"/>
      <c r="Q205" s="138"/>
      <c r="T205" s="138"/>
      <c r="Y205" s="138"/>
      <c r="Z205" s="138"/>
      <c r="AA205" s="138"/>
      <c r="AG205" s="138"/>
      <c r="AH205" s="138"/>
      <c r="AI205" s="138"/>
      <c r="AJ205" s="138"/>
    </row>
    <row r="206" spans="4:36">
      <c r="D206" s="138"/>
      <c r="E206" s="138"/>
      <c r="F206" s="138"/>
      <c r="H206" s="138"/>
      <c r="I206" s="138"/>
      <c r="J206" s="138"/>
      <c r="P206" s="138"/>
      <c r="Q206" s="138"/>
      <c r="T206" s="138"/>
      <c r="Y206" s="138"/>
      <c r="Z206" s="138"/>
      <c r="AA206" s="138"/>
      <c r="AG206" s="138"/>
      <c r="AH206" s="138"/>
      <c r="AI206" s="138"/>
      <c r="AJ206" s="138"/>
    </row>
    <row r="207" spans="4:36">
      <c r="D207" s="138"/>
      <c r="E207" s="138"/>
      <c r="F207" s="138"/>
      <c r="H207" s="138"/>
      <c r="I207" s="138"/>
      <c r="J207" s="138"/>
      <c r="P207" s="138"/>
      <c r="Q207" s="138"/>
      <c r="T207" s="138"/>
      <c r="Y207" s="138"/>
      <c r="Z207" s="138"/>
      <c r="AA207" s="138"/>
      <c r="AG207" s="138"/>
      <c r="AH207" s="138"/>
      <c r="AI207" s="138"/>
      <c r="AJ207" s="138"/>
    </row>
    <row r="208" spans="4:36">
      <c r="D208" s="138"/>
      <c r="E208" s="138"/>
      <c r="F208" s="138"/>
      <c r="H208" s="138"/>
      <c r="I208" s="138"/>
      <c r="J208" s="138"/>
      <c r="P208" s="138"/>
      <c r="Q208" s="138"/>
      <c r="T208" s="138"/>
      <c r="Y208" s="138"/>
      <c r="Z208" s="138"/>
      <c r="AA208" s="138"/>
      <c r="AG208" s="138"/>
      <c r="AH208" s="138"/>
      <c r="AI208" s="138"/>
      <c r="AJ208" s="138"/>
    </row>
    <row r="209" spans="4:36">
      <c r="D209" s="138"/>
      <c r="E209" s="138"/>
      <c r="F209" s="138"/>
      <c r="H209" s="138"/>
      <c r="I209" s="138"/>
      <c r="J209" s="138"/>
      <c r="P209" s="138"/>
      <c r="Q209" s="138"/>
      <c r="T209" s="138"/>
      <c r="Y209" s="138"/>
      <c r="Z209" s="138"/>
      <c r="AA209" s="138"/>
      <c r="AG209" s="138"/>
      <c r="AH209" s="138"/>
      <c r="AI209" s="138"/>
      <c r="AJ209" s="138"/>
    </row>
    <row r="210" spans="4:36">
      <c r="D210" s="138"/>
      <c r="E210" s="138"/>
      <c r="F210" s="138"/>
      <c r="H210" s="138"/>
      <c r="I210" s="138"/>
      <c r="J210" s="138"/>
      <c r="P210" s="138"/>
      <c r="Q210" s="138"/>
      <c r="T210" s="138"/>
      <c r="Y210" s="138"/>
      <c r="Z210" s="138"/>
      <c r="AA210" s="138"/>
      <c r="AG210" s="138"/>
      <c r="AH210" s="138"/>
      <c r="AI210" s="138"/>
      <c r="AJ210" s="138"/>
    </row>
    <row r="211" spans="4:36">
      <c r="D211" s="138"/>
      <c r="E211" s="138"/>
      <c r="F211" s="138"/>
      <c r="H211" s="138"/>
      <c r="I211" s="138"/>
      <c r="J211" s="138"/>
      <c r="P211" s="138"/>
      <c r="Q211" s="138"/>
      <c r="T211" s="138"/>
      <c r="Y211" s="138"/>
      <c r="Z211" s="138"/>
      <c r="AA211" s="138"/>
      <c r="AG211" s="138"/>
      <c r="AH211" s="138"/>
      <c r="AI211" s="138"/>
      <c r="AJ211" s="138"/>
    </row>
    <row r="212" spans="4:36">
      <c r="D212" s="138"/>
      <c r="E212" s="138"/>
      <c r="F212" s="138"/>
      <c r="H212" s="138"/>
      <c r="I212" s="138"/>
      <c r="J212" s="138"/>
      <c r="P212" s="138"/>
      <c r="Q212" s="138"/>
      <c r="T212" s="138"/>
      <c r="Y212" s="138"/>
      <c r="Z212" s="138"/>
      <c r="AA212" s="138"/>
      <c r="AG212" s="138"/>
      <c r="AH212" s="138"/>
      <c r="AI212" s="138"/>
      <c r="AJ212" s="138"/>
    </row>
    <row r="213" spans="4:36">
      <c r="D213" s="138"/>
      <c r="E213" s="138"/>
      <c r="F213" s="138"/>
      <c r="H213" s="138"/>
      <c r="I213" s="138"/>
      <c r="J213" s="138"/>
      <c r="P213" s="138"/>
      <c r="Q213" s="138"/>
      <c r="T213" s="138"/>
      <c r="Y213" s="138"/>
      <c r="Z213" s="138"/>
      <c r="AA213" s="138"/>
      <c r="AG213" s="138"/>
      <c r="AH213" s="138"/>
      <c r="AI213" s="138"/>
      <c r="AJ213" s="138"/>
    </row>
    <row r="214" spans="4:36">
      <c r="D214" s="138"/>
      <c r="E214" s="138"/>
      <c r="F214" s="138"/>
      <c r="H214" s="138"/>
      <c r="I214" s="138"/>
      <c r="J214" s="138"/>
      <c r="P214" s="138"/>
      <c r="Q214" s="138"/>
      <c r="T214" s="138"/>
      <c r="Y214" s="138"/>
      <c r="Z214" s="138"/>
      <c r="AA214" s="138"/>
      <c r="AG214" s="138"/>
      <c r="AH214" s="138"/>
      <c r="AI214" s="138"/>
      <c r="AJ214" s="138"/>
    </row>
    <row r="215" spans="4:36">
      <c r="D215" s="138"/>
      <c r="E215" s="138"/>
      <c r="F215" s="138"/>
      <c r="H215" s="138"/>
      <c r="I215" s="138"/>
      <c r="J215" s="138"/>
      <c r="P215" s="138"/>
      <c r="Q215" s="138"/>
      <c r="T215" s="138"/>
      <c r="Y215" s="138"/>
      <c r="Z215" s="138"/>
      <c r="AA215" s="138"/>
      <c r="AG215" s="138"/>
      <c r="AH215" s="138"/>
      <c r="AI215" s="138"/>
      <c r="AJ215" s="138"/>
    </row>
    <row r="216" spans="4:36">
      <c r="D216" s="138"/>
      <c r="E216" s="138"/>
      <c r="F216" s="138"/>
      <c r="H216" s="138"/>
      <c r="I216" s="138"/>
      <c r="J216" s="138"/>
      <c r="P216" s="138"/>
      <c r="Q216" s="138"/>
      <c r="T216" s="138"/>
      <c r="Y216" s="138"/>
      <c r="Z216" s="138"/>
      <c r="AA216" s="138"/>
      <c r="AG216" s="138"/>
      <c r="AH216" s="138"/>
      <c r="AI216" s="138"/>
      <c r="AJ216" s="138"/>
    </row>
    <row r="217" spans="4:36">
      <c r="D217" s="138"/>
      <c r="E217" s="138"/>
      <c r="F217" s="138"/>
      <c r="H217" s="138"/>
      <c r="I217" s="138"/>
      <c r="J217" s="138"/>
      <c r="P217" s="138"/>
      <c r="Q217" s="138"/>
      <c r="T217" s="138"/>
      <c r="Y217" s="138"/>
      <c r="Z217" s="138"/>
      <c r="AA217" s="138"/>
      <c r="AG217" s="138"/>
      <c r="AH217" s="138"/>
      <c r="AI217" s="138"/>
      <c r="AJ217" s="138"/>
    </row>
    <row r="218" spans="4:36">
      <c r="D218" s="138"/>
      <c r="E218" s="138"/>
      <c r="F218" s="138"/>
      <c r="H218" s="138"/>
      <c r="I218" s="138"/>
      <c r="J218" s="138"/>
      <c r="P218" s="138"/>
      <c r="Q218" s="138"/>
      <c r="T218" s="138"/>
      <c r="Y218" s="138"/>
      <c r="Z218" s="138"/>
      <c r="AA218" s="138"/>
      <c r="AG218" s="138"/>
      <c r="AH218" s="138"/>
      <c r="AI218" s="138"/>
      <c r="AJ218" s="138"/>
    </row>
    <row r="219" spans="4:36">
      <c r="D219" s="138"/>
      <c r="E219" s="138"/>
      <c r="F219" s="138"/>
      <c r="H219" s="138"/>
      <c r="I219" s="138"/>
      <c r="J219" s="138"/>
      <c r="P219" s="138"/>
      <c r="Q219" s="138"/>
      <c r="T219" s="138"/>
      <c r="Y219" s="138"/>
      <c r="Z219" s="138"/>
      <c r="AA219" s="138"/>
      <c r="AG219" s="138"/>
      <c r="AH219" s="138"/>
      <c r="AI219" s="138"/>
      <c r="AJ219" s="138"/>
    </row>
    <row r="220" spans="4:36">
      <c r="D220" s="138"/>
      <c r="E220" s="138"/>
      <c r="F220" s="138"/>
      <c r="H220" s="138"/>
      <c r="I220" s="138"/>
      <c r="J220" s="138"/>
      <c r="P220" s="138"/>
      <c r="Q220" s="138"/>
      <c r="T220" s="138"/>
      <c r="Y220" s="138"/>
      <c r="Z220" s="138"/>
      <c r="AA220" s="138"/>
      <c r="AG220" s="138"/>
      <c r="AH220" s="138"/>
      <c r="AI220" s="138"/>
      <c r="AJ220" s="138"/>
    </row>
    <row r="221" spans="4:36">
      <c r="D221" s="138"/>
      <c r="E221" s="138"/>
      <c r="F221" s="138"/>
      <c r="H221" s="138"/>
      <c r="I221" s="138"/>
      <c r="J221" s="138"/>
      <c r="P221" s="138"/>
      <c r="Q221" s="138"/>
      <c r="T221" s="138"/>
      <c r="Y221" s="138"/>
      <c r="Z221" s="138"/>
      <c r="AA221" s="138"/>
      <c r="AG221" s="138"/>
      <c r="AH221" s="138"/>
      <c r="AI221" s="138"/>
      <c r="AJ221" s="138"/>
    </row>
    <row r="222" spans="4:36">
      <c r="D222" s="138"/>
      <c r="E222" s="138"/>
      <c r="F222" s="138"/>
      <c r="H222" s="138"/>
      <c r="I222" s="138"/>
      <c r="J222" s="138"/>
      <c r="P222" s="138"/>
      <c r="Q222" s="138"/>
      <c r="T222" s="138"/>
      <c r="Y222" s="138"/>
      <c r="Z222" s="138"/>
      <c r="AA222" s="138"/>
      <c r="AG222" s="138"/>
      <c r="AH222" s="138"/>
      <c r="AI222" s="138"/>
      <c r="AJ222" s="138"/>
    </row>
    <row r="223" spans="4:36">
      <c r="D223" s="138"/>
      <c r="E223" s="138"/>
      <c r="F223" s="138"/>
      <c r="H223" s="138"/>
      <c r="I223" s="138"/>
      <c r="J223" s="138"/>
      <c r="P223" s="138"/>
      <c r="Q223" s="138"/>
      <c r="T223" s="138"/>
      <c r="Y223" s="138"/>
      <c r="Z223" s="138"/>
      <c r="AA223" s="138"/>
      <c r="AG223" s="138"/>
      <c r="AH223" s="138"/>
      <c r="AI223" s="138"/>
      <c r="AJ223" s="138"/>
    </row>
    <row r="224" spans="4:36">
      <c r="D224" s="138"/>
      <c r="E224" s="138"/>
      <c r="F224" s="138"/>
      <c r="H224" s="138"/>
      <c r="I224" s="138"/>
      <c r="J224" s="138"/>
      <c r="P224" s="138"/>
      <c r="Q224" s="138"/>
      <c r="T224" s="138"/>
      <c r="Y224" s="138"/>
      <c r="Z224" s="138"/>
      <c r="AA224" s="138"/>
      <c r="AG224" s="138"/>
      <c r="AH224" s="138"/>
      <c r="AI224" s="138"/>
      <c r="AJ224" s="138"/>
    </row>
    <row r="225" spans="4:36">
      <c r="D225" s="138"/>
      <c r="E225" s="138"/>
      <c r="F225" s="138"/>
      <c r="H225" s="138"/>
      <c r="I225" s="138"/>
      <c r="J225" s="138"/>
      <c r="P225" s="138"/>
      <c r="Q225" s="138"/>
      <c r="T225" s="138"/>
      <c r="Y225" s="138"/>
      <c r="Z225" s="138"/>
      <c r="AA225" s="138"/>
      <c r="AG225" s="138"/>
      <c r="AH225" s="138"/>
      <c r="AI225" s="138"/>
      <c r="AJ225" s="138"/>
    </row>
    <row r="226" spans="4:36">
      <c r="D226" s="138"/>
      <c r="E226" s="138"/>
      <c r="F226" s="138"/>
      <c r="H226" s="138"/>
      <c r="I226" s="138"/>
      <c r="J226" s="138"/>
      <c r="P226" s="138"/>
      <c r="Q226" s="138"/>
      <c r="T226" s="138"/>
      <c r="Y226" s="138"/>
      <c r="Z226" s="138"/>
      <c r="AA226" s="138"/>
      <c r="AG226" s="138"/>
      <c r="AH226" s="138"/>
      <c r="AI226" s="138"/>
      <c r="AJ226" s="138"/>
    </row>
    <row r="227" spans="4:36">
      <c r="D227" s="138"/>
      <c r="E227" s="138"/>
      <c r="F227" s="138"/>
      <c r="H227" s="138"/>
      <c r="I227" s="138"/>
      <c r="J227" s="138"/>
      <c r="P227" s="138"/>
      <c r="Q227" s="138"/>
      <c r="T227" s="138"/>
      <c r="Y227" s="138"/>
      <c r="Z227" s="138"/>
      <c r="AA227" s="138"/>
      <c r="AG227" s="138"/>
      <c r="AH227" s="138"/>
      <c r="AI227" s="138"/>
      <c r="AJ227" s="138"/>
    </row>
    <row r="228" spans="4:36">
      <c r="D228" s="138"/>
      <c r="E228" s="138"/>
      <c r="F228" s="138"/>
      <c r="H228" s="138"/>
      <c r="I228" s="138"/>
      <c r="J228" s="138"/>
      <c r="P228" s="138"/>
      <c r="Q228" s="138"/>
      <c r="T228" s="138"/>
      <c r="Y228" s="138"/>
      <c r="Z228" s="138"/>
      <c r="AA228" s="138"/>
      <c r="AG228" s="138"/>
      <c r="AH228" s="138"/>
      <c r="AI228" s="138"/>
      <c r="AJ228" s="138"/>
    </row>
    <row r="229" spans="4:36">
      <c r="D229" s="138"/>
      <c r="E229" s="138"/>
      <c r="F229" s="138"/>
      <c r="H229" s="138"/>
      <c r="I229" s="138"/>
      <c r="J229" s="138"/>
      <c r="P229" s="138"/>
      <c r="Q229" s="138"/>
      <c r="T229" s="138"/>
      <c r="Y229" s="138"/>
      <c r="Z229" s="138"/>
      <c r="AA229" s="138"/>
      <c r="AG229" s="138"/>
      <c r="AH229" s="138"/>
      <c r="AI229" s="138"/>
      <c r="AJ229" s="138"/>
    </row>
    <row r="230" spans="4:36">
      <c r="D230" s="138"/>
      <c r="E230" s="138"/>
      <c r="F230" s="138"/>
      <c r="H230" s="138"/>
      <c r="I230" s="138"/>
      <c r="J230" s="138"/>
      <c r="P230" s="138"/>
      <c r="Q230" s="138"/>
      <c r="T230" s="138"/>
      <c r="Y230" s="138"/>
      <c r="Z230" s="138"/>
      <c r="AA230" s="138"/>
      <c r="AG230" s="138"/>
      <c r="AH230" s="138"/>
      <c r="AI230" s="138"/>
      <c r="AJ230" s="138"/>
    </row>
    <row r="231" spans="4:36">
      <c r="D231" s="138"/>
      <c r="E231" s="138"/>
      <c r="F231" s="138"/>
      <c r="H231" s="138"/>
      <c r="I231" s="138"/>
      <c r="J231" s="138"/>
      <c r="P231" s="138"/>
      <c r="Q231" s="138"/>
      <c r="T231" s="138"/>
      <c r="Y231" s="138"/>
      <c r="Z231" s="138"/>
      <c r="AA231" s="138"/>
      <c r="AG231" s="138"/>
      <c r="AH231" s="138"/>
      <c r="AI231" s="138"/>
      <c r="AJ231" s="138"/>
    </row>
    <row r="232" spans="4:36">
      <c r="D232" s="138"/>
      <c r="E232" s="138"/>
      <c r="F232" s="138"/>
      <c r="H232" s="138"/>
      <c r="I232" s="138"/>
      <c r="J232" s="138"/>
      <c r="P232" s="138"/>
      <c r="Q232" s="138"/>
      <c r="T232" s="138"/>
      <c r="Y232" s="138"/>
      <c r="Z232" s="138"/>
      <c r="AA232" s="138"/>
      <c r="AG232" s="138"/>
      <c r="AH232" s="138"/>
      <c r="AI232" s="138"/>
      <c r="AJ232" s="138"/>
    </row>
    <row r="233" spans="4:36">
      <c r="D233" s="138"/>
      <c r="E233" s="138"/>
      <c r="F233" s="138"/>
      <c r="H233" s="138"/>
      <c r="I233" s="138"/>
      <c r="J233" s="138"/>
      <c r="P233" s="138"/>
      <c r="Q233" s="138"/>
      <c r="T233" s="138"/>
      <c r="Y233" s="138"/>
      <c r="Z233" s="138"/>
      <c r="AA233" s="138"/>
      <c r="AG233" s="138"/>
      <c r="AH233" s="138"/>
      <c r="AI233" s="138"/>
      <c r="AJ233" s="138"/>
    </row>
    <row r="234" spans="4:36">
      <c r="D234" s="138"/>
      <c r="E234" s="138"/>
      <c r="F234" s="138"/>
      <c r="H234" s="138"/>
      <c r="I234" s="138"/>
      <c r="J234" s="138"/>
      <c r="P234" s="138"/>
      <c r="Q234" s="138"/>
      <c r="T234" s="138"/>
      <c r="Y234" s="138"/>
      <c r="Z234" s="138"/>
      <c r="AA234" s="138"/>
      <c r="AG234" s="138"/>
      <c r="AH234" s="138"/>
      <c r="AI234" s="138"/>
      <c r="AJ234" s="138"/>
    </row>
    <row r="235" spans="4:36">
      <c r="D235" s="138"/>
      <c r="E235" s="138"/>
      <c r="F235" s="138"/>
      <c r="H235" s="138"/>
      <c r="I235" s="138"/>
      <c r="J235" s="138"/>
      <c r="P235" s="138"/>
      <c r="Q235" s="138"/>
      <c r="T235" s="138"/>
      <c r="Y235" s="138"/>
      <c r="Z235" s="138"/>
      <c r="AA235" s="138"/>
      <c r="AG235" s="138"/>
      <c r="AH235" s="138"/>
      <c r="AI235" s="138"/>
      <c r="AJ235" s="138"/>
    </row>
    <row r="236" spans="4:36">
      <c r="D236" s="138"/>
      <c r="E236" s="138"/>
      <c r="F236" s="138"/>
      <c r="H236" s="138"/>
      <c r="I236" s="138"/>
      <c r="J236" s="138"/>
      <c r="P236" s="138"/>
      <c r="Q236" s="138"/>
      <c r="T236" s="138"/>
      <c r="Y236" s="138"/>
      <c r="Z236" s="138"/>
      <c r="AA236" s="138"/>
      <c r="AG236" s="138"/>
      <c r="AH236" s="138"/>
      <c r="AI236" s="138"/>
      <c r="AJ236" s="138"/>
    </row>
    <row r="237" spans="4:36">
      <c r="D237" s="138"/>
      <c r="E237" s="138"/>
      <c r="F237" s="138"/>
      <c r="H237" s="138"/>
      <c r="I237" s="138"/>
      <c r="J237" s="138"/>
      <c r="P237" s="138"/>
      <c r="Q237" s="138"/>
      <c r="T237" s="138"/>
      <c r="Y237" s="138"/>
      <c r="Z237" s="138"/>
      <c r="AA237" s="138"/>
      <c r="AG237" s="138"/>
      <c r="AH237" s="138"/>
      <c r="AI237" s="138"/>
      <c r="AJ237" s="138"/>
    </row>
    <row r="238" spans="4:36">
      <c r="D238" s="138"/>
      <c r="E238" s="138"/>
      <c r="F238" s="138"/>
      <c r="H238" s="138"/>
      <c r="I238" s="138"/>
      <c r="J238" s="138"/>
      <c r="P238" s="138"/>
      <c r="Q238" s="138"/>
      <c r="T238" s="138"/>
      <c r="Y238" s="138"/>
      <c r="Z238" s="138"/>
      <c r="AA238" s="138"/>
      <c r="AG238" s="138"/>
      <c r="AH238" s="138"/>
      <c r="AI238" s="138"/>
      <c r="AJ238" s="138"/>
    </row>
    <row r="239" spans="4:36">
      <c r="D239" s="138"/>
      <c r="E239" s="138"/>
      <c r="F239" s="138"/>
      <c r="H239" s="138"/>
      <c r="I239" s="138"/>
      <c r="J239" s="138"/>
      <c r="P239" s="138"/>
      <c r="Q239" s="138"/>
      <c r="T239" s="138"/>
      <c r="Y239" s="138"/>
      <c r="Z239" s="138"/>
      <c r="AA239" s="138"/>
      <c r="AG239" s="138"/>
      <c r="AH239" s="138"/>
      <c r="AI239" s="138"/>
      <c r="AJ239" s="138"/>
    </row>
    <row r="240" spans="4:36">
      <c r="D240" s="138"/>
      <c r="E240" s="138"/>
      <c r="F240" s="138"/>
      <c r="H240" s="138"/>
      <c r="I240" s="138"/>
      <c r="J240" s="138"/>
      <c r="P240" s="138"/>
      <c r="Q240" s="138"/>
      <c r="T240" s="138"/>
      <c r="Y240" s="138"/>
      <c r="Z240" s="138"/>
      <c r="AA240" s="138"/>
      <c r="AG240" s="138"/>
      <c r="AH240" s="138"/>
      <c r="AI240" s="138"/>
      <c r="AJ240" s="138"/>
    </row>
    <row r="241" spans="4:36">
      <c r="D241" s="138"/>
      <c r="E241" s="138"/>
      <c r="F241" s="138"/>
      <c r="H241" s="138"/>
      <c r="I241" s="138"/>
      <c r="J241" s="138"/>
      <c r="P241" s="138"/>
      <c r="Q241" s="138"/>
      <c r="T241" s="138"/>
      <c r="Y241" s="138"/>
      <c r="Z241" s="138"/>
      <c r="AA241" s="138"/>
      <c r="AG241" s="138"/>
      <c r="AH241" s="138"/>
      <c r="AI241" s="138"/>
      <c r="AJ241" s="138"/>
    </row>
    <row r="242" spans="4:36">
      <c r="D242" s="138"/>
      <c r="E242" s="138"/>
      <c r="F242" s="138"/>
      <c r="H242" s="138"/>
      <c r="I242" s="138"/>
      <c r="J242" s="138"/>
      <c r="P242" s="138"/>
      <c r="Q242" s="138"/>
      <c r="T242" s="138"/>
      <c r="Y242" s="138"/>
      <c r="Z242" s="138"/>
      <c r="AA242" s="138"/>
      <c r="AG242" s="138"/>
      <c r="AH242" s="138"/>
      <c r="AI242" s="138"/>
      <c r="AJ242" s="138"/>
    </row>
    <row r="243" spans="4:36">
      <c r="D243" s="138"/>
      <c r="E243" s="138"/>
      <c r="F243" s="138"/>
      <c r="H243" s="138"/>
      <c r="I243" s="138"/>
      <c r="J243" s="138"/>
      <c r="P243" s="138"/>
      <c r="Q243" s="138"/>
      <c r="T243" s="138"/>
      <c r="Y243" s="138"/>
      <c r="Z243" s="138"/>
      <c r="AA243" s="138"/>
      <c r="AG243" s="138"/>
      <c r="AH243" s="138"/>
      <c r="AI243" s="138"/>
      <c r="AJ243" s="138"/>
    </row>
    <row r="244" spans="4:36">
      <c r="D244" s="138"/>
      <c r="E244" s="138"/>
      <c r="F244" s="138"/>
      <c r="H244" s="138"/>
      <c r="I244" s="138"/>
      <c r="J244" s="138"/>
      <c r="P244" s="138"/>
      <c r="Q244" s="138"/>
      <c r="T244" s="138"/>
      <c r="Y244" s="138"/>
      <c r="Z244" s="138"/>
      <c r="AA244" s="138"/>
      <c r="AG244" s="138"/>
      <c r="AH244" s="138"/>
      <c r="AI244" s="138"/>
      <c r="AJ244" s="138"/>
    </row>
    <row r="245" spans="4:36">
      <c r="D245" s="138"/>
      <c r="E245" s="138"/>
      <c r="F245" s="138"/>
      <c r="H245" s="138"/>
      <c r="I245" s="138"/>
      <c r="J245" s="138"/>
      <c r="P245" s="138"/>
      <c r="Q245" s="138"/>
      <c r="T245" s="138"/>
      <c r="Y245" s="138"/>
      <c r="Z245" s="138"/>
      <c r="AA245" s="138"/>
      <c r="AG245" s="138"/>
      <c r="AH245" s="138"/>
      <c r="AI245" s="138"/>
      <c r="AJ245" s="138"/>
    </row>
    <row r="246" spans="4:36">
      <c r="D246" s="138"/>
      <c r="E246" s="138"/>
      <c r="F246" s="138"/>
      <c r="H246" s="138"/>
      <c r="I246" s="138"/>
      <c r="J246" s="138"/>
      <c r="P246" s="138"/>
      <c r="Q246" s="138"/>
      <c r="T246" s="138"/>
      <c r="Y246" s="138"/>
      <c r="Z246" s="138"/>
      <c r="AA246" s="138"/>
      <c r="AG246" s="138"/>
      <c r="AH246" s="138"/>
      <c r="AI246" s="138"/>
      <c r="AJ246" s="138"/>
    </row>
    <row r="247" spans="4:36">
      <c r="D247" s="138"/>
      <c r="E247" s="138"/>
      <c r="F247" s="138"/>
      <c r="H247" s="138"/>
      <c r="I247" s="138"/>
      <c r="J247" s="138"/>
      <c r="P247" s="138"/>
      <c r="Q247" s="138"/>
      <c r="T247" s="138"/>
      <c r="Y247" s="138"/>
      <c r="Z247" s="138"/>
      <c r="AA247" s="138"/>
      <c r="AG247" s="138"/>
      <c r="AH247" s="138"/>
      <c r="AI247" s="138"/>
      <c r="AJ247" s="138"/>
    </row>
    <row r="248" spans="4:36">
      <c r="D248" s="138"/>
      <c r="E248" s="138"/>
      <c r="F248" s="138"/>
      <c r="H248" s="138"/>
      <c r="I248" s="138"/>
      <c r="J248" s="138"/>
      <c r="P248" s="138"/>
      <c r="Q248" s="138"/>
      <c r="T248" s="138"/>
      <c r="Y248" s="138"/>
      <c r="Z248" s="138"/>
      <c r="AA248" s="138"/>
      <c r="AG248" s="138"/>
      <c r="AH248" s="138"/>
      <c r="AI248" s="138"/>
      <c r="AJ248" s="138"/>
    </row>
    <row r="249" spans="4:36">
      <c r="D249" s="138"/>
      <c r="E249" s="138"/>
      <c r="F249" s="138"/>
      <c r="H249" s="138"/>
      <c r="I249" s="138"/>
      <c r="J249" s="138"/>
      <c r="P249" s="138"/>
      <c r="Q249" s="138"/>
      <c r="T249" s="138"/>
      <c r="Y249" s="138"/>
      <c r="Z249" s="138"/>
      <c r="AA249" s="138"/>
      <c r="AG249" s="138"/>
      <c r="AH249" s="138"/>
      <c r="AI249" s="138"/>
      <c r="AJ249" s="138"/>
    </row>
    <row r="250" spans="4:36">
      <c r="D250" s="138"/>
      <c r="E250" s="138"/>
      <c r="F250" s="138"/>
      <c r="H250" s="138"/>
      <c r="I250" s="138"/>
      <c r="J250" s="138"/>
      <c r="P250" s="138"/>
      <c r="Q250" s="138"/>
      <c r="T250" s="138"/>
      <c r="Y250" s="138"/>
      <c r="Z250" s="138"/>
      <c r="AA250" s="138"/>
      <c r="AG250" s="138"/>
      <c r="AH250" s="138"/>
      <c r="AI250" s="138"/>
      <c r="AJ250" s="138"/>
    </row>
    <row r="251" spans="4:36">
      <c r="D251" s="138"/>
      <c r="E251" s="138"/>
      <c r="F251" s="138"/>
      <c r="H251" s="138"/>
      <c r="I251" s="138"/>
      <c r="J251" s="138"/>
      <c r="P251" s="138"/>
      <c r="Q251" s="138"/>
      <c r="T251" s="138"/>
      <c r="Y251" s="138"/>
      <c r="Z251" s="138"/>
      <c r="AA251" s="138"/>
      <c r="AG251" s="138"/>
      <c r="AH251" s="138"/>
      <c r="AI251" s="138"/>
      <c r="AJ251" s="138"/>
    </row>
    <row r="252" spans="4:36">
      <c r="D252" s="138"/>
      <c r="E252" s="138"/>
      <c r="F252" s="138"/>
      <c r="H252" s="138"/>
      <c r="I252" s="138"/>
      <c r="J252" s="138"/>
      <c r="P252" s="138"/>
      <c r="Q252" s="138"/>
      <c r="T252" s="138"/>
      <c r="Y252" s="138"/>
      <c r="Z252" s="138"/>
      <c r="AA252" s="138"/>
      <c r="AG252" s="138"/>
      <c r="AH252" s="138"/>
      <c r="AI252" s="138"/>
      <c r="AJ252" s="138"/>
    </row>
    <row r="253" spans="4:36">
      <c r="D253" s="138"/>
      <c r="E253" s="138"/>
      <c r="F253" s="138"/>
      <c r="H253" s="138"/>
      <c r="I253" s="138"/>
      <c r="J253" s="138"/>
      <c r="P253" s="138"/>
      <c r="Q253" s="138"/>
      <c r="T253" s="138"/>
      <c r="Y253" s="138"/>
      <c r="Z253" s="138"/>
      <c r="AA253" s="138"/>
      <c r="AG253" s="138"/>
      <c r="AH253" s="138"/>
      <c r="AI253" s="138"/>
      <c r="AJ253" s="138"/>
    </row>
    <row r="254" spans="4:36">
      <c r="D254" s="138"/>
      <c r="E254" s="138"/>
      <c r="F254" s="138"/>
      <c r="H254" s="138"/>
      <c r="I254" s="138"/>
      <c r="J254" s="138"/>
      <c r="P254" s="138"/>
      <c r="Q254" s="138"/>
      <c r="T254" s="138"/>
      <c r="Y254" s="138"/>
      <c r="Z254" s="138"/>
      <c r="AA254" s="138"/>
      <c r="AG254" s="138"/>
      <c r="AH254" s="138"/>
      <c r="AI254" s="138"/>
      <c r="AJ254" s="138"/>
    </row>
    <row r="255" spans="4:36">
      <c r="D255" s="138"/>
      <c r="E255" s="138"/>
      <c r="F255" s="138"/>
      <c r="H255" s="138"/>
      <c r="I255" s="138"/>
      <c r="J255" s="138"/>
      <c r="P255" s="138"/>
      <c r="Q255" s="138"/>
      <c r="T255" s="138"/>
      <c r="Y255" s="138"/>
      <c r="Z255" s="138"/>
      <c r="AA255" s="138"/>
      <c r="AG255" s="138"/>
      <c r="AH255" s="138"/>
      <c r="AI255" s="138"/>
      <c r="AJ255" s="138"/>
    </row>
    <row r="256" spans="4:36">
      <c r="D256" s="138"/>
      <c r="E256" s="138"/>
      <c r="F256" s="138"/>
      <c r="H256" s="138"/>
      <c r="I256" s="138"/>
      <c r="J256" s="138"/>
      <c r="P256" s="138"/>
      <c r="Q256" s="138"/>
      <c r="T256" s="138"/>
      <c r="Y256" s="138"/>
      <c r="Z256" s="138"/>
      <c r="AA256" s="138"/>
      <c r="AG256" s="138"/>
      <c r="AH256" s="138"/>
      <c r="AI256" s="138"/>
      <c r="AJ256" s="138"/>
    </row>
    <row r="257" spans="4:36">
      <c r="D257" s="138"/>
      <c r="E257" s="138"/>
      <c r="F257" s="138"/>
      <c r="H257" s="138"/>
      <c r="I257" s="138"/>
      <c r="J257" s="138"/>
      <c r="P257" s="138"/>
      <c r="Q257" s="138"/>
      <c r="T257" s="138"/>
      <c r="Y257" s="138"/>
      <c r="Z257" s="138"/>
      <c r="AA257" s="138"/>
      <c r="AG257" s="138"/>
      <c r="AH257" s="138"/>
      <c r="AI257" s="138"/>
      <c r="AJ257" s="138"/>
    </row>
  </sheetData>
  <hyperlinks>
    <hyperlink ref="D5" r:id="rId1" xr:uid="{7085EA94-CCFB-4EE2-A406-942DE52193A7}"/>
    <hyperlink ref="T5" r:id="rId2" xr:uid="{AEB7C7FB-C356-4114-8677-1A7F7E586A13}"/>
    <hyperlink ref="AI5" r:id="rId3" xr:uid="{7B9D199C-32D0-4CFD-A0BF-F536619A7AE1}"/>
    <hyperlink ref="AH5" r:id="rId4" xr:uid="{C6C456A1-E99A-4F9A-ADA0-613AADB37E71}"/>
    <hyperlink ref="AJ5" r:id="rId5" xr:uid="{B435067A-3CE5-43D6-9767-65B06F599259}"/>
    <hyperlink ref="Y5" r:id="rId6" xr:uid="{E588BE26-75AA-4B2D-836E-706C12D2C18D}"/>
    <hyperlink ref="S5" r:id="rId7" xr:uid="{63865600-37FB-4B13-B606-0FA091457B7B}"/>
    <hyperlink ref="X5" r:id="rId8" xr:uid="{AC1C17FC-43A7-499A-AC85-4AE89590D215}"/>
    <hyperlink ref="U5" r:id="rId9" xr:uid="{0A286939-8699-46DF-A30F-EAF0619AE53C}"/>
    <hyperlink ref="E5" r:id="rId10" xr:uid="{B5959F66-0EE8-4692-B479-266FBE84DC60}"/>
    <hyperlink ref="E4" r:id="rId11" xr:uid="{F5D2BC4A-F93A-44DE-8482-E3FB9E3BD75D}"/>
    <hyperlink ref="E6" r:id="rId12" xr:uid="{7634D05A-CCE3-46AC-B2B9-B61DCA9935C3}"/>
    <hyperlink ref="I5" r:id="rId13" xr:uid="{553DB87F-2E61-4B7E-BED4-A91462EE28AA}"/>
  </hyperlinks>
  <pageMargins left="0.7" right="0.7" top="0.75" bottom="0.75" header="0.3" footer="0.3"/>
  <pageSetup paperSize="9" orientation="portrait" verticalDpi="300" r:id="rId14"/>
  <legacyDrawing r:id="rId1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AA917-E3C1-4657-BC3B-C13342CC0ED6}">
  <sheetPr>
    <tabColor theme="7" tint="0.39997558519241921"/>
  </sheetPr>
  <dimension ref="B1:AJ257"/>
  <sheetViews>
    <sheetView topLeftCell="A17" zoomScale="85" zoomScaleNormal="85" workbookViewId="0">
      <selection activeCell="E57" sqref="E57"/>
    </sheetView>
  </sheetViews>
  <sheetFormatPr defaultRowHeight="12.75" outlineLevelRow="1"/>
  <cols>
    <col min="1" max="1" width="5" style="260" customWidth="1"/>
    <col min="2" max="2" width="49" style="260" customWidth="1"/>
    <col min="3" max="3" width="39" style="260" customWidth="1"/>
    <col min="4" max="5" width="39" style="74" customWidth="1"/>
    <col min="6" max="6" width="37.125" style="74" customWidth="1"/>
    <col min="7" max="7" width="9" style="76"/>
    <col min="8" max="8" width="39" style="74" customWidth="1"/>
    <col min="9" max="9" width="37.125" style="74" customWidth="1"/>
    <col min="10" max="10" width="29.25" style="74" customWidth="1"/>
    <col min="11" max="15" width="9" style="76"/>
    <col min="16" max="17" width="37.125" style="74" customWidth="1"/>
    <col min="18" max="18" width="9" style="76"/>
    <col min="19" max="19" width="37.125" style="260" customWidth="1"/>
    <col min="20" max="21" width="37.125" style="74" customWidth="1"/>
    <col min="22" max="23" width="9" style="260"/>
    <col min="24" max="24" width="36.625" style="260" customWidth="1"/>
    <col min="25" max="26" width="37.875" style="74" customWidth="1"/>
    <col min="27" max="27" width="37.875" style="74" customWidth="1" collapsed="1"/>
    <col min="28" max="32" width="9" style="260"/>
    <col min="33" max="36" width="37.875" style="74" customWidth="1"/>
    <col min="37" max="236" width="9" style="260"/>
    <col min="237" max="237" width="44" style="260" customWidth="1"/>
    <col min="238" max="238" width="24" style="260" customWidth="1"/>
    <col min="239" max="239" width="26.25" style="260" customWidth="1"/>
    <col min="240" max="240" width="25.375" style="260" customWidth="1"/>
    <col min="241" max="243" width="26" style="260" customWidth="1"/>
    <col min="244" max="244" width="9" style="260"/>
    <col min="245" max="246" width="26" style="260" customWidth="1"/>
    <col min="247" max="492" width="9" style="260"/>
    <col min="493" max="493" width="44" style="260" customWidth="1"/>
    <col min="494" max="494" width="24" style="260" customWidth="1"/>
    <col min="495" max="495" width="26.25" style="260" customWidth="1"/>
    <col min="496" max="496" width="25.375" style="260" customWidth="1"/>
    <col min="497" max="499" width="26" style="260" customWidth="1"/>
    <col min="500" max="500" width="9" style="260"/>
    <col min="501" max="502" width="26" style="260" customWidth="1"/>
    <col min="503" max="748" width="9" style="260"/>
    <col min="749" max="749" width="44" style="260" customWidth="1"/>
    <col min="750" max="750" width="24" style="260" customWidth="1"/>
    <col min="751" max="751" width="26.25" style="260" customWidth="1"/>
    <col min="752" max="752" width="25.375" style="260" customWidth="1"/>
    <col min="753" max="755" width="26" style="260" customWidth="1"/>
    <col min="756" max="756" width="9" style="260"/>
    <col min="757" max="758" width="26" style="260" customWidth="1"/>
    <col min="759" max="1004" width="9" style="260"/>
    <col min="1005" max="1005" width="44" style="260" customWidth="1"/>
    <col min="1006" max="1006" width="24" style="260" customWidth="1"/>
    <col min="1007" max="1007" width="26.25" style="260" customWidth="1"/>
    <col min="1008" max="1008" width="25.375" style="260" customWidth="1"/>
    <col min="1009" max="1011" width="26" style="260" customWidth="1"/>
    <col min="1012" max="1012" width="9" style="260"/>
    <col min="1013" max="1014" width="26" style="260" customWidth="1"/>
    <col min="1015" max="1260" width="9" style="260"/>
    <col min="1261" max="1261" width="44" style="260" customWidth="1"/>
    <col min="1262" max="1262" width="24" style="260" customWidth="1"/>
    <col min="1263" max="1263" width="26.25" style="260" customWidth="1"/>
    <col min="1264" max="1264" width="25.375" style="260" customWidth="1"/>
    <col min="1265" max="1267" width="26" style="260" customWidth="1"/>
    <col min="1268" max="1268" width="9" style="260"/>
    <col min="1269" max="1270" width="26" style="260" customWidth="1"/>
    <col min="1271" max="1516" width="9" style="260"/>
    <col min="1517" max="1517" width="44" style="260" customWidth="1"/>
    <col min="1518" max="1518" width="24" style="260" customWidth="1"/>
    <col min="1519" max="1519" width="26.25" style="260" customWidth="1"/>
    <col min="1520" max="1520" width="25.375" style="260" customWidth="1"/>
    <col min="1521" max="1523" width="26" style="260" customWidth="1"/>
    <col min="1524" max="1524" width="9" style="260"/>
    <col min="1525" max="1526" width="26" style="260" customWidth="1"/>
    <col min="1527" max="1772" width="9" style="260"/>
    <col min="1773" max="1773" width="44" style="260" customWidth="1"/>
    <col min="1774" max="1774" width="24" style="260" customWidth="1"/>
    <col min="1775" max="1775" width="26.25" style="260" customWidth="1"/>
    <col min="1776" max="1776" width="25.375" style="260" customWidth="1"/>
    <col min="1777" max="1779" width="26" style="260" customWidth="1"/>
    <col min="1780" max="1780" width="9" style="260"/>
    <col min="1781" max="1782" width="26" style="260" customWidth="1"/>
    <col min="1783" max="2028" width="9" style="260"/>
    <col min="2029" max="2029" width="44" style="260" customWidth="1"/>
    <col min="2030" max="2030" width="24" style="260" customWidth="1"/>
    <col min="2031" max="2031" width="26.25" style="260" customWidth="1"/>
    <col min="2032" max="2032" width="25.375" style="260" customWidth="1"/>
    <col min="2033" max="2035" width="26" style="260" customWidth="1"/>
    <col min="2036" max="2036" width="9" style="260"/>
    <col min="2037" max="2038" width="26" style="260" customWidth="1"/>
    <col min="2039" max="2284" width="9" style="260"/>
    <col min="2285" max="2285" width="44" style="260" customWidth="1"/>
    <col min="2286" max="2286" width="24" style="260" customWidth="1"/>
    <col min="2287" max="2287" width="26.25" style="260" customWidth="1"/>
    <col min="2288" max="2288" width="25.375" style="260" customWidth="1"/>
    <col min="2289" max="2291" width="26" style="260" customWidth="1"/>
    <col min="2292" max="2292" width="9" style="260"/>
    <col min="2293" max="2294" width="26" style="260" customWidth="1"/>
    <col min="2295" max="2540" width="9" style="260"/>
    <col min="2541" max="2541" width="44" style="260" customWidth="1"/>
    <col min="2542" max="2542" width="24" style="260" customWidth="1"/>
    <col min="2543" max="2543" width="26.25" style="260" customWidth="1"/>
    <col min="2544" max="2544" width="25.375" style="260" customWidth="1"/>
    <col min="2545" max="2547" width="26" style="260" customWidth="1"/>
    <col min="2548" max="2548" width="9" style="260"/>
    <col min="2549" max="2550" width="26" style="260" customWidth="1"/>
    <col min="2551" max="2796" width="9" style="260"/>
    <col min="2797" max="2797" width="44" style="260" customWidth="1"/>
    <col min="2798" max="2798" width="24" style="260" customWidth="1"/>
    <col min="2799" max="2799" width="26.25" style="260" customWidth="1"/>
    <col min="2800" max="2800" width="25.375" style="260" customWidth="1"/>
    <col min="2801" max="2803" width="26" style="260" customWidth="1"/>
    <col min="2804" max="2804" width="9" style="260"/>
    <col min="2805" max="2806" width="26" style="260" customWidth="1"/>
    <col min="2807" max="3052" width="9" style="260"/>
    <col min="3053" max="3053" width="44" style="260" customWidth="1"/>
    <col min="3054" max="3054" width="24" style="260" customWidth="1"/>
    <col min="3055" max="3055" width="26.25" style="260" customWidth="1"/>
    <col min="3056" max="3056" width="25.375" style="260" customWidth="1"/>
    <col min="3057" max="3059" width="26" style="260" customWidth="1"/>
    <col min="3060" max="3060" width="9" style="260"/>
    <col min="3061" max="3062" width="26" style="260" customWidth="1"/>
    <col min="3063" max="3308" width="9" style="260"/>
    <col min="3309" max="3309" width="44" style="260" customWidth="1"/>
    <col min="3310" max="3310" width="24" style="260" customWidth="1"/>
    <col min="3311" max="3311" width="26.25" style="260" customWidth="1"/>
    <col min="3312" max="3312" width="25.375" style="260" customWidth="1"/>
    <col min="3313" max="3315" width="26" style="260" customWidth="1"/>
    <col min="3316" max="3316" width="9" style="260"/>
    <col min="3317" max="3318" width="26" style="260" customWidth="1"/>
    <col min="3319" max="3564" width="9" style="260"/>
    <col min="3565" max="3565" width="44" style="260" customWidth="1"/>
    <col min="3566" max="3566" width="24" style="260" customWidth="1"/>
    <col min="3567" max="3567" width="26.25" style="260" customWidth="1"/>
    <col min="3568" max="3568" width="25.375" style="260" customWidth="1"/>
    <col min="3569" max="3571" width="26" style="260" customWidth="1"/>
    <col min="3572" max="3572" width="9" style="260"/>
    <col min="3573" max="3574" width="26" style="260" customWidth="1"/>
    <col min="3575" max="3820" width="9" style="260"/>
    <col min="3821" max="3821" width="44" style="260" customWidth="1"/>
    <col min="3822" max="3822" width="24" style="260" customWidth="1"/>
    <col min="3823" max="3823" width="26.25" style="260" customWidth="1"/>
    <col min="3824" max="3824" width="25.375" style="260" customWidth="1"/>
    <col min="3825" max="3827" width="26" style="260" customWidth="1"/>
    <col min="3828" max="3828" width="9" style="260"/>
    <col min="3829" max="3830" width="26" style="260" customWidth="1"/>
    <col min="3831" max="4076" width="9" style="260"/>
    <col min="4077" max="4077" width="44" style="260" customWidth="1"/>
    <col min="4078" max="4078" width="24" style="260" customWidth="1"/>
    <col min="4079" max="4079" width="26.25" style="260" customWidth="1"/>
    <col min="4080" max="4080" width="25.375" style="260" customWidth="1"/>
    <col min="4081" max="4083" width="26" style="260" customWidth="1"/>
    <col min="4084" max="4084" width="9" style="260"/>
    <col min="4085" max="4086" width="26" style="260" customWidth="1"/>
    <col min="4087" max="4332" width="9" style="260"/>
    <col min="4333" max="4333" width="44" style="260" customWidth="1"/>
    <col min="4334" max="4334" width="24" style="260" customWidth="1"/>
    <col min="4335" max="4335" width="26.25" style="260" customWidth="1"/>
    <col min="4336" max="4336" width="25.375" style="260" customWidth="1"/>
    <col min="4337" max="4339" width="26" style="260" customWidth="1"/>
    <col min="4340" max="4340" width="9" style="260"/>
    <col min="4341" max="4342" width="26" style="260" customWidth="1"/>
    <col min="4343" max="4588" width="9" style="260"/>
    <col min="4589" max="4589" width="44" style="260" customWidth="1"/>
    <col min="4590" max="4590" width="24" style="260" customWidth="1"/>
    <col min="4591" max="4591" width="26.25" style="260" customWidth="1"/>
    <col min="4592" max="4592" width="25.375" style="260" customWidth="1"/>
    <col min="4593" max="4595" width="26" style="260" customWidth="1"/>
    <col min="4596" max="4596" width="9" style="260"/>
    <col min="4597" max="4598" width="26" style="260" customWidth="1"/>
    <col min="4599" max="4844" width="9" style="260"/>
    <col min="4845" max="4845" width="44" style="260" customWidth="1"/>
    <col min="4846" max="4846" width="24" style="260" customWidth="1"/>
    <col min="4847" max="4847" width="26.25" style="260" customWidth="1"/>
    <col min="4848" max="4848" width="25.375" style="260" customWidth="1"/>
    <col min="4849" max="4851" width="26" style="260" customWidth="1"/>
    <col min="4852" max="4852" width="9" style="260"/>
    <col min="4853" max="4854" width="26" style="260" customWidth="1"/>
    <col min="4855" max="5100" width="9" style="260"/>
    <col min="5101" max="5101" width="44" style="260" customWidth="1"/>
    <col min="5102" max="5102" width="24" style="260" customWidth="1"/>
    <col min="5103" max="5103" width="26.25" style="260" customWidth="1"/>
    <col min="5104" max="5104" width="25.375" style="260" customWidth="1"/>
    <col min="5105" max="5107" width="26" style="260" customWidth="1"/>
    <col min="5108" max="5108" width="9" style="260"/>
    <col min="5109" max="5110" width="26" style="260" customWidth="1"/>
    <col min="5111" max="5356" width="9" style="260"/>
    <col min="5357" max="5357" width="44" style="260" customWidth="1"/>
    <col min="5358" max="5358" width="24" style="260" customWidth="1"/>
    <col min="5359" max="5359" width="26.25" style="260" customWidth="1"/>
    <col min="5360" max="5360" width="25.375" style="260" customWidth="1"/>
    <col min="5361" max="5363" width="26" style="260" customWidth="1"/>
    <col min="5364" max="5364" width="9" style="260"/>
    <col min="5365" max="5366" width="26" style="260" customWidth="1"/>
    <col min="5367" max="5612" width="9" style="260"/>
    <col min="5613" max="5613" width="44" style="260" customWidth="1"/>
    <col min="5614" max="5614" width="24" style="260" customWidth="1"/>
    <col min="5615" max="5615" width="26.25" style="260" customWidth="1"/>
    <col min="5616" max="5616" width="25.375" style="260" customWidth="1"/>
    <col min="5617" max="5619" width="26" style="260" customWidth="1"/>
    <col min="5620" max="5620" width="9" style="260"/>
    <col min="5621" max="5622" width="26" style="260" customWidth="1"/>
    <col min="5623" max="5868" width="9" style="260"/>
    <col min="5869" max="5869" width="44" style="260" customWidth="1"/>
    <col min="5870" max="5870" width="24" style="260" customWidth="1"/>
    <col min="5871" max="5871" width="26.25" style="260" customWidth="1"/>
    <col min="5872" max="5872" width="25.375" style="260" customWidth="1"/>
    <col min="5873" max="5875" width="26" style="260" customWidth="1"/>
    <col min="5876" max="5876" width="9" style="260"/>
    <col min="5877" max="5878" width="26" style="260" customWidth="1"/>
    <col min="5879" max="6124" width="9" style="260"/>
    <col min="6125" max="6125" width="44" style="260" customWidth="1"/>
    <col min="6126" max="6126" width="24" style="260" customWidth="1"/>
    <col min="6127" max="6127" width="26.25" style="260" customWidth="1"/>
    <col min="6128" max="6128" width="25.375" style="260" customWidth="1"/>
    <col min="6129" max="6131" width="26" style="260" customWidth="1"/>
    <col min="6132" max="6132" width="9" style="260"/>
    <col min="6133" max="6134" width="26" style="260" customWidth="1"/>
    <col min="6135" max="6380" width="9" style="260"/>
    <col min="6381" max="6381" width="44" style="260" customWidth="1"/>
    <col min="6382" max="6382" width="24" style="260" customWidth="1"/>
    <col min="6383" max="6383" width="26.25" style="260" customWidth="1"/>
    <col min="6384" max="6384" width="25.375" style="260" customWidth="1"/>
    <col min="6385" max="6387" width="26" style="260" customWidth="1"/>
    <col min="6388" max="6388" width="9" style="260"/>
    <col min="6389" max="6390" width="26" style="260" customWidth="1"/>
    <col min="6391" max="6636" width="9" style="260"/>
    <col min="6637" max="6637" width="44" style="260" customWidth="1"/>
    <col min="6638" max="6638" width="24" style="260" customWidth="1"/>
    <col min="6639" max="6639" width="26.25" style="260" customWidth="1"/>
    <col min="6640" max="6640" width="25.375" style="260" customWidth="1"/>
    <col min="6641" max="6643" width="26" style="260" customWidth="1"/>
    <col min="6644" max="6644" width="9" style="260"/>
    <col min="6645" max="6646" width="26" style="260" customWidth="1"/>
    <col min="6647" max="6892" width="9" style="260"/>
    <col min="6893" max="6893" width="44" style="260" customWidth="1"/>
    <col min="6894" max="6894" width="24" style="260" customWidth="1"/>
    <col min="6895" max="6895" width="26.25" style="260" customWidth="1"/>
    <col min="6896" max="6896" width="25.375" style="260" customWidth="1"/>
    <col min="6897" max="6899" width="26" style="260" customWidth="1"/>
    <col min="6900" max="6900" width="9" style="260"/>
    <col min="6901" max="6902" width="26" style="260" customWidth="1"/>
    <col min="6903" max="7148" width="9" style="260"/>
    <col min="7149" max="7149" width="44" style="260" customWidth="1"/>
    <col min="7150" max="7150" width="24" style="260" customWidth="1"/>
    <col min="7151" max="7151" width="26.25" style="260" customWidth="1"/>
    <col min="7152" max="7152" width="25.375" style="260" customWidth="1"/>
    <col min="7153" max="7155" width="26" style="260" customWidth="1"/>
    <col min="7156" max="7156" width="9" style="260"/>
    <col min="7157" max="7158" width="26" style="260" customWidth="1"/>
    <col min="7159" max="7404" width="9" style="260"/>
    <col min="7405" max="7405" width="44" style="260" customWidth="1"/>
    <col min="7406" max="7406" width="24" style="260" customWidth="1"/>
    <col min="7407" max="7407" width="26.25" style="260" customWidth="1"/>
    <col min="7408" max="7408" width="25.375" style="260" customWidth="1"/>
    <col min="7409" max="7411" width="26" style="260" customWidth="1"/>
    <col min="7412" max="7412" width="9" style="260"/>
    <col min="7413" max="7414" width="26" style="260" customWidth="1"/>
    <col min="7415" max="7660" width="9" style="260"/>
    <col min="7661" max="7661" width="44" style="260" customWidth="1"/>
    <col min="7662" max="7662" width="24" style="260" customWidth="1"/>
    <col min="7663" max="7663" width="26.25" style="260" customWidth="1"/>
    <col min="7664" max="7664" width="25.375" style="260" customWidth="1"/>
    <col min="7665" max="7667" width="26" style="260" customWidth="1"/>
    <col min="7668" max="7668" width="9" style="260"/>
    <col min="7669" max="7670" width="26" style="260" customWidth="1"/>
    <col min="7671" max="7916" width="9" style="260"/>
    <col min="7917" max="7917" width="44" style="260" customWidth="1"/>
    <col min="7918" max="7918" width="24" style="260" customWidth="1"/>
    <col min="7919" max="7919" width="26.25" style="260" customWidth="1"/>
    <col min="7920" max="7920" width="25.375" style="260" customWidth="1"/>
    <col min="7921" max="7923" width="26" style="260" customWidth="1"/>
    <col min="7924" max="7924" width="9" style="260"/>
    <col min="7925" max="7926" width="26" style="260" customWidth="1"/>
    <col min="7927" max="8172" width="9" style="260"/>
    <col min="8173" max="8173" width="44" style="260" customWidth="1"/>
    <col min="8174" max="8174" width="24" style="260" customWidth="1"/>
    <col min="8175" max="8175" width="26.25" style="260" customWidth="1"/>
    <col min="8176" max="8176" width="25.375" style="260" customWidth="1"/>
    <col min="8177" max="8179" width="26" style="260" customWidth="1"/>
    <col min="8180" max="8180" width="9" style="260"/>
    <col min="8181" max="8182" width="26" style="260" customWidth="1"/>
    <col min="8183" max="8428" width="9" style="260"/>
    <col min="8429" max="8429" width="44" style="260" customWidth="1"/>
    <col min="8430" max="8430" width="24" style="260" customWidth="1"/>
    <col min="8431" max="8431" width="26.25" style="260" customWidth="1"/>
    <col min="8432" max="8432" width="25.375" style="260" customWidth="1"/>
    <col min="8433" max="8435" width="26" style="260" customWidth="1"/>
    <col min="8436" max="8436" width="9" style="260"/>
    <col min="8437" max="8438" width="26" style="260" customWidth="1"/>
    <col min="8439" max="8684" width="9" style="260"/>
    <col min="8685" max="8685" width="44" style="260" customWidth="1"/>
    <col min="8686" max="8686" width="24" style="260" customWidth="1"/>
    <col min="8687" max="8687" width="26.25" style="260" customWidth="1"/>
    <col min="8688" max="8688" width="25.375" style="260" customWidth="1"/>
    <col min="8689" max="8691" width="26" style="260" customWidth="1"/>
    <col min="8692" max="8692" width="9" style="260"/>
    <col min="8693" max="8694" width="26" style="260" customWidth="1"/>
    <col min="8695" max="8940" width="9" style="260"/>
    <col min="8941" max="8941" width="44" style="260" customWidth="1"/>
    <col min="8942" max="8942" width="24" style="260" customWidth="1"/>
    <col min="8943" max="8943" width="26.25" style="260" customWidth="1"/>
    <col min="8944" max="8944" width="25.375" style="260" customWidth="1"/>
    <col min="8945" max="8947" width="26" style="260" customWidth="1"/>
    <col min="8948" max="8948" width="9" style="260"/>
    <col min="8949" max="8950" width="26" style="260" customWidth="1"/>
    <col min="8951" max="9196" width="9" style="260"/>
    <col min="9197" max="9197" width="44" style="260" customWidth="1"/>
    <col min="9198" max="9198" width="24" style="260" customWidth="1"/>
    <col min="9199" max="9199" width="26.25" style="260" customWidth="1"/>
    <col min="9200" max="9200" width="25.375" style="260" customWidth="1"/>
    <col min="9201" max="9203" width="26" style="260" customWidth="1"/>
    <col min="9204" max="9204" width="9" style="260"/>
    <col min="9205" max="9206" width="26" style="260" customWidth="1"/>
    <col min="9207" max="9452" width="9" style="260"/>
    <col min="9453" max="9453" width="44" style="260" customWidth="1"/>
    <col min="9454" max="9454" width="24" style="260" customWidth="1"/>
    <col min="9455" max="9455" width="26.25" style="260" customWidth="1"/>
    <col min="9456" max="9456" width="25.375" style="260" customWidth="1"/>
    <col min="9457" max="9459" width="26" style="260" customWidth="1"/>
    <col min="9460" max="9460" width="9" style="260"/>
    <col min="9461" max="9462" width="26" style="260" customWidth="1"/>
    <col min="9463" max="9708" width="9" style="260"/>
    <col min="9709" max="9709" width="44" style="260" customWidth="1"/>
    <col min="9710" max="9710" width="24" style="260" customWidth="1"/>
    <col min="9711" max="9711" width="26.25" style="260" customWidth="1"/>
    <col min="9712" max="9712" width="25.375" style="260" customWidth="1"/>
    <col min="9713" max="9715" width="26" style="260" customWidth="1"/>
    <col min="9716" max="9716" width="9" style="260"/>
    <col min="9717" max="9718" width="26" style="260" customWidth="1"/>
    <col min="9719" max="9964" width="9" style="260"/>
    <col min="9965" max="9965" width="44" style="260" customWidth="1"/>
    <col min="9966" max="9966" width="24" style="260" customWidth="1"/>
    <col min="9967" max="9967" width="26.25" style="260" customWidth="1"/>
    <col min="9968" max="9968" width="25.375" style="260" customWidth="1"/>
    <col min="9969" max="9971" width="26" style="260" customWidth="1"/>
    <col min="9972" max="9972" width="9" style="260"/>
    <col min="9973" max="9974" width="26" style="260" customWidth="1"/>
    <col min="9975" max="10220" width="9" style="260"/>
    <col min="10221" max="10221" width="44" style="260" customWidth="1"/>
    <col min="10222" max="10222" width="24" style="260" customWidth="1"/>
    <col min="10223" max="10223" width="26.25" style="260" customWidth="1"/>
    <col min="10224" max="10224" width="25.375" style="260" customWidth="1"/>
    <col min="10225" max="10227" width="26" style="260" customWidth="1"/>
    <col min="10228" max="10228" width="9" style="260"/>
    <col min="10229" max="10230" width="26" style="260" customWidth="1"/>
    <col min="10231" max="10476" width="9" style="260"/>
    <col min="10477" max="10477" width="44" style="260" customWidth="1"/>
    <col min="10478" max="10478" width="24" style="260" customWidth="1"/>
    <col min="10479" max="10479" width="26.25" style="260" customWidth="1"/>
    <col min="10480" max="10480" width="25.375" style="260" customWidth="1"/>
    <col min="10481" max="10483" width="26" style="260" customWidth="1"/>
    <col min="10484" max="10484" width="9" style="260"/>
    <col min="10485" max="10486" width="26" style="260" customWidth="1"/>
    <col min="10487" max="10732" width="9" style="260"/>
    <col min="10733" max="10733" width="44" style="260" customWidth="1"/>
    <col min="10734" max="10734" width="24" style="260" customWidth="1"/>
    <col min="10735" max="10735" width="26.25" style="260" customWidth="1"/>
    <col min="10736" max="10736" width="25.375" style="260" customWidth="1"/>
    <col min="10737" max="10739" width="26" style="260" customWidth="1"/>
    <col min="10740" max="10740" width="9" style="260"/>
    <col min="10741" max="10742" width="26" style="260" customWidth="1"/>
    <col min="10743" max="10988" width="9" style="260"/>
    <col min="10989" max="10989" width="44" style="260" customWidth="1"/>
    <col min="10990" max="10990" width="24" style="260" customWidth="1"/>
    <col min="10991" max="10991" width="26.25" style="260" customWidth="1"/>
    <col min="10992" max="10992" width="25.375" style="260" customWidth="1"/>
    <col min="10993" max="10995" width="26" style="260" customWidth="1"/>
    <col min="10996" max="10996" width="9" style="260"/>
    <col min="10997" max="10998" width="26" style="260" customWidth="1"/>
    <col min="10999" max="11244" width="9" style="260"/>
    <col min="11245" max="11245" width="44" style="260" customWidth="1"/>
    <col min="11246" max="11246" width="24" style="260" customWidth="1"/>
    <col min="11247" max="11247" width="26.25" style="260" customWidth="1"/>
    <col min="11248" max="11248" width="25.375" style="260" customWidth="1"/>
    <col min="11249" max="11251" width="26" style="260" customWidth="1"/>
    <col min="11252" max="11252" width="9" style="260"/>
    <col min="11253" max="11254" width="26" style="260" customWidth="1"/>
    <col min="11255" max="11500" width="9" style="260"/>
    <col min="11501" max="11501" width="44" style="260" customWidth="1"/>
    <col min="11502" max="11502" width="24" style="260" customWidth="1"/>
    <col min="11503" max="11503" width="26.25" style="260" customWidth="1"/>
    <col min="11504" max="11504" width="25.375" style="260" customWidth="1"/>
    <col min="11505" max="11507" width="26" style="260" customWidth="1"/>
    <col min="11508" max="11508" width="9" style="260"/>
    <col min="11509" max="11510" width="26" style="260" customWidth="1"/>
    <col min="11511" max="11756" width="9" style="260"/>
    <col min="11757" max="11757" width="44" style="260" customWidth="1"/>
    <col min="11758" max="11758" width="24" style="260" customWidth="1"/>
    <col min="11759" max="11759" width="26.25" style="260" customWidth="1"/>
    <col min="11760" max="11760" width="25.375" style="260" customWidth="1"/>
    <col min="11761" max="11763" width="26" style="260" customWidth="1"/>
    <col min="11764" max="11764" width="9" style="260"/>
    <col min="11765" max="11766" width="26" style="260" customWidth="1"/>
    <col min="11767" max="12012" width="9" style="260"/>
    <col min="12013" max="12013" width="44" style="260" customWidth="1"/>
    <col min="12014" max="12014" width="24" style="260" customWidth="1"/>
    <col min="12015" max="12015" width="26.25" style="260" customWidth="1"/>
    <col min="12016" max="12016" width="25.375" style="260" customWidth="1"/>
    <col min="12017" max="12019" width="26" style="260" customWidth="1"/>
    <col min="12020" max="12020" width="9" style="260"/>
    <col min="12021" max="12022" width="26" style="260" customWidth="1"/>
    <col min="12023" max="12268" width="9" style="260"/>
    <col min="12269" max="12269" width="44" style="260" customWidth="1"/>
    <col min="12270" max="12270" width="24" style="260" customWidth="1"/>
    <col min="12271" max="12271" width="26.25" style="260" customWidth="1"/>
    <col min="12272" max="12272" width="25.375" style="260" customWidth="1"/>
    <col min="12273" max="12275" width="26" style="260" customWidth="1"/>
    <col min="12276" max="12276" width="9" style="260"/>
    <col min="12277" max="12278" width="26" style="260" customWidth="1"/>
    <col min="12279" max="12524" width="9" style="260"/>
    <col min="12525" max="12525" width="44" style="260" customWidth="1"/>
    <col min="12526" max="12526" width="24" style="260" customWidth="1"/>
    <col min="12527" max="12527" width="26.25" style="260" customWidth="1"/>
    <col min="12528" max="12528" width="25.375" style="260" customWidth="1"/>
    <col min="12529" max="12531" width="26" style="260" customWidth="1"/>
    <col min="12532" max="12532" width="9" style="260"/>
    <col min="12533" max="12534" width="26" style="260" customWidth="1"/>
    <col min="12535" max="12780" width="9" style="260"/>
    <col min="12781" max="12781" width="44" style="260" customWidth="1"/>
    <col min="12782" max="12782" width="24" style="260" customWidth="1"/>
    <col min="12783" max="12783" width="26.25" style="260" customWidth="1"/>
    <col min="12784" max="12784" width="25.375" style="260" customWidth="1"/>
    <col min="12785" max="12787" width="26" style="260" customWidth="1"/>
    <col min="12788" max="12788" width="9" style="260"/>
    <col min="12789" max="12790" width="26" style="260" customWidth="1"/>
    <col min="12791" max="13036" width="9" style="260"/>
    <col min="13037" max="13037" width="44" style="260" customWidth="1"/>
    <col min="13038" max="13038" width="24" style="260" customWidth="1"/>
    <col min="13039" max="13039" width="26.25" style="260" customWidth="1"/>
    <col min="13040" max="13040" width="25.375" style="260" customWidth="1"/>
    <col min="13041" max="13043" width="26" style="260" customWidth="1"/>
    <col min="13044" max="13044" width="9" style="260"/>
    <col min="13045" max="13046" width="26" style="260" customWidth="1"/>
    <col min="13047" max="13292" width="9" style="260"/>
    <col min="13293" max="13293" width="44" style="260" customWidth="1"/>
    <col min="13294" max="13294" width="24" style="260" customWidth="1"/>
    <col min="13295" max="13295" width="26.25" style="260" customWidth="1"/>
    <col min="13296" max="13296" width="25.375" style="260" customWidth="1"/>
    <col min="13297" max="13299" width="26" style="260" customWidth="1"/>
    <col min="13300" max="13300" width="9" style="260"/>
    <col min="13301" max="13302" width="26" style="260" customWidth="1"/>
    <col min="13303" max="13548" width="9" style="260"/>
    <col min="13549" max="13549" width="44" style="260" customWidth="1"/>
    <col min="13550" max="13550" width="24" style="260" customWidth="1"/>
    <col min="13551" max="13551" width="26.25" style="260" customWidth="1"/>
    <col min="13552" max="13552" width="25.375" style="260" customWidth="1"/>
    <col min="13553" max="13555" width="26" style="260" customWidth="1"/>
    <col min="13556" max="13556" width="9" style="260"/>
    <col min="13557" max="13558" width="26" style="260" customWidth="1"/>
    <col min="13559" max="13804" width="9" style="260"/>
    <col min="13805" max="13805" width="44" style="260" customWidth="1"/>
    <col min="13806" max="13806" width="24" style="260" customWidth="1"/>
    <col min="13807" max="13807" width="26.25" style="260" customWidth="1"/>
    <col min="13808" max="13808" width="25.375" style="260" customWidth="1"/>
    <col min="13809" max="13811" width="26" style="260" customWidth="1"/>
    <col min="13812" max="13812" width="9" style="260"/>
    <col min="13813" max="13814" width="26" style="260" customWidth="1"/>
    <col min="13815" max="14060" width="9" style="260"/>
    <col min="14061" max="14061" width="44" style="260" customWidth="1"/>
    <col min="14062" max="14062" width="24" style="260" customWidth="1"/>
    <col min="14063" max="14063" width="26.25" style="260" customWidth="1"/>
    <col min="14064" max="14064" width="25.375" style="260" customWidth="1"/>
    <col min="14065" max="14067" width="26" style="260" customWidth="1"/>
    <col min="14068" max="14068" width="9" style="260"/>
    <col min="14069" max="14070" width="26" style="260" customWidth="1"/>
    <col min="14071" max="14316" width="9" style="260"/>
    <col min="14317" max="14317" width="44" style="260" customWidth="1"/>
    <col min="14318" max="14318" width="24" style="260" customWidth="1"/>
    <col min="14319" max="14319" width="26.25" style="260" customWidth="1"/>
    <col min="14320" max="14320" width="25.375" style="260" customWidth="1"/>
    <col min="14321" max="14323" width="26" style="260" customWidth="1"/>
    <col min="14324" max="14324" width="9" style="260"/>
    <col min="14325" max="14326" width="26" style="260" customWidth="1"/>
    <col min="14327" max="14572" width="9" style="260"/>
    <col min="14573" max="14573" width="44" style="260" customWidth="1"/>
    <col min="14574" max="14574" width="24" style="260" customWidth="1"/>
    <col min="14575" max="14575" width="26.25" style="260" customWidth="1"/>
    <col min="14576" max="14576" width="25.375" style="260" customWidth="1"/>
    <col min="14577" max="14579" width="26" style="260" customWidth="1"/>
    <col min="14580" max="14580" width="9" style="260"/>
    <col min="14581" max="14582" width="26" style="260" customWidth="1"/>
    <col min="14583" max="14828" width="9" style="260"/>
    <col min="14829" max="14829" width="44" style="260" customWidth="1"/>
    <col min="14830" max="14830" width="24" style="260" customWidth="1"/>
    <col min="14831" max="14831" width="26.25" style="260" customWidth="1"/>
    <col min="14832" max="14832" width="25.375" style="260" customWidth="1"/>
    <col min="14833" max="14835" width="26" style="260" customWidth="1"/>
    <col min="14836" max="14836" width="9" style="260"/>
    <col min="14837" max="14838" width="26" style="260" customWidth="1"/>
    <col min="14839" max="15084" width="9" style="260"/>
    <col min="15085" max="15085" width="44" style="260" customWidth="1"/>
    <col min="15086" max="15086" width="24" style="260" customWidth="1"/>
    <col min="15087" max="15087" width="26.25" style="260" customWidth="1"/>
    <col min="15088" max="15088" width="25.375" style="260" customWidth="1"/>
    <col min="15089" max="15091" width="26" style="260" customWidth="1"/>
    <col min="15092" max="15092" width="9" style="260"/>
    <col min="15093" max="15094" width="26" style="260" customWidth="1"/>
    <col min="15095" max="15340" width="9" style="260"/>
    <col min="15341" max="15341" width="44" style="260" customWidth="1"/>
    <col min="15342" max="15342" width="24" style="260" customWidth="1"/>
    <col min="15343" max="15343" width="26.25" style="260" customWidth="1"/>
    <col min="15344" max="15344" width="25.375" style="260" customWidth="1"/>
    <col min="15345" max="15347" width="26" style="260" customWidth="1"/>
    <col min="15348" max="15348" width="9" style="260"/>
    <col min="15349" max="15350" width="26" style="260" customWidth="1"/>
    <col min="15351" max="15596" width="9" style="260"/>
    <col min="15597" max="15597" width="44" style="260" customWidth="1"/>
    <col min="15598" max="15598" width="24" style="260" customWidth="1"/>
    <col min="15599" max="15599" width="26.25" style="260" customWidth="1"/>
    <col min="15600" max="15600" width="25.375" style="260" customWidth="1"/>
    <col min="15601" max="15603" width="26" style="260" customWidth="1"/>
    <col min="15604" max="15604" width="9" style="260"/>
    <col min="15605" max="15606" width="26" style="260" customWidth="1"/>
    <col min="15607" max="15852" width="9" style="260"/>
    <col min="15853" max="15853" width="44" style="260" customWidth="1"/>
    <col min="15854" max="15854" width="24" style="260" customWidth="1"/>
    <col min="15855" max="15855" width="26.25" style="260" customWidth="1"/>
    <col min="15856" max="15856" width="25.375" style="260" customWidth="1"/>
    <col min="15857" max="15859" width="26" style="260" customWidth="1"/>
    <col min="15860" max="15860" width="9" style="260"/>
    <col min="15861" max="15862" width="26" style="260" customWidth="1"/>
    <col min="15863" max="16108" width="9" style="260"/>
    <col min="16109" max="16109" width="44" style="260" customWidth="1"/>
    <col min="16110" max="16110" width="24" style="260" customWidth="1"/>
    <col min="16111" max="16111" width="26.25" style="260" customWidth="1"/>
    <col min="16112" max="16112" width="25.375" style="260" customWidth="1"/>
    <col min="16113" max="16115" width="26" style="260" customWidth="1"/>
    <col min="16116" max="16116" width="9" style="260"/>
    <col min="16117" max="16118" width="26" style="260" customWidth="1"/>
    <col min="16119" max="16384" width="9" style="260"/>
  </cols>
  <sheetData>
    <row r="1" spans="2:36">
      <c r="D1" s="74" t="s">
        <v>497</v>
      </c>
      <c r="E1" s="74" t="s">
        <v>497</v>
      </c>
      <c r="I1" s="74" t="s">
        <v>497</v>
      </c>
    </row>
    <row r="2" spans="2:36" ht="25.5">
      <c r="D2" s="348" t="s">
        <v>498</v>
      </c>
    </row>
    <row r="3" spans="2:36">
      <c r="D3" s="260" t="s">
        <v>123</v>
      </c>
      <c r="E3" s="260" t="s">
        <v>124</v>
      </c>
      <c r="F3" s="260" t="s">
        <v>127</v>
      </c>
      <c r="H3" s="260" t="s">
        <v>127</v>
      </c>
      <c r="I3" s="260" t="s">
        <v>499</v>
      </c>
      <c r="J3" s="260" t="s">
        <v>126</v>
      </c>
      <c r="P3" s="260" t="s">
        <v>127</v>
      </c>
      <c r="Q3" s="260" t="s">
        <v>127</v>
      </c>
      <c r="S3" s="260" t="s">
        <v>126</v>
      </c>
      <c r="T3" s="260" t="s">
        <v>124</v>
      </c>
      <c r="U3" s="260" t="s">
        <v>148</v>
      </c>
      <c r="X3" s="260" t="s">
        <v>128</v>
      </c>
      <c r="Y3" s="260" t="s">
        <v>150</v>
      </c>
      <c r="Z3" s="260" t="s">
        <v>149</v>
      </c>
      <c r="AA3" s="260" t="s">
        <v>303</v>
      </c>
      <c r="AG3" s="260"/>
      <c r="AH3" s="260"/>
      <c r="AI3" s="260"/>
      <c r="AJ3" s="260"/>
    </row>
    <row r="4" spans="2:36">
      <c r="D4" s="74" t="s">
        <v>500</v>
      </c>
      <c r="E4" s="80" t="s">
        <v>369</v>
      </c>
      <c r="F4" s="81"/>
      <c r="H4" s="75"/>
      <c r="I4" s="75" t="s">
        <v>501</v>
      </c>
      <c r="J4" s="75"/>
      <c r="P4" s="75"/>
      <c r="Q4" s="75"/>
      <c r="T4" s="81" t="s">
        <v>502</v>
      </c>
      <c r="Y4" s="81"/>
      <c r="Z4" s="81"/>
      <c r="AA4" s="81"/>
      <c r="AG4" s="81" t="s">
        <v>503</v>
      </c>
      <c r="AH4" s="81" t="s">
        <v>503</v>
      </c>
      <c r="AI4" s="81" t="s">
        <v>503</v>
      </c>
      <c r="AJ4" s="81" t="s">
        <v>503</v>
      </c>
    </row>
    <row r="5" spans="2:36">
      <c r="C5" s="349"/>
      <c r="D5" s="86" t="s">
        <v>504</v>
      </c>
      <c r="E5" s="78" t="s">
        <v>142</v>
      </c>
      <c r="F5" s="78" t="s">
        <v>505</v>
      </c>
      <c r="H5" s="84"/>
      <c r="I5" s="84" t="s">
        <v>151</v>
      </c>
      <c r="J5" s="84"/>
      <c r="P5" s="84"/>
      <c r="Q5" s="84"/>
      <c r="S5" s="78" t="s">
        <v>374</v>
      </c>
      <c r="T5" s="78" t="s">
        <v>506</v>
      </c>
      <c r="U5" s="86" t="s">
        <v>155</v>
      </c>
      <c r="X5" s="78" t="s">
        <v>374</v>
      </c>
      <c r="Y5" s="78" t="s">
        <v>507</v>
      </c>
      <c r="Z5" s="78" t="s">
        <v>508</v>
      </c>
      <c r="AA5" s="78" t="s">
        <v>509</v>
      </c>
      <c r="AG5" s="78" t="s">
        <v>510</v>
      </c>
      <c r="AH5" s="78" t="s">
        <v>511</v>
      </c>
      <c r="AI5" s="78" t="s">
        <v>512</v>
      </c>
      <c r="AJ5" s="78" t="s">
        <v>513</v>
      </c>
    </row>
    <row r="6" spans="2:36">
      <c r="C6" s="349"/>
      <c r="D6" s="86"/>
      <c r="E6" s="78" t="s">
        <v>157</v>
      </c>
      <c r="F6" s="78"/>
      <c r="H6" s="78" t="s">
        <v>514</v>
      </c>
      <c r="I6" s="78"/>
      <c r="J6" s="78" t="s">
        <v>515</v>
      </c>
      <c r="P6" s="78" t="s">
        <v>516</v>
      </c>
      <c r="Q6" s="78" t="s">
        <v>516</v>
      </c>
      <c r="S6" s="78"/>
      <c r="T6" s="78"/>
      <c r="U6" s="86"/>
      <c r="X6" s="78"/>
      <c r="Y6" s="78"/>
      <c r="Z6" s="78"/>
      <c r="AA6" s="78"/>
      <c r="AG6" s="78"/>
      <c r="AH6" s="78"/>
      <c r="AI6" s="78"/>
      <c r="AJ6" s="78"/>
    </row>
    <row r="7" spans="2:36">
      <c r="B7" s="87" t="s">
        <v>158</v>
      </c>
      <c r="C7" s="87" t="s">
        <v>159</v>
      </c>
      <c r="D7" s="87" t="s">
        <v>123</v>
      </c>
      <c r="E7" s="87" t="s">
        <v>124</v>
      </c>
      <c r="F7" s="87" t="s">
        <v>126</v>
      </c>
      <c r="H7" s="87" t="s">
        <v>126</v>
      </c>
      <c r="I7" s="87" t="s">
        <v>126</v>
      </c>
      <c r="J7" s="87" t="s">
        <v>126</v>
      </c>
      <c r="P7" s="87" t="s">
        <v>126</v>
      </c>
      <c r="Q7" s="87" t="s">
        <v>126</v>
      </c>
      <c r="S7" s="87" t="s">
        <v>124</v>
      </c>
      <c r="T7" s="87" t="s">
        <v>124</v>
      </c>
      <c r="U7" s="87" t="s">
        <v>123</v>
      </c>
      <c r="X7" s="87" t="s">
        <v>126</v>
      </c>
      <c r="Y7" s="87" t="s">
        <v>124</v>
      </c>
      <c r="Z7" s="87" t="s">
        <v>124</v>
      </c>
      <c r="AA7" s="87" t="s">
        <v>124</v>
      </c>
      <c r="AG7" s="87" t="s">
        <v>123</v>
      </c>
      <c r="AH7" s="87" t="s">
        <v>124</v>
      </c>
      <c r="AI7" s="87" t="s">
        <v>126</v>
      </c>
      <c r="AJ7" s="87" t="s">
        <v>127</v>
      </c>
    </row>
    <row r="8" spans="2:36">
      <c r="B8" s="88" t="s">
        <v>160</v>
      </c>
      <c r="C8" s="89" t="e">
        <f>дата_оц</f>
        <v>#NAME?</v>
      </c>
      <c r="D8" s="89" t="e">
        <f>дата_оц</f>
        <v>#NAME?</v>
      </c>
      <c r="E8" s="89" t="e">
        <f>дата_оц</f>
        <v>#NAME?</v>
      </c>
      <c r="F8" s="89" t="e">
        <f>дата_оц</f>
        <v>#NAME?</v>
      </c>
      <c r="H8" s="89" t="e">
        <f>дата_оц</f>
        <v>#NAME?</v>
      </c>
      <c r="I8" s="89" t="e">
        <f>дата_оц</f>
        <v>#NAME?</v>
      </c>
      <c r="J8" s="89" t="e">
        <f>дата_оц</f>
        <v>#NAME?</v>
      </c>
      <c r="P8" s="89" t="e">
        <f>дата_оц</f>
        <v>#NAME?</v>
      </c>
      <c r="Q8" s="89" t="e">
        <f>дата_оц</f>
        <v>#NAME?</v>
      </c>
      <c r="S8" s="89" t="e">
        <f>дата_оц</f>
        <v>#NAME?</v>
      </c>
      <c r="T8" s="89" t="e">
        <f>дата_оц</f>
        <v>#NAME?</v>
      </c>
      <c r="U8" s="89" t="e">
        <f>дата_оц</f>
        <v>#NAME?</v>
      </c>
      <c r="X8" s="89" t="e">
        <f>дата_оц</f>
        <v>#NAME?</v>
      </c>
      <c r="Y8" s="89" t="e">
        <f>дата_оц</f>
        <v>#NAME?</v>
      </c>
      <c r="Z8" s="89" t="e">
        <f>дата_оц</f>
        <v>#NAME?</v>
      </c>
      <c r="AA8" s="89" t="e">
        <f>дата_оц</f>
        <v>#NAME?</v>
      </c>
      <c r="AG8" s="89" t="e">
        <f>F8</f>
        <v>#NAME?</v>
      </c>
      <c r="AH8" s="89" t="e">
        <f>F8</f>
        <v>#NAME?</v>
      </c>
      <c r="AI8" s="89" t="e">
        <f>AH8</f>
        <v>#NAME?</v>
      </c>
      <c r="AJ8" s="89" t="e">
        <f>#REF!</f>
        <v>#REF!</v>
      </c>
    </row>
    <row r="9" spans="2:36">
      <c r="B9" s="88" t="s">
        <v>161</v>
      </c>
      <c r="C9" s="90"/>
      <c r="D9" s="93" t="s">
        <v>517</v>
      </c>
      <c r="E9" s="93" t="s">
        <v>385</v>
      </c>
      <c r="F9" s="93" t="s">
        <v>330</v>
      </c>
      <c r="H9" s="91" t="s">
        <v>518</v>
      </c>
      <c r="I9" s="91" t="s">
        <v>162</v>
      </c>
      <c r="J9" s="91" t="s">
        <v>519</v>
      </c>
      <c r="P9" s="91" t="s">
        <v>518</v>
      </c>
      <c r="Q9" s="91" t="s">
        <v>518</v>
      </c>
      <c r="S9" s="93" t="s">
        <v>387</v>
      </c>
      <c r="T9" s="93" t="s">
        <v>520</v>
      </c>
      <c r="U9" s="93" t="s">
        <v>166</v>
      </c>
      <c r="X9" s="91" t="s">
        <v>387</v>
      </c>
      <c r="Y9" s="97" t="s">
        <v>521</v>
      </c>
      <c r="Z9" s="97" t="s">
        <v>522</v>
      </c>
      <c r="AA9" s="97" t="s">
        <v>523</v>
      </c>
      <c r="AG9" s="97" t="s">
        <v>524</v>
      </c>
      <c r="AH9" s="97" t="s">
        <v>525</v>
      </c>
      <c r="AI9" s="97" t="s">
        <v>526</v>
      </c>
      <c r="AJ9" s="97" t="s">
        <v>527</v>
      </c>
    </row>
    <row r="10" spans="2:36" ht="25.5">
      <c r="B10" s="88"/>
      <c r="C10" s="94" t="s">
        <v>170</v>
      </c>
      <c r="D10" s="94" t="s">
        <v>170</v>
      </c>
      <c r="E10" s="94" t="s">
        <v>170</v>
      </c>
      <c r="F10" s="94" t="s">
        <v>170</v>
      </c>
      <c r="H10" s="95" t="s">
        <v>528</v>
      </c>
      <c r="I10" s="95" t="s">
        <v>170</v>
      </c>
      <c r="J10" s="95" t="s">
        <v>170</v>
      </c>
      <c r="P10" s="95" t="s">
        <v>170</v>
      </c>
      <c r="Q10" s="95" t="s">
        <v>170</v>
      </c>
      <c r="S10" s="94" t="s">
        <v>170</v>
      </c>
      <c r="T10" s="94" t="s">
        <v>170</v>
      </c>
      <c r="U10" s="94" t="s">
        <v>170</v>
      </c>
      <c r="X10" s="93" t="s">
        <v>170</v>
      </c>
      <c r="Y10" s="115" t="s">
        <v>529</v>
      </c>
      <c r="Z10" s="115" t="s">
        <v>530</v>
      </c>
      <c r="AA10" s="115" t="s">
        <v>170</v>
      </c>
      <c r="AG10" s="115" t="s">
        <v>170</v>
      </c>
      <c r="AH10" s="115" t="s">
        <v>170</v>
      </c>
      <c r="AI10" s="115" t="s">
        <v>170</v>
      </c>
      <c r="AJ10" s="115" t="s">
        <v>170</v>
      </c>
    </row>
    <row r="11" spans="2:36" ht="25.5">
      <c r="B11" s="88" t="s">
        <v>172</v>
      </c>
      <c r="C11" s="99" t="s">
        <v>496</v>
      </c>
      <c r="D11" s="99" t="s">
        <v>174</v>
      </c>
      <c r="E11" s="99" t="s">
        <v>179</v>
      </c>
      <c r="F11" s="99" t="s">
        <v>175</v>
      </c>
      <c r="H11" s="97" t="s">
        <v>531</v>
      </c>
      <c r="I11" s="97" t="s">
        <v>173</v>
      </c>
      <c r="J11" s="97" t="s">
        <v>532</v>
      </c>
      <c r="P11" s="97" t="s">
        <v>533</v>
      </c>
      <c r="Q11" s="97" t="s">
        <v>533</v>
      </c>
      <c r="S11" s="99" t="s">
        <v>404</v>
      </c>
      <c r="T11" s="99" t="s">
        <v>534</v>
      </c>
      <c r="U11" s="99" t="s">
        <v>332</v>
      </c>
      <c r="X11" s="98" t="s">
        <v>410</v>
      </c>
      <c r="Y11" s="97" t="s">
        <v>535</v>
      </c>
      <c r="Z11" s="97" t="s">
        <v>531</v>
      </c>
      <c r="AA11" s="97" t="s">
        <v>536</v>
      </c>
      <c r="AG11" s="97" t="s">
        <v>537</v>
      </c>
      <c r="AH11" s="97" t="s">
        <v>538</v>
      </c>
      <c r="AI11" s="97" t="s">
        <v>539</v>
      </c>
      <c r="AJ11" s="97" t="s">
        <v>540</v>
      </c>
    </row>
    <row r="12" spans="2:36">
      <c r="B12" s="88" t="s">
        <v>180</v>
      </c>
      <c r="C12" s="99" t="s">
        <v>584</v>
      </c>
      <c r="D12" s="99" t="s">
        <v>181</v>
      </c>
      <c r="E12" s="99" t="s">
        <v>185</v>
      </c>
      <c r="F12" s="99" t="s">
        <v>181</v>
      </c>
      <c r="H12" s="96" t="s">
        <v>541</v>
      </c>
      <c r="I12" s="101" t="s">
        <v>181</v>
      </c>
      <c r="J12" s="101" t="s">
        <v>542</v>
      </c>
      <c r="P12" s="289" t="s">
        <v>542</v>
      </c>
      <c r="Q12" s="289" t="s">
        <v>542</v>
      </c>
      <c r="S12" s="99" t="s">
        <v>181</v>
      </c>
      <c r="T12" s="99" t="s">
        <v>181</v>
      </c>
      <c r="U12" s="99" t="s">
        <v>181</v>
      </c>
      <c r="X12" s="286" t="s">
        <v>181</v>
      </c>
      <c r="Y12" s="286" t="s">
        <v>181</v>
      </c>
      <c r="Z12" s="286" t="s">
        <v>181</v>
      </c>
      <c r="AA12" s="286" t="s">
        <v>181</v>
      </c>
      <c r="AG12" s="286" t="s">
        <v>543</v>
      </c>
      <c r="AH12" s="286" t="s">
        <v>544</v>
      </c>
      <c r="AI12" s="286" t="s">
        <v>545</v>
      </c>
      <c r="AJ12" s="286" t="s">
        <v>546</v>
      </c>
    </row>
    <row r="13" spans="2:36" ht="20.25" customHeight="1">
      <c r="B13" s="88" t="s">
        <v>186</v>
      </c>
      <c r="C13" s="102" t="s">
        <v>585</v>
      </c>
      <c r="D13" s="102" t="s">
        <v>187</v>
      </c>
      <c r="E13" s="102" t="s">
        <v>187</v>
      </c>
      <c r="F13" s="102" t="s">
        <v>187</v>
      </c>
      <c r="H13" s="102" t="s">
        <v>187</v>
      </c>
      <c r="I13" s="94" t="s">
        <v>187</v>
      </c>
      <c r="J13" s="102" t="s">
        <v>187</v>
      </c>
      <c r="P13" s="208" t="s">
        <v>547</v>
      </c>
      <c r="Q13" s="208" t="s">
        <v>547</v>
      </c>
      <c r="S13" s="102" t="s">
        <v>431</v>
      </c>
      <c r="T13" s="102" t="s">
        <v>340</v>
      </c>
      <c r="U13" s="102" t="s">
        <v>188</v>
      </c>
      <c r="X13" s="94" t="s">
        <v>340</v>
      </c>
      <c r="Y13" s="94" t="s">
        <v>340</v>
      </c>
      <c r="Z13" s="94" t="s">
        <v>340</v>
      </c>
      <c r="AA13" s="94" t="s">
        <v>187</v>
      </c>
      <c r="AG13" s="94" t="s">
        <v>187</v>
      </c>
      <c r="AH13" s="94" t="s">
        <v>187</v>
      </c>
      <c r="AI13" s="94" t="s">
        <v>188</v>
      </c>
      <c r="AJ13" s="94" t="s">
        <v>188</v>
      </c>
    </row>
    <row r="14" spans="2:36" ht="20.25" customHeight="1">
      <c r="B14" s="88" t="s">
        <v>215</v>
      </c>
      <c r="C14" s="115" t="s">
        <v>217</v>
      </c>
      <c r="D14" s="115" t="s">
        <v>217</v>
      </c>
      <c r="E14" s="102" t="s">
        <v>219</v>
      </c>
      <c r="F14" s="115" t="s">
        <v>217</v>
      </c>
      <c r="H14" s="115" t="s">
        <v>217</v>
      </c>
      <c r="I14" s="94" t="s">
        <v>216</v>
      </c>
      <c r="J14" s="115" t="s">
        <v>217</v>
      </c>
      <c r="P14" s="121" t="s">
        <v>216</v>
      </c>
      <c r="Q14" s="121" t="s">
        <v>216</v>
      </c>
      <c r="S14" s="115" t="s">
        <v>457</v>
      </c>
      <c r="T14" s="115" t="s">
        <v>217</v>
      </c>
      <c r="U14" s="115" t="s">
        <v>216</v>
      </c>
      <c r="X14" s="94" t="s">
        <v>217</v>
      </c>
      <c r="Y14" s="115" t="s">
        <v>217</v>
      </c>
      <c r="Z14" s="115" t="s">
        <v>548</v>
      </c>
      <c r="AA14" s="115" t="s">
        <v>217</v>
      </c>
      <c r="AG14" s="115" t="s">
        <v>217</v>
      </c>
      <c r="AH14" s="115" t="s">
        <v>219</v>
      </c>
      <c r="AI14" s="115" t="s">
        <v>549</v>
      </c>
      <c r="AJ14" s="115" t="s">
        <v>216</v>
      </c>
    </row>
    <row r="15" spans="2:36" ht="15">
      <c r="B15" s="88" t="s">
        <v>341</v>
      </c>
      <c r="C15" s="104">
        <f>SUM(C16:C24)</f>
        <v>6505.32</v>
      </c>
      <c r="D15" s="104">
        <f t="shared" ref="D15" si="0">SUM(D16:D24)</f>
        <v>6996</v>
      </c>
      <c r="E15" s="104">
        <f>SUM(E16:E24)</f>
        <v>1800</v>
      </c>
      <c r="F15" s="104">
        <f>SUM(F16:F24)</f>
        <v>3337.1</v>
      </c>
      <c r="H15" s="104">
        <f>SUM(H16:H24)</f>
        <v>682.4</v>
      </c>
      <c r="I15" s="104">
        <f>SUM(I16:I24)</f>
        <v>1870</v>
      </c>
      <c r="J15" s="104">
        <f>SUM(J16:J24)</f>
        <v>2700</v>
      </c>
      <c r="P15" s="104">
        <f>SUM(P16:P24)</f>
        <v>1200</v>
      </c>
      <c r="Q15" s="104">
        <f>SUM(Q16:Q24)</f>
        <v>1800</v>
      </c>
      <c r="S15" s="104">
        <f>SUM(S16:S24)</f>
        <v>5015.6000000000004</v>
      </c>
      <c r="T15" s="104">
        <f>SUM(T16:T24)</f>
        <v>870.36</v>
      </c>
      <c r="U15" s="104">
        <f>SUM(U16:U19)</f>
        <v>1906</v>
      </c>
      <c r="X15" s="103">
        <f t="shared" ref="X15" si="1">SUM(X16:X24)</f>
        <v>1370</v>
      </c>
      <c r="Y15" s="103">
        <f>SUM(Y16:Y24)</f>
        <v>2030</v>
      </c>
      <c r="Z15" s="103">
        <f>SUM(Z16:Z24)</f>
        <v>233</v>
      </c>
      <c r="AA15" s="212">
        <f>SUM(AA16:AA24)</f>
        <v>2550</v>
      </c>
      <c r="AG15" s="103">
        <v>1000</v>
      </c>
      <c r="AH15" s="103">
        <f t="shared" ref="AH15:AJ15" si="2">SUM(AH16:AH19)</f>
        <v>376</v>
      </c>
      <c r="AI15" s="103">
        <f t="shared" si="2"/>
        <v>800</v>
      </c>
      <c r="AJ15" s="103">
        <f t="shared" si="2"/>
        <v>636</v>
      </c>
    </row>
    <row r="16" spans="2:36">
      <c r="B16" s="105" t="str">
        <f>Выжимка!B32</f>
        <v>произв класс 4</v>
      </c>
      <c r="C16" s="378">
        <f>Выжимка!F3</f>
        <v>138.69999999999999</v>
      </c>
      <c r="D16" s="108">
        <f>Выжимка!H3</f>
        <v>1112.2</v>
      </c>
      <c r="E16" s="108">
        <f>Выжимка!N3</f>
        <v>0</v>
      </c>
      <c r="F16" s="108">
        <f>Выжимка!I3</f>
        <v>0</v>
      </c>
      <c r="H16" s="106">
        <v>682.4</v>
      </c>
      <c r="I16" s="106">
        <v>110</v>
      </c>
      <c r="J16" s="106">
        <v>0</v>
      </c>
      <c r="P16" s="106">
        <v>1200</v>
      </c>
      <c r="Q16" s="106">
        <v>0</v>
      </c>
      <c r="S16" s="108">
        <v>0</v>
      </c>
      <c r="T16" s="108">
        <f>100+50+7+11</f>
        <v>168</v>
      </c>
      <c r="U16" s="108">
        <f>1200+60</f>
        <v>1260</v>
      </c>
      <c r="X16" s="106">
        <v>0</v>
      </c>
      <c r="Y16" s="106">
        <v>2030</v>
      </c>
      <c r="Z16" s="106">
        <v>0</v>
      </c>
      <c r="AA16" s="210">
        <v>200</v>
      </c>
      <c r="AG16" s="106">
        <v>0</v>
      </c>
      <c r="AH16" s="106">
        <v>0</v>
      </c>
      <c r="AI16" s="106">
        <v>0</v>
      </c>
      <c r="AJ16" s="106">
        <v>0</v>
      </c>
    </row>
    <row r="17" spans="2:36">
      <c r="B17" s="105" t="str">
        <f>Выжимка!B33</f>
        <v>произв класс 3</v>
      </c>
      <c r="C17" s="378">
        <f>Выжимка!F4</f>
        <v>4519.7000000000007</v>
      </c>
      <c r="D17" s="108">
        <f>Выжимка!H4</f>
        <v>5523.8</v>
      </c>
      <c r="E17" s="108">
        <f>Выжимка!N4</f>
        <v>1776.9</v>
      </c>
      <c r="F17" s="108">
        <f>Выжимка!I4</f>
        <v>0</v>
      </c>
      <c r="H17" s="106">
        <v>0</v>
      </c>
      <c r="I17" s="106">
        <v>1300</v>
      </c>
      <c r="J17" s="106">
        <v>0</v>
      </c>
      <c r="P17" s="106">
        <v>0</v>
      </c>
      <c r="Q17" s="106">
        <v>0</v>
      </c>
      <c r="S17" s="108">
        <f>1486.3</f>
        <v>1486.3</v>
      </c>
      <c r="T17" s="108">
        <v>444.36</v>
      </c>
      <c r="U17" s="108">
        <v>0</v>
      </c>
      <c r="X17" s="106">
        <v>0</v>
      </c>
      <c r="Y17" s="106">
        <v>0</v>
      </c>
      <c r="Z17" s="106">
        <v>0</v>
      </c>
      <c r="AA17" s="210">
        <v>0</v>
      </c>
      <c r="AG17" s="106">
        <v>0</v>
      </c>
      <c r="AH17" s="106">
        <v>376</v>
      </c>
      <c r="AI17" s="106">
        <v>0</v>
      </c>
      <c r="AJ17" s="106">
        <v>0</v>
      </c>
    </row>
    <row r="18" spans="2:36">
      <c r="B18" s="105" t="str">
        <f>Выжимка!B34</f>
        <v>произв класс 2</v>
      </c>
      <c r="C18" s="378">
        <f>Выжимка!F5</f>
        <v>1576.1</v>
      </c>
      <c r="D18" s="108">
        <f>Выжимка!H5</f>
        <v>0</v>
      </c>
      <c r="E18" s="108">
        <f>Выжимка!N5</f>
        <v>0</v>
      </c>
      <c r="F18" s="108">
        <f>Выжимка!I5</f>
        <v>1947.1</v>
      </c>
      <c r="H18" s="108">
        <v>0</v>
      </c>
      <c r="I18" s="108">
        <v>0</v>
      </c>
      <c r="J18" s="108">
        <f>1150+1550</f>
        <v>2700</v>
      </c>
      <c r="P18" s="108">
        <v>0</v>
      </c>
      <c r="Q18" s="108">
        <v>1800</v>
      </c>
      <c r="S18" s="108">
        <f>2661.4+384.3+483.6</f>
        <v>3529.3</v>
      </c>
      <c r="T18" s="108">
        <v>30</v>
      </c>
      <c r="U18" s="108">
        <v>646</v>
      </c>
      <c r="X18" s="106">
        <v>1370</v>
      </c>
      <c r="Y18" s="106">
        <v>0</v>
      </c>
      <c r="Z18" s="106">
        <v>233</v>
      </c>
      <c r="AA18" s="210">
        <v>2350</v>
      </c>
      <c r="AG18" s="106">
        <v>1040</v>
      </c>
      <c r="AH18" s="106">
        <v>0</v>
      </c>
      <c r="AI18" s="106">
        <v>800</v>
      </c>
      <c r="AJ18" s="106">
        <v>636</v>
      </c>
    </row>
    <row r="19" spans="2:36">
      <c r="B19" s="105" t="str">
        <f>Выжимка!B35</f>
        <v>произв класс 1</v>
      </c>
      <c r="C19" s="378">
        <f>Выжимка!F6</f>
        <v>0</v>
      </c>
      <c r="D19" s="108">
        <f>Выжимка!H6</f>
        <v>0</v>
      </c>
      <c r="E19" s="108">
        <f>Выжимка!N6</f>
        <v>0</v>
      </c>
      <c r="F19" s="108">
        <f>Выжимка!I6</f>
        <v>0</v>
      </c>
      <c r="H19" s="106">
        <v>0</v>
      </c>
      <c r="I19" s="106">
        <v>460</v>
      </c>
      <c r="J19" s="106">
        <v>0</v>
      </c>
      <c r="P19" s="106">
        <v>0</v>
      </c>
      <c r="Q19" s="106">
        <v>0</v>
      </c>
      <c r="S19" s="108">
        <v>0</v>
      </c>
      <c r="T19" s="108">
        <v>228</v>
      </c>
      <c r="U19" s="108">
        <v>0</v>
      </c>
      <c r="X19" s="106">
        <v>0</v>
      </c>
      <c r="Y19" s="106">
        <v>0</v>
      </c>
      <c r="Z19" s="106">
        <v>0</v>
      </c>
      <c r="AA19" s="210">
        <v>0</v>
      </c>
      <c r="AG19" s="106">
        <v>0</v>
      </c>
      <c r="AH19" s="106">
        <v>0</v>
      </c>
      <c r="AI19" s="106">
        <v>0</v>
      </c>
      <c r="AJ19" s="106">
        <v>0</v>
      </c>
    </row>
    <row r="20" spans="2:36">
      <c r="B20" s="105" t="str">
        <f>Выжимка!B36</f>
        <v>гражд класс 4</v>
      </c>
      <c r="C20" s="378">
        <f>Выжимка!F7</f>
        <v>24.82</v>
      </c>
      <c r="D20" s="108">
        <f>Выжимка!H7</f>
        <v>0</v>
      </c>
      <c r="E20" s="108">
        <f>Выжимка!N7</f>
        <v>23.1</v>
      </c>
      <c r="F20" s="108">
        <f>Выжимка!I7</f>
        <v>0</v>
      </c>
      <c r="H20" s="106"/>
      <c r="I20" s="106"/>
      <c r="J20" s="106"/>
      <c r="P20" s="106"/>
      <c r="Q20" s="106"/>
      <c r="S20" s="108"/>
      <c r="T20" s="108"/>
      <c r="U20" s="108"/>
      <c r="X20" s="106"/>
      <c r="Y20" s="106"/>
      <c r="Z20" s="106"/>
      <c r="AA20" s="210"/>
      <c r="AG20" s="106"/>
      <c r="AH20" s="106"/>
      <c r="AI20" s="106"/>
      <c r="AJ20" s="106"/>
    </row>
    <row r="21" spans="2:36">
      <c r="B21" s="105" t="str">
        <f>Выжимка!B37</f>
        <v>гражд класс 3</v>
      </c>
      <c r="C21" s="378">
        <f>Выжимка!F8</f>
        <v>221.2</v>
      </c>
      <c r="D21" s="108">
        <f>Выжимка!H8</f>
        <v>360</v>
      </c>
      <c r="E21" s="108">
        <f>Выжимка!N8</f>
        <v>0</v>
      </c>
      <c r="F21" s="108">
        <f>Выжимка!I8</f>
        <v>1390</v>
      </c>
      <c r="H21" s="106"/>
      <c r="I21" s="106"/>
      <c r="J21" s="106"/>
      <c r="P21" s="106"/>
      <c r="Q21" s="106"/>
      <c r="S21" s="108"/>
      <c r="T21" s="108"/>
      <c r="U21" s="108"/>
      <c r="X21" s="106"/>
      <c r="Y21" s="106"/>
      <c r="Z21" s="106"/>
      <c r="AA21" s="210"/>
      <c r="AG21" s="106"/>
      <c r="AH21" s="106"/>
      <c r="AI21" s="106"/>
      <c r="AJ21" s="106"/>
    </row>
    <row r="22" spans="2:36">
      <c r="B22" s="105" t="str">
        <f>Выжимка!B38</f>
        <v>гражд класс 2</v>
      </c>
      <c r="C22" s="378">
        <f>Выжимка!F9</f>
        <v>0</v>
      </c>
      <c r="D22" s="108">
        <f>Выжимка!H9</f>
        <v>0</v>
      </c>
      <c r="E22" s="108">
        <f>Выжимка!N9</f>
        <v>0</v>
      </c>
      <c r="F22" s="108">
        <f>Выжимка!I9</f>
        <v>0</v>
      </c>
      <c r="H22" s="106"/>
      <c r="I22" s="106"/>
      <c r="J22" s="106"/>
      <c r="P22" s="106"/>
      <c r="Q22" s="106"/>
      <c r="S22" s="108"/>
      <c r="T22" s="108"/>
      <c r="U22" s="108"/>
      <c r="X22" s="106"/>
      <c r="Y22" s="106"/>
      <c r="Z22" s="106"/>
      <c r="AA22" s="210"/>
      <c r="AG22" s="106"/>
      <c r="AH22" s="106"/>
      <c r="AI22" s="106"/>
      <c r="AJ22" s="106"/>
    </row>
    <row r="23" spans="2:36">
      <c r="B23" s="105" t="str">
        <f>Выжимка!B39</f>
        <v>гражд класс 1</v>
      </c>
      <c r="C23" s="378">
        <f>Выжимка!F10</f>
        <v>0</v>
      </c>
      <c r="D23" s="108">
        <f>Выжимка!H10</f>
        <v>0</v>
      </c>
      <c r="E23" s="108">
        <f>Выжимка!N10</f>
        <v>0</v>
      </c>
      <c r="F23" s="108">
        <f>Выжимка!I10</f>
        <v>0</v>
      </c>
      <c r="H23" s="106"/>
      <c r="I23" s="106"/>
      <c r="J23" s="106"/>
      <c r="P23" s="106"/>
      <c r="Q23" s="106"/>
      <c r="S23" s="108"/>
      <c r="T23" s="108"/>
      <c r="U23" s="108"/>
      <c r="X23" s="106"/>
      <c r="Y23" s="106"/>
      <c r="Z23" s="106"/>
      <c r="AA23" s="210"/>
      <c r="AG23" s="106"/>
      <c r="AH23" s="106"/>
      <c r="AI23" s="106"/>
      <c r="AJ23" s="106"/>
    </row>
    <row r="24" spans="2:36">
      <c r="B24" s="105" t="str">
        <f>Выжимка!B40</f>
        <v>прочие</v>
      </c>
      <c r="C24" s="378">
        <f>Выжимка!F11</f>
        <v>24.8</v>
      </c>
      <c r="D24" s="108">
        <f>Выжимка!H11</f>
        <v>0</v>
      </c>
      <c r="E24" s="108">
        <f>Выжимка!N11</f>
        <v>0</v>
      </c>
      <c r="F24" s="108">
        <f>Выжимка!I11</f>
        <v>0</v>
      </c>
      <c r="H24" s="108">
        <v>0</v>
      </c>
      <c r="I24" s="108">
        <v>0</v>
      </c>
      <c r="J24" s="108">
        <v>0</v>
      </c>
      <c r="P24" s="108">
        <v>0</v>
      </c>
      <c r="Q24" s="108">
        <v>0</v>
      </c>
      <c r="S24" s="108">
        <v>0</v>
      </c>
      <c r="T24" s="108">
        <v>0</v>
      </c>
      <c r="U24" s="108">
        <v>0</v>
      </c>
      <c r="X24" s="94">
        <v>0</v>
      </c>
      <c r="Y24" s="103">
        <v>0</v>
      </c>
      <c r="Z24" s="103">
        <v>0</v>
      </c>
      <c r="AA24" s="212">
        <v>0</v>
      </c>
      <c r="AG24" s="103">
        <v>0</v>
      </c>
      <c r="AH24" s="103">
        <v>0</v>
      </c>
      <c r="AI24" s="103">
        <v>0</v>
      </c>
      <c r="AJ24" s="103">
        <v>0</v>
      </c>
    </row>
    <row r="25" spans="2:36" ht="25.5">
      <c r="B25" s="88" t="s">
        <v>202</v>
      </c>
      <c r="C25" s="115" t="s">
        <v>552</v>
      </c>
      <c r="D25" s="115" t="s">
        <v>205</v>
      </c>
      <c r="E25" s="115" t="s">
        <v>210</v>
      </c>
      <c r="F25" s="115" t="s">
        <v>206</v>
      </c>
      <c r="H25" s="115" t="s">
        <v>450</v>
      </c>
      <c r="I25" s="115" t="s">
        <v>553</v>
      </c>
      <c r="J25" s="115" t="s">
        <v>450</v>
      </c>
      <c r="P25" s="115" t="s">
        <v>450</v>
      </c>
      <c r="Q25" s="115" t="s">
        <v>450</v>
      </c>
      <c r="S25" s="115" t="s">
        <v>447</v>
      </c>
      <c r="T25" s="115" t="s">
        <v>448</v>
      </c>
      <c r="U25" s="115" t="s">
        <v>344</v>
      </c>
      <c r="X25" s="94" t="s">
        <v>449</v>
      </c>
      <c r="Y25" s="94" t="s">
        <v>554</v>
      </c>
      <c r="Z25" s="94" t="s">
        <v>448</v>
      </c>
      <c r="AA25" s="209" t="s">
        <v>206</v>
      </c>
      <c r="AG25" s="94" t="s">
        <v>555</v>
      </c>
      <c r="AH25" s="94" t="s">
        <v>555</v>
      </c>
      <c r="AI25" s="94" t="s">
        <v>555</v>
      </c>
      <c r="AJ25" s="94" t="s">
        <v>556</v>
      </c>
    </row>
    <row r="26" spans="2:36" ht="25.5">
      <c r="B26" s="88" t="s">
        <v>211</v>
      </c>
      <c r="C26" s="205" t="s">
        <v>646</v>
      </c>
      <c r="D26" s="205" t="s">
        <v>212</v>
      </c>
      <c r="E26" s="205" t="s">
        <v>214</v>
      </c>
      <c r="F26" s="205" t="s">
        <v>214</v>
      </c>
      <c r="H26" s="94" t="s">
        <v>214</v>
      </c>
      <c r="I26" s="94" t="s">
        <v>213</v>
      </c>
      <c r="J26" s="94" t="s">
        <v>557</v>
      </c>
      <c r="P26" s="94" t="s">
        <v>214</v>
      </c>
      <c r="Q26" s="94" t="s">
        <v>214</v>
      </c>
      <c r="S26" s="94" t="s">
        <v>214</v>
      </c>
      <c r="T26" s="94" t="s">
        <v>214</v>
      </c>
      <c r="U26" s="94" t="s">
        <v>212</v>
      </c>
      <c r="X26" s="94" t="s">
        <v>212</v>
      </c>
      <c r="Y26" s="94" t="s">
        <v>214</v>
      </c>
      <c r="Z26" s="94" t="s">
        <v>214</v>
      </c>
      <c r="AA26" s="209" t="s">
        <v>214</v>
      </c>
      <c r="AG26" s="94" t="s">
        <v>212</v>
      </c>
      <c r="AH26" s="94" t="s">
        <v>558</v>
      </c>
      <c r="AI26" s="94" t="s">
        <v>212</v>
      </c>
      <c r="AJ26" s="94" t="s">
        <v>212</v>
      </c>
    </row>
    <row r="27" spans="2:36">
      <c r="B27" s="88" t="s">
        <v>220</v>
      </c>
      <c r="C27" s="115" t="s">
        <v>221</v>
      </c>
      <c r="D27" s="115" t="s">
        <v>221</v>
      </c>
      <c r="E27" s="115" t="s">
        <v>221</v>
      </c>
      <c r="F27" s="115" t="s">
        <v>221</v>
      </c>
      <c r="H27" s="115" t="s">
        <v>221</v>
      </c>
      <c r="I27" s="115" t="s">
        <v>221</v>
      </c>
      <c r="J27" s="115" t="s">
        <v>221</v>
      </c>
      <c r="P27" s="115" t="s">
        <v>221</v>
      </c>
      <c r="Q27" s="115" t="s">
        <v>221</v>
      </c>
      <c r="S27" s="115" t="s">
        <v>221</v>
      </c>
      <c r="T27" s="115" t="s">
        <v>221</v>
      </c>
      <c r="U27" s="115" t="s">
        <v>221</v>
      </c>
      <c r="X27" s="94" t="s">
        <v>221</v>
      </c>
      <c r="Y27" s="94" t="s">
        <v>221</v>
      </c>
      <c r="Z27" s="94" t="s">
        <v>221</v>
      </c>
      <c r="AA27" s="209" t="s">
        <v>221</v>
      </c>
      <c r="AG27" s="94" t="s">
        <v>221</v>
      </c>
      <c r="AH27" s="94" t="s">
        <v>221</v>
      </c>
      <c r="AI27" s="94" t="s">
        <v>221</v>
      </c>
      <c r="AJ27" s="94" t="s">
        <v>221</v>
      </c>
    </row>
    <row r="28" spans="2:36" ht="15">
      <c r="B28" s="88" t="s">
        <v>350</v>
      </c>
      <c r="C28" s="104">
        <v>9410</v>
      </c>
      <c r="D28" s="104">
        <v>12620</v>
      </c>
      <c r="E28" s="104">
        <v>3200</v>
      </c>
      <c r="F28" s="115">
        <v>7800</v>
      </c>
      <c r="H28" s="104">
        <v>1230</v>
      </c>
      <c r="I28" s="104">
        <v>5480</v>
      </c>
      <c r="J28" s="104">
        <v>2300</v>
      </c>
      <c r="P28" s="104">
        <v>680</v>
      </c>
      <c r="Q28" s="104">
        <v>3710</v>
      </c>
      <c r="S28" s="115">
        <v>2200</v>
      </c>
      <c r="T28" s="115">
        <v>2423</v>
      </c>
      <c r="U28" s="115">
        <v>1300</v>
      </c>
      <c r="X28" s="103">
        <v>2200</v>
      </c>
      <c r="Y28" s="103">
        <v>700</v>
      </c>
      <c r="Z28" s="103">
        <v>430</v>
      </c>
      <c r="AA28" s="212">
        <v>16300</v>
      </c>
      <c r="AG28" s="103">
        <v>1037</v>
      </c>
      <c r="AH28" s="103">
        <v>500</v>
      </c>
      <c r="AI28" s="103">
        <v>800</v>
      </c>
      <c r="AJ28" s="103">
        <v>1149</v>
      </c>
    </row>
    <row r="29" spans="2:36">
      <c r="B29" s="88" t="s">
        <v>226</v>
      </c>
      <c r="C29" s="94" t="s">
        <v>227</v>
      </c>
      <c r="D29" s="94" t="s">
        <v>227</v>
      </c>
      <c r="E29" s="94" t="s">
        <v>227</v>
      </c>
      <c r="F29" s="94" t="s">
        <v>227</v>
      </c>
      <c r="H29" s="94" t="s">
        <v>227</v>
      </c>
      <c r="I29" s="94" t="s">
        <v>227</v>
      </c>
      <c r="J29" s="94" t="s">
        <v>461</v>
      </c>
      <c r="P29" s="94" t="s">
        <v>461</v>
      </c>
      <c r="Q29" s="94" t="s">
        <v>461</v>
      </c>
      <c r="S29" s="94" t="s">
        <v>461</v>
      </c>
      <c r="T29" s="94" t="s">
        <v>227</v>
      </c>
      <c r="U29" s="94" t="s">
        <v>227</v>
      </c>
      <c r="X29" s="94" t="s">
        <v>461</v>
      </c>
      <c r="Y29" s="94" t="s">
        <v>227</v>
      </c>
      <c r="Z29" s="94" t="s">
        <v>227</v>
      </c>
      <c r="AA29" s="209" t="s">
        <v>227</v>
      </c>
      <c r="AG29" s="94" t="s">
        <v>559</v>
      </c>
      <c r="AH29" s="94" t="s">
        <v>559</v>
      </c>
      <c r="AI29" s="94" t="s">
        <v>559</v>
      </c>
      <c r="AJ29" s="94" t="s">
        <v>559</v>
      </c>
    </row>
    <row r="30" spans="2:36" ht="25.5">
      <c r="B30" s="88" t="s">
        <v>230</v>
      </c>
      <c r="C30" s="116" t="s">
        <v>560</v>
      </c>
      <c r="D30" s="116" t="s">
        <v>232</v>
      </c>
      <c r="E30" s="116" t="s">
        <v>234</v>
      </c>
      <c r="F30" s="116" t="s">
        <v>463</v>
      </c>
      <c r="H30" s="116" t="s">
        <v>233</v>
      </c>
      <c r="I30" s="116" t="s">
        <v>231</v>
      </c>
      <c r="J30" s="116" t="s">
        <v>561</v>
      </c>
      <c r="P30" s="116" t="s">
        <v>561</v>
      </c>
      <c r="Q30" s="116" t="s">
        <v>561</v>
      </c>
      <c r="S30" s="116" t="s">
        <v>231</v>
      </c>
      <c r="T30" s="116" t="s">
        <v>562</v>
      </c>
      <c r="U30" s="116" t="s">
        <v>233</v>
      </c>
      <c r="X30" s="97" t="s">
        <v>233</v>
      </c>
      <c r="Y30" s="97" t="s">
        <v>563</v>
      </c>
      <c r="Z30" s="97" t="s">
        <v>233</v>
      </c>
      <c r="AA30" s="355" t="s">
        <v>564</v>
      </c>
      <c r="AG30" s="97" t="s">
        <v>565</v>
      </c>
      <c r="AH30" s="97" t="s">
        <v>565</v>
      </c>
      <c r="AI30" s="97" t="s">
        <v>565</v>
      </c>
      <c r="AJ30" s="97" t="s">
        <v>566</v>
      </c>
    </row>
    <row r="31" spans="2:36" ht="63.75">
      <c r="B31" s="88" t="s">
        <v>567</v>
      </c>
      <c r="C31" s="94" t="s">
        <v>568</v>
      </c>
      <c r="D31" s="115" t="s">
        <v>569</v>
      </c>
      <c r="E31" s="115" t="s">
        <v>569</v>
      </c>
      <c r="F31" s="94" t="s">
        <v>239</v>
      </c>
      <c r="H31" s="115" t="s">
        <v>238</v>
      </c>
      <c r="I31" s="115" t="s">
        <v>569</v>
      </c>
      <c r="J31" s="115" t="s">
        <v>469</v>
      </c>
      <c r="P31" s="121" t="s">
        <v>469</v>
      </c>
      <c r="Q31" s="121" t="s">
        <v>469</v>
      </c>
      <c r="S31" s="94" t="s">
        <v>467</v>
      </c>
      <c r="T31" s="94" t="s">
        <v>570</v>
      </c>
      <c r="U31" s="94" t="s">
        <v>239</v>
      </c>
      <c r="X31" s="94" t="s">
        <v>471</v>
      </c>
      <c r="Y31" s="94" t="s">
        <v>571</v>
      </c>
      <c r="Z31" s="94" t="s">
        <v>571</v>
      </c>
      <c r="AA31" s="209" t="s">
        <v>572</v>
      </c>
      <c r="AG31" s="94" t="s">
        <v>239</v>
      </c>
      <c r="AH31" s="94" t="s">
        <v>239</v>
      </c>
      <c r="AI31" s="94" t="s">
        <v>239</v>
      </c>
      <c r="AJ31" s="94" t="s">
        <v>239</v>
      </c>
    </row>
    <row r="32" spans="2:36">
      <c r="B32" s="88" t="s">
        <v>573</v>
      </c>
      <c r="C32" s="94" t="s">
        <v>586</v>
      </c>
      <c r="D32" s="94" t="s">
        <v>238</v>
      </c>
      <c r="E32" s="94" t="s">
        <v>238</v>
      </c>
      <c r="F32" s="94" t="s">
        <v>239</v>
      </c>
      <c r="H32" s="94" t="s">
        <v>238</v>
      </c>
      <c r="I32" s="94" t="s">
        <v>236</v>
      </c>
      <c r="J32" s="94" t="s">
        <v>238</v>
      </c>
      <c r="P32" s="205" t="s">
        <v>238</v>
      </c>
      <c r="Q32" s="205" t="s">
        <v>238</v>
      </c>
      <c r="S32" s="94" t="s">
        <v>574</v>
      </c>
      <c r="T32" s="94" t="s">
        <v>238</v>
      </c>
      <c r="U32" s="94" t="s">
        <v>238</v>
      </c>
      <c r="X32" s="94" t="s">
        <v>574</v>
      </c>
      <c r="Y32" s="94" t="s">
        <v>238</v>
      </c>
      <c r="Z32" s="94" t="s">
        <v>238</v>
      </c>
      <c r="AA32" s="94" t="s">
        <v>574</v>
      </c>
      <c r="AG32" s="94" t="s">
        <v>224</v>
      </c>
      <c r="AH32" s="94" t="s">
        <v>224</v>
      </c>
      <c r="AI32" s="94" t="s">
        <v>224</v>
      </c>
      <c r="AJ32" s="94" t="s">
        <v>224</v>
      </c>
    </row>
    <row r="33" spans="2:36">
      <c r="B33" s="88" t="s">
        <v>243</v>
      </c>
      <c r="C33" s="117"/>
      <c r="D33" s="94" t="s">
        <v>244</v>
      </c>
      <c r="E33" s="94" t="s">
        <v>244</v>
      </c>
      <c r="F33" s="94" t="s">
        <v>245</v>
      </c>
      <c r="H33" s="94" t="s">
        <v>482</v>
      </c>
      <c r="I33" s="94" t="s">
        <v>245</v>
      </c>
      <c r="J33" s="94" t="s">
        <v>244</v>
      </c>
      <c r="P33" s="205" t="s">
        <v>245</v>
      </c>
      <c r="Q33" s="205" t="s">
        <v>245</v>
      </c>
      <c r="S33" s="94" t="s">
        <v>245</v>
      </c>
      <c r="T33" s="94" t="s">
        <v>244</v>
      </c>
      <c r="U33" s="94" t="s">
        <v>244</v>
      </c>
      <c r="X33" s="101" t="s">
        <v>244</v>
      </c>
      <c r="Y33" s="94" t="s">
        <v>244</v>
      </c>
      <c r="Z33" s="94" t="s">
        <v>244</v>
      </c>
      <c r="AA33" s="94" t="s">
        <v>244</v>
      </c>
      <c r="AG33" s="94" t="s">
        <v>245</v>
      </c>
      <c r="AH33" s="94" t="s">
        <v>245</v>
      </c>
      <c r="AI33" s="94" t="s">
        <v>245</v>
      </c>
      <c r="AJ33" s="94" t="s">
        <v>245</v>
      </c>
    </row>
    <row r="34" spans="2:36">
      <c r="B34" s="88" t="s">
        <v>122</v>
      </c>
      <c r="C34" s="117"/>
      <c r="D34" s="94">
        <v>6000000</v>
      </c>
      <c r="E34" s="94">
        <v>1500000</v>
      </c>
      <c r="F34" s="94">
        <v>2600000</v>
      </c>
      <c r="H34" s="94">
        <v>700000</v>
      </c>
      <c r="I34" s="94">
        <v>1800000</v>
      </c>
      <c r="J34" s="94">
        <v>800000</v>
      </c>
      <c r="P34" s="94">
        <v>1500000</v>
      </c>
      <c r="Q34" s="94">
        <v>1500000</v>
      </c>
      <c r="S34" s="94">
        <v>2500000</v>
      </c>
      <c r="T34" s="94">
        <v>700000</v>
      </c>
      <c r="U34" s="94">
        <v>1200000</v>
      </c>
      <c r="X34" s="118">
        <v>760000</v>
      </c>
      <c r="Y34" s="118">
        <v>1600000</v>
      </c>
      <c r="Z34" s="118">
        <v>280000</v>
      </c>
      <c r="AA34" s="118">
        <v>5200000</v>
      </c>
      <c r="AG34" s="118">
        <f>700*AG15</f>
        <v>700000</v>
      </c>
      <c r="AH34" s="118">
        <v>320000</v>
      </c>
      <c r="AI34" s="118">
        <v>750000</v>
      </c>
      <c r="AJ34" s="118">
        <v>525000</v>
      </c>
    </row>
    <row r="35" spans="2:36">
      <c r="B35" s="88" t="s">
        <v>246</v>
      </c>
      <c r="C35" s="117"/>
      <c r="D35" s="94">
        <f>ROUND(D34*долл,-4)</f>
        <v>524700000</v>
      </c>
      <c r="E35" s="94">
        <f>ROUND(E34*долл,-4)</f>
        <v>131180000</v>
      </c>
      <c r="F35" s="94">
        <f>F34*долл</f>
        <v>227370000</v>
      </c>
      <c r="H35" s="94">
        <f>ROUND(H34*долл,-4)</f>
        <v>61220000</v>
      </c>
      <c r="I35" s="94">
        <f>ROUND(I34*долл,-3)</f>
        <v>157410000</v>
      </c>
      <c r="J35" s="94">
        <f>ROUND(J34*долл,-4)</f>
        <v>69960000</v>
      </c>
      <c r="P35" s="94">
        <f>ROUND(P34*долл,-4)</f>
        <v>131180000</v>
      </c>
      <c r="Q35" s="94">
        <f>ROUND(Q34*долл,-4)</f>
        <v>131180000</v>
      </c>
      <c r="S35" s="94">
        <f>S34*долл</f>
        <v>218625000</v>
      </c>
      <c r="T35" s="94">
        <f>T34*долл</f>
        <v>61215000</v>
      </c>
      <c r="U35" s="94">
        <f>ROUND(U34*долл,-3)</f>
        <v>104940000</v>
      </c>
      <c r="X35" s="115">
        <f>X34*долл</f>
        <v>66462000</v>
      </c>
      <c r="Y35" s="94">
        <f>Y34*долл</f>
        <v>139920000</v>
      </c>
      <c r="Z35" s="94">
        <f>Z34*долл</f>
        <v>24486000</v>
      </c>
      <c r="AA35" s="94">
        <f>AA34*долл</f>
        <v>454740000</v>
      </c>
      <c r="AG35" s="94">
        <f>ROUND(AG34*долл,-3)</f>
        <v>61215000</v>
      </c>
      <c r="AH35" s="94">
        <f>ROUND(AH34*долл,-3)</f>
        <v>27984000</v>
      </c>
      <c r="AI35" s="94">
        <f>ROUND(AI34*долл,-3)</f>
        <v>65588000</v>
      </c>
      <c r="AJ35" s="94">
        <f>ROUND(AJ34*долл,-3)</f>
        <v>45911000</v>
      </c>
    </row>
    <row r="36" spans="2:36" ht="15">
      <c r="B36" s="88" t="s">
        <v>247</v>
      </c>
      <c r="C36" s="115"/>
      <c r="D36" s="115">
        <f>D34/D15</f>
        <v>857.63293310463121</v>
      </c>
      <c r="E36" s="115">
        <f>E34/E15</f>
        <v>833.33333333333337</v>
      </c>
      <c r="F36" s="115">
        <f>F34/F15</f>
        <v>779.11959485781074</v>
      </c>
      <c r="H36" s="115">
        <f>H34/H15</f>
        <v>1025.7913247362251</v>
      </c>
      <c r="I36" s="115">
        <f t="shared" ref="I36" si="3">I34/I15</f>
        <v>962.56684491978615</v>
      </c>
      <c r="J36" s="115">
        <f>J34/J15</f>
        <v>296.2962962962963</v>
      </c>
      <c r="P36" s="115">
        <f>P34/P15</f>
        <v>1250</v>
      </c>
      <c r="Q36" s="115">
        <f>Q34/Q15</f>
        <v>833.33333333333337</v>
      </c>
      <c r="S36" s="115">
        <f>S34/S15</f>
        <v>498.44485206156787</v>
      </c>
      <c r="T36" s="115">
        <f>T34/T15</f>
        <v>804.26490187968193</v>
      </c>
      <c r="U36" s="115">
        <f>U34/U15</f>
        <v>629.59076600209869</v>
      </c>
      <c r="X36" s="115">
        <f>X34/X15</f>
        <v>554.74452554744528</v>
      </c>
      <c r="Y36" s="115">
        <f t="shared" ref="Y36:Z36" si="4">Y34/Y15</f>
        <v>788.17733990147781</v>
      </c>
      <c r="Z36" s="115">
        <f t="shared" si="4"/>
        <v>1201.716738197425</v>
      </c>
      <c r="AA36" s="115">
        <f>AA34/AA15</f>
        <v>2039.2156862745098</v>
      </c>
      <c r="AG36" s="115">
        <f>AG34/AG15</f>
        <v>700</v>
      </c>
      <c r="AH36" s="115">
        <f>AH34/AH15</f>
        <v>851.063829787234</v>
      </c>
      <c r="AI36" s="115">
        <f>AI34/AI15</f>
        <v>937.5</v>
      </c>
      <c r="AJ36" s="115">
        <f>AJ34/AJ15</f>
        <v>825.47169811320759</v>
      </c>
    </row>
    <row r="37" spans="2:36" ht="15">
      <c r="B37" s="88" t="s">
        <v>248</v>
      </c>
      <c r="C37" s="115"/>
      <c r="D37" s="115">
        <f>D36*долл</f>
        <v>75000</v>
      </c>
      <c r="E37" s="115">
        <f>E36*долл</f>
        <v>72875</v>
      </c>
      <c r="F37" s="115">
        <f>F36*долл</f>
        <v>68134.008570315549</v>
      </c>
      <c r="H37" s="115">
        <f>H36*долл</f>
        <v>89705.451348182891</v>
      </c>
      <c r="I37" s="115">
        <f>I36*долл</f>
        <v>84176.470588235301</v>
      </c>
      <c r="J37" s="115">
        <f>J36*долл</f>
        <v>25911.111111111113</v>
      </c>
      <c r="P37" s="115">
        <f>P36*долл</f>
        <v>109312.5</v>
      </c>
      <c r="Q37" s="115">
        <f>Q36*долл</f>
        <v>72875</v>
      </c>
      <c r="S37" s="115">
        <f>S36*долл</f>
        <v>43589.002312784112</v>
      </c>
      <c r="T37" s="115">
        <f>T36*долл</f>
        <v>70332.965669378187</v>
      </c>
      <c r="U37" s="115">
        <f>U35/U15</f>
        <v>55057.712486883524</v>
      </c>
      <c r="X37" s="115">
        <f>X36*долл</f>
        <v>48512.40875912409</v>
      </c>
      <c r="Y37" s="115">
        <f>Y36*долл</f>
        <v>68926.108374384232</v>
      </c>
      <c r="Z37" s="115">
        <f>Z36*долл</f>
        <v>105090.12875536481</v>
      </c>
      <c r="AA37" s="115">
        <f>AA36*долл</f>
        <v>178329.4117647059</v>
      </c>
      <c r="AG37" s="115">
        <f>AG35/AG15</f>
        <v>61215</v>
      </c>
      <c r="AH37" s="115">
        <f>AH35/AH15</f>
        <v>74425.531914893611</v>
      </c>
      <c r="AI37" s="115">
        <f>AI35/AI15</f>
        <v>81985</v>
      </c>
      <c r="AJ37" s="115">
        <f>AJ35/AJ15</f>
        <v>72187.106918238991</v>
      </c>
    </row>
    <row r="38" spans="2:36">
      <c r="B38" s="119" t="s">
        <v>249</v>
      </c>
      <c r="C38" s="87" t="s">
        <v>159</v>
      </c>
      <c r="D38" s="87" t="str">
        <f>D7</f>
        <v>Аналог 1</v>
      </c>
      <c r="E38" s="87" t="str">
        <f>E7</f>
        <v>Аналог 2</v>
      </c>
      <c r="F38" s="87" t="str">
        <f>F7</f>
        <v>Аналог 3</v>
      </c>
      <c r="H38" s="87" t="str">
        <f>H7</f>
        <v>Аналог 3</v>
      </c>
      <c r="I38" s="87" t="str">
        <f>I7</f>
        <v>Аналог 3</v>
      </c>
      <c r="J38" s="87" t="str">
        <f>J7</f>
        <v>Аналог 3</v>
      </c>
      <c r="P38" s="87" t="str">
        <f>P7</f>
        <v>Аналог 3</v>
      </c>
      <c r="Q38" s="87" t="str">
        <f>Q7</f>
        <v>Аналог 3</v>
      </c>
      <c r="S38" s="87" t="str">
        <f>S7</f>
        <v>Аналог 2</v>
      </c>
      <c r="T38" s="87" t="str">
        <f>T7</f>
        <v>Аналог 2</v>
      </c>
      <c r="U38" s="87" t="str">
        <f>U7</f>
        <v>Аналог 1</v>
      </c>
      <c r="X38" s="87" t="str">
        <f>X7</f>
        <v>Аналог 3</v>
      </c>
      <c r="Y38" s="87" t="str">
        <f>Y7</f>
        <v>Аналог 2</v>
      </c>
      <c r="Z38" s="87" t="str">
        <f>Z7</f>
        <v>Аналог 2</v>
      </c>
      <c r="AA38" s="87" t="str">
        <f>AA7</f>
        <v>Аналог 2</v>
      </c>
      <c r="AG38" s="87" t="str">
        <f>AG7</f>
        <v>Аналог 1</v>
      </c>
      <c r="AH38" s="87" t="str">
        <f>AH7</f>
        <v>Аналог 2</v>
      </c>
      <c r="AI38" s="87" t="str">
        <f>AI7</f>
        <v>Аналог 3</v>
      </c>
      <c r="AJ38" s="87" t="str">
        <f>AJ7</f>
        <v>Аналог 4</v>
      </c>
    </row>
    <row r="39" spans="2:36" hidden="1" outlineLevel="1">
      <c r="B39" s="120" t="s">
        <v>250</v>
      </c>
      <c r="C39" s="121"/>
      <c r="D39" s="356">
        <v>1</v>
      </c>
      <c r="E39" s="356">
        <v>1</v>
      </c>
      <c r="F39" s="356">
        <v>1</v>
      </c>
      <c r="H39" s="121">
        <v>1</v>
      </c>
      <c r="I39" s="121">
        <v>1</v>
      </c>
      <c r="J39" s="121">
        <v>1</v>
      </c>
      <c r="P39" s="121">
        <v>1</v>
      </c>
      <c r="Q39" s="121">
        <v>1</v>
      </c>
      <c r="S39" s="121">
        <v>1</v>
      </c>
      <c r="T39" s="121">
        <v>1</v>
      </c>
      <c r="U39" s="121">
        <v>1</v>
      </c>
      <c r="X39" s="122">
        <v>1</v>
      </c>
      <c r="Y39" s="122">
        <v>1</v>
      </c>
      <c r="Z39" s="122">
        <v>1</v>
      </c>
      <c r="AA39" s="122">
        <v>1</v>
      </c>
      <c r="AG39" s="122">
        <v>1</v>
      </c>
      <c r="AH39" s="122">
        <v>1</v>
      </c>
      <c r="AI39" s="122">
        <v>1</v>
      </c>
      <c r="AJ39" s="122">
        <v>1</v>
      </c>
    </row>
    <row r="40" spans="2:36" s="300" customFormat="1" ht="15" hidden="1" outlineLevel="1">
      <c r="B40" s="123" t="s">
        <v>352</v>
      </c>
      <c r="C40" s="124"/>
      <c r="D40" s="124">
        <f>D39*D37</f>
        <v>75000</v>
      </c>
      <c r="E40" s="124">
        <f>E39*E37</f>
        <v>72875</v>
      </c>
      <c r="F40" s="124">
        <f>F39*F37</f>
        <v>68134.008570315549</v>
      </c>
      <c r="H40" s="124">
        <f>H39*H37</f>
        <v>89705.451348182891</v>
      </c>
      <c r="I40" s="124">
        <f>I39*I37</f>
        <v>84176.470588235301</v>
      </c>
      <c r="J40" s="124">
        <f>J39*J37</f>
        <v>25911.111111111113</v>
      </c>
      <c r="P40" s="124">
        <f>P39*P37</f>
        <v>109312.5</v>
      </c>
      <c r="Q40" s="124">
        <f>Q39*Q37</f>
        <v>72875</v>
      </c>
      <c r="S40" s="124">
        <f>S39*S37</f>
        <v>43589.002312784112</v>
      </c>
      <c r="T40" s="124">
        <f>T39*T37</f>
        <v>70332.965669378187</v>
      </c>
      <c r="U40" s="124">
        <f>U39*U37</f>
        <v>55057.712486883524</v>
      </c>
      <c r="X40" s="124">
        <f>X39*X37</f>
        <v>48512.40875912409</v>
      </c>
      <c r="Y40" s="124">
        <f>Y39*Y37</f>
        <v>68926.108374384232</v>
      </c>
      <c r="Z40" s="124">
        <f>Z39*Z37</f>
        <v>105090.12875536481</v>
      </c>
      <c r="AA40" s="124">
        <f>AA39*AA37</f>
        <v>178329.4117647059</v>
      </c>
      <c r="AG40" s="124">
        <f>AG39*AG37</f>
        <v>61215</v>
      </c>
      <c r="AH40" s="124">
        <f>AH39*AH37</f>
        <v>74425.531914893611</v>
      </c>
      <c r="AI40" s="124">
        <f>AI39*AI37</f>
        <v>81985</v>
      </c>
      <c r="AJ40" s="124">
        <f>AJ39*AJ37</f>
        <v>72187.106918238991</v>
      </c>
    </row>
    <row r="41" spans="2:36" collapsed="1">
      <c r="B41" s="130" t="s">
        <v>252</v>
      </c>
      <c r="C41" s="115"/>
      <c r="D41" s="357">
        <v>0.95</v>
      </c>
      <c r="E41" s="357">
        <v>0.95</v>
      </c>
      <c r="F41" s="357">
        <v>0.9</v>
      </c>
      <c r="H41" s="357">
        <v>0.85</v>
      </c>
      <c r="I41" s="357">
        <v>0.9</v>
      </c>
      <c r="J41" s="357">
        <v>0.95</v>
      </c>
      <c r="P41" s="357">
        <v>0.9</v>
      </c>
      <c r="Q41" s="357">
        <v>0.9</v>
      </c>
      <c r="S41" s="357">
        <v>0.88</v>
      </c>
      <c r="T41" s="357">
        <v>0.95</v>
      </c>
      <c r="U41" s="357">
        <v>0.95</v>
      </c>
      <c r="X41" s="131">
        <v>0.95</v>
      </c>
      <c r="Y41" s="357">
        <v>0.95</v>
      </c>
      <c r="Z41" s="357">
        <v>0.95</v>
      </c>
      <c r="AA41" s="357">
        <v>0.95</v>
      </c>
      <c r="AG41" s="357">
        <v>1</v>
      </c>
      <c r="AH41" s="357">
        <v>1</v>
      </c>
      <c r="AI41" s="357">
        <v>1</v>
      </c>
      <c r="AJ41" s="357">
        <v>1</v>
      </c>
    </row>
    <row r="42" spans="2:36" ht="15">
      <c r="B42" s="132" t="s">
        <v>352</v>
      </c>
      <c r="C42" s="133"/>
      <c r="D42" s="133">
        <f>D41*D40</f>
        <v>71250</v>
      </c>
      <c r="E42" s="133">
        <f>E41*E40</f>
        <v>69231.25</v>
      </c>
      <c r="F42" s="133">
        <f>F41*F40</f>
        <v>61320.607713283993</v>
      </c>
      <c r="H42" s="133">
        <f>H41*H40</f>
        <v>76249.633645955459</v>
      </c>
      <c r="I42" s="133">
        <f>I41*I40</f>
        <v>75758.823529411777</v>
      </c>
      <c r="J42" s="133">
        <f>J41*J40</f>
        <v>24615.555555555555</v>
      </c>
      <c r="P42" s="133">
        <f>P41*P40</f>
        <v>98381.25</v>
      </c>
      <c r="Q42" s="133">
        <f>Q41*Q40</f>
        <v>65587.5</v>
      </c>
      <c r="S42" s="133">
        <f>S41*S40</f>
        <v>38358.322035250021</v>
      </c>
      <c r="T42" s="133">
        <f>T41*T40</f>
        <v>66816.317385909279</v>
      </c>
      <c r="U42" s="133">
        <f>U41*U40</f>
        <v>52304.826862539347</v>
      </c>
      <c r="X42" s="133">
        <f>X41*X40</f>
        <v>46086.788321167885</v>
      </c>
      <c r="Y42" s="133">
        <f>Y41*Y40</f>
        <v>65479.802955665014</v>
      </c>
      <c r="Z42" s="133">
        <f>Z41*Z40</f>
        <v>99835.622317596572</v>
      </c>
      <c r="AA42" s="133">
        <f>AA41*AA40</f>
        <v>169412.9411764706</v>
      </c>
      <c r="AG42" s="133">
        <f t="shared" ref="AG42:AJ42" si="5">AG41*AG40</f>
        <v>61215</v>
      </c>
      <c r="AH42" s="133">
        <f t="shared" si="5"/>
        <v>74425.531914893611</v>
      </c>
      <c r="AI42" s="133">
        <f t="shared" si="5"/>
        <v>81985</v>
      </c>
      <c r="AJ42" s="133">
        <f t="shared" si="5"/>
        <v>72187.106918238991</v>
      </c>
    </row>
    <row r="43" spans="2:36">
      <c r="B43" s="130" t="s">
        <v>253</v>
      </c>
      <c r="C43" s="115"/>
      <c r="D43" s="131">
        <v>1</v>
      </c>
      <c r="E43" s="131">
        <v>1</v>
      </c>
      <c r="F43" s="131">
        <v>1</v>
      </c>
      <c r="H43" s="131">
        <v>1.2</v>
      </c>
      <c r="I43" s="131">
        <v>1</v>
      </c>
      <c r="J43" s="131">
        <v>1</v>
      </c>
      <c r="P43" s="131">
        <v>1</v>
      </c>
      <c r="Q43" s="131">
        <v>1</v>
      </c>
      <c r="S43" s="131">
        <v>0.85</v>
      </c>
      <c r="T43" s="131">
        <v>0.85</v>
      </c>
      <c r="U43" s="131">
        <v>0.85</v>
      </c>
      <c r="X43" s="131">
        <v>0.85</v>
      </c>
      <c r="Y43" s="131">
        <v>0.85</v>
      </c>
      <c r="Z43" s="131">
        <v>0.85</v>
      </c>
      <c r="AA43" s="131">
        <v>0.85</v>
      </c>
      <c r="AG43" s="131">
        <v>1</v>
      </c>
      <c r="AH43" s="131">
        <v>1</v>
      </c>
      <c r="AI43" s="131">
        <v>1</v>
      </c>
      <c r="AJ43" s="131">
        <v>1</v>
      </c>
    </row>
    <row r="44" spans="2:36" ht="15">
      <c r="B44" s="132" t="s">
        <v>352</v>
      </c>
      <c r="C44" s="133"/>
      <c r="D44" s="133">
        <f>D43*D42</f>
        <v>71250</v>
      </c>
      <c r="E44" s="133">
        <f>E43*E42</f>
        <v>69231.25</v>
      </c>
      <c r="F44" s="133">
        <f>F43*F42</f>
        <v>61320.607713283993</v>
      </c>
      <c r="H44" s="133">
        <f>H43*H42</f>
        <v>91499.560375146553</v>
      </c>
      <c r="I44" s="133">
        <f t="shared" ref="I44" si="6">I43*I42</f>
        <v>75758.823529411777</v>
      </c>
      <c r="J44" s="133">
        <f>J43*J42</f>
        <v>24615.555555555555</v>
      </c>
      <c r="P44" s="133">
        <f>P43*P42</f>
        <v>98381.25</v>
      </c>
      <c r="Q44" s="133">
        <f>Q43*Q42</f>
        <v>65587.5</v>
      </c>
      <c r="S44" s="133">
        <f>S43*S42</f>
        <v>32604.573729962518</v>
      </c>
      <c r="T44" s="133">
        <f>T43*T42</f>
        <v>56793.869778022883</v>
      </c>
      <c r="U44" s="133">
        <f>U43*U42</f>
        <v>44459.102833158446</v>
      </c>
      <c r="X44" s="133">
        <f>X43*X42</f>
        <v>39173.770072992702</v>
      </c>
      <c r="Y44" s="133">
        <f t="shared" ref="Y44:Z44" si="7">Y43*Y42</f>
        <v>55657.832512315261</v>
      </c>
      <c r="Z44" s="133">
        <f t="shared" si="7"/>
        <v>84860.278969957086</v>
      </c>
      <c r="AA44" s="133">
        <f>AA43*AA42</f>
        <v>144001</v>
      </c>
      <c r="AG44" s="133">
        <f>AG43*AG42</f>
        <v>61215</v>
      </c>
      <c r="AH44" s="133">
        <f t="shared" ref="AH44:AJ44" si="8">AH43*AH42</f>
        <v>74425.531914893611</v>
      </c>
      <c r="AI44" s="133">
        <f t="shared" si="8"/>
        <v>81985</v>
      </c>
      <c r="AJ44" s="133">
        <f t="shared" si="8"/>
        <v>72187.106918238991</v>
      </c>
    </row>
    <row r="45" spans="2:36">
      <c r="B45" s="130" t="s">
        <v>254</v>
      </c>
      <c r="C45" s="115"/>
      <c r="D45" s="131">
        <v>0.8</v>
      </c>
      <c r="E45" s="131">
        <v>1.05</v>
      </c>
      <c r="F45" s="131">
        <v>1.05</v>
      </c>
      <c r="H45" s="131">
        <v>1</v>
      </c>
      <c r="I45" s="131">
        <v>1</v>
      </c>
      <c r="J45" s="131">
        <v>1</v>
      </c>
      <c r="P45" s="131">
        <v>1</v>
      </c>
      <c r="Q45" s="131">
        <v>1</v>
      </c>
      <c r="S45" s="131">
        <v>1</v>
      </c>
      <c r="T45" s="131">
        <v>1.1499999999999999</v>
      </c>
      <c r="U45" s="131">
        <v>1</v>
      </c>
      <c r="X45" s="131">
        <v>1</v>
      </c>
      <c r="Y45" s="131">
        <v>1</v>
      </c>
      <c r="Z45" s="131">
        <v>1</v>
      </c>
      <c r="AA45" s="131">
        <v>1</v>
      </c>
      <c r="AG45" s="131">
        <v>1</v>
      </c>
      <c r="AH45" s="131">
        <v>1</v>
      </c>
      <c r="AI45" s="131">
        <v>1</v>
      </c>
      <c r="AJ45" s="131">
        <v>1</v>
      </c>
    </row>
    <row r="46" spans="2:36" ht="15">
      <c r="B46" s="132" t="s">
        <v>352</v>
      </c>
      <c r="C46" s="133"/>
      <c r="D46" s="133">
        <f>D45*D44</f>
        <v>57000</v>
      </c>
      <c r="E46" s="133">
        <f>E45*E44</f>
        <v>72692.8125</v>
      </c>
      <c r="F46" s="133">
        <f>F45*F44</f>
        <v>64386.638098948199</v>
      </c>
      <c r="H46" s="133">
        <f>H45*H44</f>
        <v>91499.560375146553</v>
      </c>
      <c r="I46" s="133">
        <f t="shared" ref="I46" si="9">I45*I44</f>
        <v>75758.823529411777</v>
      </c>
      <c r="J46" s="133">
        <f>J45*J44</f>
        <v>24615.555555555555</v>
      </c>
      <c r="P46" s="133">
        <f>P45*P44</f>
        <v>98381.25</v>
      </c>
      <c r="Q46" s="133">
        <f>Q45*Q44</f>
        <v>65587.5</v>
      </c>
      <c r="S46" s="133">
        <f>S45*S44</f>
        <v>32604.573729962518</v>
      </c>
      <c r="T46" s="133">
        <f>T45*T44</f>
        <v>65312.950244726308</v>
      </c>
      <c r="U46" s="133">
        <f>U45*U44</f>
        <v>44459.102833158446</v>
      </c>
      <c r="X46" s="133">
        <f>X45*X44</f>
        <v>39173.770072992702</v>
      </c>
      <c r="Y46" s="133">
        <f t="shared" ref="Y46:Z46" si="10">Y45*Y44</f>
        <v>55657.832512315261</v>
      </c>
      <c r="Z46" s="133">
        <f t="shared" si="10"/>
        <v>84860.278969957086</v>
      </c>
      <c r="AA46" s="133">
        <f>AA45*AA44</f>
        <v>144001</v>
      </c>
      <c r="AG46" s="133">
        <f>AG45*AG44</f>
        <v>61215</v>
      </c>
      <c r="AH46" s="133">
        <f t="shared" ref="AH46:AJ46" si="11">AH45*AH44</f>
        <v>74425.531914893611</v>
      </c>
      <c r="AI46" s="133">
        <f t="shared" si="11"/>
        <v>81985</v>
      </c>
      <c r="AJ46" s="133">
        <f t="shared" si="11"/>
        <v>72187.106918238991</v>
      </c>
    </row>
    <row r="47" spans="2:36">
      <c r="B47" s="130" t="s">
        <v>255</v>
      </c>
      <c r="C47" s="115"/>
      <c r="D47" s="131">
        <v>0.95</v>
      </c>
      <c r="E47" s="131">
        <v>0.8</v>
      </c>
      <c r="F47" s="131">
        <v>0.95</v>
      </c>
      <c r="H47" s="131">
        <v>0.95</v>
      </c>
      <c r="I47" s="131">
        <v>0.95</v>
      </c>
      <c r="J47" s="131">
        <v>0.95</v>
      </c>
      <c r="P47" s="131">
        <v>0.95</v>
      </c>
      <c r="Q47" s="131">
        <v>0.95</v>
      </c>
      <c r="S47" s="131">
        <v>1</v>
      </c>
      <c r="T47" s="131">
        <v>1.2</v>
      </c>
      <c r="U47" s="131">
        <v>1.2</v>
      </c>
      <c r="X47" s="122">
        <v>1.1499999999999999</v>
      </c>
      <c r="Y47" s="131">
        <v>1.1499999999999999</v>
      </c>
      <c r="Z47" s="131">
        <v>1.1499999999999999</v>
      </c>
      <c r="AA47" s="131">
        <v>1.1499999999999999</v>
      </c>
      <c r="AG47" s="131">
        <v>1</v>
      </c>
      <c r="AH47" s="131">
        <v>1</v>
      </c>
      <c r="AI47" s="131">
        <v>1</v>
      </c>
      <c r="AJ47" s="131">
        <v>1</v>
      </c>
    </row>
    <row r="48" spans="2:36" ht="15">
      <c r="B48" s="132" t="s">
        <v>352</v>
      </c>
      <c r="C48" s="133"/>
      <c r="D48" s="301">
        <f>D47*D46</f>
        <v>54150</v>
      </c>
      <c r="E48" s="301">
        <f>E47*E46</f>
        <v>58154.25</v>
      </c>
      <c r="F48" s="301">
        <f>F47*F46</f>
        <v>61167.306194000783</v>
      </c>
      <c r="H48" s="301">
        <f>H47*H46</f>
        <v>86924.582356389219</v>
      </c>
      <c r="I48" s="301">
        <f t="shared" ref="I48" si="12">I47*I46</f>
        <v>71970.882352941189</v>
      </c>
      <c r="J48" s="301">
        <f>J47*J46</f>
        <v>23384.777777777777</v>
      </c>
      <c r="P48" s="301">
        <f>P47*P46</f>
        <v>93462.1875</v>
      </c>
      <c r="Q48" s="301">
        <f>Q47*Q46</f>
        <v>62308.125</v>
      </c>
      <c r="S48" s="301">
        <f>S47*S46</f>
        <v>32604.573729962518</v>
      </c>
      <c r="T48" s="301">
        <f>T47*T46</f>
        <v>78375.540293671569</v>
      </c>
      <c r="U48" s="301">
        <f>U47*U46</f>
        <v>53350.923399790132</v>
      </c>
      <c r="X48" s="301">
        <f>X47*X46</f>
        <v>45049.835583941604</v>
      </c>
      <c r="Y48" s="301">
        <f t="shared" ref="Y48:Z48" si="13">Y47*Y46</f>
        <v>64006.507389162543</v>
      </c>
      <c r="Z48" s="301">
        <f t="shared" si="13"/>
        <v>97589.320815450643</v>
      </c>
      <c r="AA48" s="301">
        <f>AA47*AA46</f>
        <v>165601.15</v>
      </c>
      <c r="AG48" s="301">
        <f>AG47*AG46</f>
        <v>61215</v>
      </c>
      <c r="AH48" s="301">
        <f t="shared" ref="AH48:AJ48" si="14">AH47*AH46</f>
        <v>74425.531914893611</v>
      </c>
      <c r="AI48" s="301">
        <f t="shared" si="14"/>
        <v>81985</v>
      </c>
      <c r="AJ48" s="301">
        <f t="shared" si="14"/>
        <v>72187.106918238991</v>
      </c>
    </row>
    <row r="49" spans="2:36">
      <c r="B49" s="130" t="s">
        <v>256</v>
      </c>
      <c r="C49" s="133"/>
      <c r="D49" s="131">
        <v>1</v>
      </c>
      <c r="E49" s="131">
        <v>1</v>
      </c>
      <c r="F49" s="131">
        <v>1</v>
      </c>
      <c r="H49" s="131">
        <v>1</v>
      </c>
      <c r="I49" s="131">
        <v>1</v>
      </c>
      <c r="J49" s="131">
        <v>1</v>
      </c>
      <c r="P49" s="131">
        <v>1</v>
      </c>
      <c r="Q49" s="131">
        <v>1</v>
      </c>
      <c r="S49" s="131">
        <v>1</v>
      </c>
      <c r="T49" s="131">
        <v>1</v>
      </c>
      <c r="U49" s="131">
        <v>1</v>
      </c>
      <c r="X49" s="131">
        <v>1</v>
      </c>
      <c r="Y49" s="131">
        <v>1</v>
      </c>
      <c r="Z49" s="131">
        <v>1</v>
      </c>
      <c r="AA49" s="131">
        <v>1</v>
      </c>
      <c r="AG49" s="131">
        <v>1</v>
      </c>
      <c r="AH49" s="131">
        <v>1</v>
      </c>
      <c r="AI49" s="131">
        <v>1</v>
      </c>
      <c r="AJ49" s="131">
        <v>1</v>
      </c>
    </row>
    <row r="50" spans="2:36" ht="15">
      <c r="B50" s="132" t="s">
        <v>352</v>
      </c>
      <c r="C50" s="133"/>
      <c r="D50" s="301">
        <f>D49*D48</f>
        <v>54150</v>
      </c>
      <c r="E50" s="301">
        <f>E49*E48</f>
        <v>58154.25</v>
      </c>
      <c r="F50" s="301">
        <f>F49*F48</f>
        <v>61167.306194000783</v>
      </c>
      <c r="H50" s="301">
        <f>H49*H48</f>
        <v>86924.582356389219</v>
      </c>
      <c r="I50" s="301">
        <f t="shared" ref="I50" si="15">I49*I48</f>
        <v>71970.882352941189</v>
      </c>
      <c r="J50" s="301">
        <f>J49*J48</f>
        <v>23384.777777777777</v>
      </c>
      <c r="P50" s="301">
        <f>P49*P48</f>
        <v>93462.1875</v>
      </c>
      <c r="Q50" s="301">
        <f>Q49*Q48</f>
        <v>62308.125</v>
      </c>
      <c r="S50" s="301">
        <f>S49*S48</f>
        <v>32604.573729962518</v>
      </c>
      <c r="T50" s="301">
        <f>T49*T48</f>
        <v>78375.540293671569</v>
      </c>
      <c r="U50" s="301">
        <f>U49*U48</f>
        <v>53350.923399790132</v>
      </c>
      <c r="X50" s="301">
        <f>X49*X48</f>
        <v>45049.835583941604</v>
      </c>
      <c r="Y50" s="301">
        <f t="shared" ref="Y50:Z50" si="16">Y49*Y48</f>
        <v>64006.507389162543</v>
      </c>
      <c r="Z50" s="301">
        <f t="shared" si="16"/>
        <v>97589.320815450643</v>
      </c>
      <c r="AA50" s="301">
        <f>AA49*AA48</f>
        <v>165601.15</v>
      </c>
      <c r="AG50" s="301">
        <f>AG49*AG48</f>
        <v>61215</v>
      </c>
      <c r="AH50" s="301">
        <f t="shared" ref="AH50:AJ50" si="17">AH49*AH48</f>
        <v>74425.531914893611</v>
      </c>
      <c r="AI50" s="301">
        <f t="shared" si="17"/>
        <v>81985</v>
      </c>
      <c r="AJ50" s="301">
        <f t="shared" si="17"/>
        <v>72187.106918238991</v>
      </c>
    </row>
    <row r="51" spans="2:36">
      <c r="B51" s="130" t="s">
        <v>257</v>
      </c>
      <c r="C51" s="115"/>
      <c r="D51" s="131">
        <v>1</v>
      </c>
      <c r="E51" s="131">
        <v>0.95</v>
      </c>
      <c r="F51" s="131">
        <v>1</v>
      </c>
      <c r="H51" s="131">
        <v>1</v>
      </c>
      <c r="I51" s="131">
        <v>0.95</v>
      </c>
      <c r="J51" s="131">
        <v>1</v>
      </c>
      <c r="P51" s="131">
        <v>1</v>
      </c>
      <c r="Q51" s="131">
        <v>1</v>
      </c>
      <c r="S51" s="131">
        <v>1.02</v>
      </c>
      <c r="T51" s="131">
        <v>1.05</v>
      </c>
      <c r="U51" s="131">
        <v>1</v>
      </c>
      <c r="X51" s="131">
        <v>1.05</v>
      </c>
      <c r="Y51" s="131">
        <v>1.05</v>
      </c>
      <c r="Z51" s="131">
        <v>1</v>
      </c>
      <c r="AA51" s="131">
        <v>1.05</v>
      </c>
      <c r="AG51" s="131">
        <v>1</v>
      </c>
      <c r="AH51" s="131">
        <v>1</v>
      </c>
      <c r="AI51" s="131">
        <v>1</v>
      </c>
      <c r="AJ51" s="131">
        <v>1</v>
      </c>
    </row>
    <row r="52" spans="2:36" ht="15">
      <c r="B52" s="132" t="s">
        <v>352</v>
      </c>
      <c r="C52" s="133"/>
      <c r="D52" s="301">
        <f>D51*D50</f>
        <v>54150</v>
      </c>
      <c r="E52" s="301">
        <f>E51*E50</f>
        <v>55246.537499999999</v>
      </c>
      <c r="F52" s="301">
        <f>F51*F50</f>
        <v>61167.306194000783</v>
      </c>
      <c r="H52" s="301">
        <f>H51*H50</f>
        <v>86924.582356389219</v>
      </c>
      <c r="I52" s="301">
        <f t="shared" ref="I52" si="18">I51*I50</f>
        <v>68372.338235294126</v>
      </c>
      <c r="J52" s="301">
        <f>J51*J50</f>
        <v>23384.777777777777</v>
      </c>
      <c r="P52" s="301">
        <f>P51*P50</f>
        <v>93462.1875</v>
      </c>
      <c r="Q52" s="301">
        <f>Q51*Q50</f>
        <v>62308.125</v>
      </c>
      <c r="S52" s="301">
        <f>S51*S50</f>
        <v>33256.665204561767</v>
      </c>
      <c r="T52" s="301">
        <f>T51*T50</f>
        <v>82294.317308355152</v>
      </c>
      <c r="U52" s="301">
        <f>U51*U50</f>
        <v>53350.923399790132</v>
      </c>
      <c r="X52" s="301">
        <f>X51*X50</f>
        <v>47302.327363138684</v>
      </c>
      <c r="Y52" s="301">
        <f t="shared" ref="Y52:Z52" si="19">Y51*Y50</f>
        <v>67206.832758620672</v>
      </c>
      <c r="Z52" s="301">
        <f t="shared" si="19"/>
        <v>97589.320815450643</v>
      </c>
      <c r="AA52" s="301">
        <f>AA51*AA50</f>
        <v>173881.20749999999</v>
      </c>
      <c r="AG52" s="301">
        <f>AG51*AG50</f>
        <v>61215</v>
      </c>
      <c r="AH52" s="301">
        <f t="shared" ref="AH52:AJ52" si="20">AH51*AH50</f>
        <v>74425.531914893611</v>
      </c>
      <c r="AI52" s="301">
        <f t="shared" si="20"/>
        <v>81985</v>
      </c>
      <c r="AJ52" s="301">
        <f t="shared" si="20"/>
        <v>72187.106918238991</v>
      </c>
    </row>
    <row r="53" spans="2:36">
      <c r="B53" s="130" t="s">
        <v>258</v>
      </c>
      <c r="C53" s="133"/>
      <c r="D53" s="131">
        <f>MROUND(D129,0.02)</f>
        <v>1.08</v>
      </c>
      <c r="E53" s="131">
        <f>MROUND(E129,0.02)</f>
        <v>1.04</v>
      </c>
      <c r="F53" s="131">
        <f>MROUND(F129,0.02)</f>
        <v>0.96</v>
      </c>
      <c r="H53" s="131">
        <f>MROUND(H129,0.02)</f>
        <v>1.48</v>
      </c>
      <c r="I53" s="131">
        <f>MROUND(I129,0.02)</f>
        <v>0.98</v>
      </c>
      <c r="J53" s="131">
        <f>MROUND(J129,0.02)</f>
        <v>0.92</v>
      </c>
      <c r="P53" s="131">
        <f>MROUND(P129,0.02)</f>
        <v>1.72</v>
      </c>
      <c r="Q53" s="131">
        <f>MROUND(Q129,0.02)</f>
        <v>0.9</v>
      </c>
      <c r="S53" s="131">
        <f>MROUND(S129,0.02)</f>
        <v>0.88</v>
      </c>
      <c r="T53" s="131">
        <f>MROUND(T129,0.02)</f>
        <v>0.98</v>
      </c>
      <c r="U53" s="131">
        <f>MROUND(U129,0.02)</f>
        <v>1.18</v>
      </c>
      <c r="X53" s="131">
        <f>MROUND(X129,0.02)</f>
        <v>0.92</v>
      </c>
      <c r="Y53" s="131">
        <f t="shared" ref="Y53:Z53" si="21">MROUND(Y129,0.02)</f>
        <v>1.72</v>
      </c>
      <c r="Z53" s="131">
        <f t="shared" si="21"/>
        <v>0.86</v>
      </c>
      <c r="AA53" s="131">
        <f>MROUND(AA129,0.02)</f>
        <v>0.94000000000000006</v>
      </c>
      <c r="AG53" s="131">
        <f t="shared" ref="AG53:AJ53" si="22">MROUND(AG129,0.02)</f>
        <v>0.84</v>
      </c>
      <c r="AH53" s="131">
        <f t="shared" si="22"/>
        <v>1.06</v>
      </c>
      <c r="AI53" s="131">
        <f t="shared" si="22"/>
        <v>0.82000000000000006</v>
      </c>
      <c r="AJ53" s="131">
        <f t="shared" si="22"/>
        <v>0.88</v>
      </c>
    </row>
    <row r="54" spans="2:36" ht="13.5" customHeight="1">
      <c r="B54" s="132" t="s">
        <v>352</v>
      </c>
      <c r="C54" s="133"/>
      <c r="D54" s="301">
        <f>D53*D52</f>
        <v>58482.000000000007</v>
      </c>
      <c r="E54" s="301">
        <f>E53*E52</f>
        <v>57456.398999999998</v>
      </c>
      <c r="F54" s="301">
        <f>F53*F52</f>
        <v>58720.613946240752</v>
      </c>
      <c r="H54" s="301">
        <f>H53*H52</f>
        <v>128648.38188745604</v>
      </c>
      <c r="I54" s="301">
        <f t="shared" ref="I54" si="23">I53*I52</f>
        <v>67004.891470588249</v>
      </c>
      <c r="J54" s="301">
        <f>J53*J52</f>
        <v>21513.995555555557</v>
      </c>
      <c r="P54" s="301">
        <f>P53*P52</f>
        <v>160754.96249999999</v>
      </c>
      <c r="Q54" s="301">
        <f>Q53*Q52</f>
        <v>56077.3125</v>
      </c>
      <c r="S54" s="301">
        <f>S53*S52</f>
        <v>29265.865380014355</v>
      </c>
      <c r="T54" s="301">
        <f>T53*T52</f>
        <v>80648.430962188053</v>
      </c>
      <c r="U54" s="301">
        <f>U53*U52</f>
        <v>62954.089611752352</v>
      </c>
      <c r="X54" s="133">
        <f>X53*X52</f>
        <v>43518.141174087592</v>
      </c>
      <c r="Y54" s="301">
        <f t="shared" ref="Y54:Z54" si="24">Y53*Y52</f>
        <v>115595.75234482756</v>
      </c>
      <c r="Z54" s="301">
        <f t="shared" si="24"/>
        <v>83926.815901287555</v>
      </c>
      <c r="AA54" s="301">
        <f>AA53*AA52</f>
        <v>163448.33504999999</v>
      </c>
      <c r="AG54" s="301">
        <f>AG53*AG52</f>
        <v>51420.6</v>
      </c>
      <c r="AH54" s="301">
        <f t="shared" ref="AH54:AJ54" si="25">AH53*AH52</f>
        <v>78891.063829787236</v>
      </c>
      <c r="AI54" s="301">
        <f t="shared" si="25"/>
        <v>67227.700000000012</v>
      </c>
      <c r="AJ54" s="301">
        <f t="shared" si="25"/>
        <v>63524.654088050309</v>
      </c>
    </row>
    <row r="55" spans="2:36">
      <c r="B55" s="130" t="s">
        <v>260</v>
      </c>
      <c r="C55" s="133"/>
      <c r="D55" s="131">
        <v>0.95</v>
      </c>
      <c r="E55" s="131">
        <v>0.95</v>
      </c>
      <c r="F55" s="131">
        <v>0.95</v>
      </c>
      <c r="H55" s="131">
        <v>0.9</v>
      </c>
      <c r="I55" s="131">
        <v>1.1499999999999999</v>
      </c>
      <c r="J55" s="122">
        <v>0.9</v>
      </c>
      <c r="P55" s="131">
        <v>0.95</v>
      </c>
      <c r="Q55" s="131">
        <v>0.95</v>
      </c>
      <c r="S55" s="131">
        <v>0.98</v>
      </c>
      <c r="T55" s="131">
        <v>0.95</v>
      </c>
      <c r="U55" s="131">
        <v>1.05</v>
      </c>
      <c r="X55" s="131">
        <v>1.1499999999999999</v>
      </c>
      <c r="Y55" s="131">
        <v>1.05</v>
      </c>
      <c r="Z55" s="122">
        <v>0.9</v>
      </c>
      <c r="AA55" s="122">
        <v>1</v>
      </c>
      <c r="AG55" s="131">
        <v>1</v>
      </c>
      <c r="AH55" s="131">
        <v>1</v>
      </c>
      <c r="AI55" s="131">
        <v>1</v>
      </c>
      <c r="AJ55" s="131">
        <v>1</v>
      </c>
    </row>
    <row r="56" spans="2:36" ht="15">
      <c r="B56" s="132" t="s">
        <v>352</v>
      </c>
      <c r="C56" s="133"/>
      <c r="D56" s="301">
        <f>D55*D54</f>
        <v>55557.9</v>
      </c>
      <c r="E56" s="301">
        <f>E55*E54</f>
        <v>54583.579049999993</v>
      </c>
      <c r="F56" s="301">
        <f>F55*F54</f>
        <v>55784.583248928713</v>
      </c>
      <c r="H56" s="301">
        <f>H55*H54</f>
        <v>115783.54369871043</v>
      </c>
      <c r="I56" s="301">
        <f t="shared" ref="I56" si="26">I55*I54</f>
        <v>77055.625191176485</v>
      </c>
      <c r="J56" s="301">
        <f>J55*J54</f>
        <v>19362.596000000001</v>
      </c>
      <c r="P56" s="301">
        <f>P55*P54</f>
        <v>152717.21437499998</v>
      </c>
      <c r="Q56" s="301">
        <f>Q55*Q54</f>
        <v>53273.446874999994</v>
      </c>
      <c r="S56" s="301">
        <f>S55*S54</f>
        <v>28680.548072414069</v>
      </c>
      <c r="T56" s="301">
        <f>T55*T54</f>
        <v>76616.009414078653</v>
      </c>
      <c r="U56" s="301">
        <f>U55*U54</f>
        <v>66101.794092339973</v>
      </c>
      <c r="X56" s="301">
        <f>X55*X54</f>
        <v>50045.862350200725</v>
      </c>
      <c r="Y56" s="301">
        <f t="shared" ref="Y56:Z56" si="27">Y55*Y54</f>
        <v>121375.53996206894</v>
      </c>
      <c r="Z56" s="301">
        <f t="shared" si="27"/>
        <v>75534.134311158807</v>
      </c>
      <c r="AA56" s="301">
        <f>AA55*AA54</f>
        <v>163448.33504999999</v>
      </c>
      <c r="AG56" s="301">
        <f>AG55*AG54</f>
        <v>51420.6</v>
      </c>
      <c r="AH56" s="301">
        <f t="shared" ref="AH56:AJ56" si="28">AH55*AH54</f>
        <v>78891.063829787236</v>
      </c>
      <c r="AI56" s="301">
        <f t="shared" si="28"/>
        <v>67227.700000000012</v>
      </c>
      <c r="AJ56" s="301">
        <f t="shared" si="28"/>
        <v>63524.654088050309</v>
      </c>
    </row>
    <row r="57" spans="2:36">
      <c r="B57" s="130" t="s">
        <v>261</v>
      </c>
      <c r="C57" s="133"/>
      <c r="D57" s="122">
        <v>1.1000000000000001</v>
      </c>
      <c r="E57" s="122">
        <f>D57</f>
        <v>1.1000000000000001</v>
      </c>
      <c r="F57" s="122">
        <f>D57</f>
        <v>1.1000000000000001</v>
      </c>
      <c r="H57" s="131">
        <v>1</v>
      </c>
      <c r="I57" s="131">
        <v>0.9</v>
      </c>
      <c r="J57" s="122">
        <v>1.1000000000000001</v>
      </c>
      <c r="P57" s="131">
        <v>1</v>
      </c>
      <c r="Q57" s="131">
        <v>1</v>
      </c>
      <c r="S57" s="131">
        <v>0.95</v>
      </c>
      <c r="T57" s="131">
        <v>1.05</v>
      </c>
      <c r="U57" s="131">
        <v>1</v>
      </c>
      <c r="X57" s="131">
        <v>1</v>
      </c>
      <c r="Y57" s="131">
        <v>1.05</v>
      </c>
      <c r="Z57" s="131">
        <v>1.05</v>
      </c>
      <c r="AA57" s="122">
        <v>1</v>
      </c>
      <c r="AG57" s="131">
        <v>1</v>
      </c>
      <c r="AH57" s="131">
        <v>1</v>
      </c>
      <c r="AI57" s="131">
        <v>1</v>
      </c>
      <c r="AJ57" s="131">
        <v>1</v>
      </c>
    </row>
    <row r="58" spans="2:36" s="300" customFormat="1" ht="15" hidden="1" outlineLevel="1">
      <c r="B58" s="123" t="s">
        <v>352</v>
      </c>
      <c r="C58" s="124"/>
      <c r="D58" s="301">
        <f>D57*D56</f>
        <v>61113.69000000001</v>
      </c>
      <c r="E58" s="301">
        <f>E57*E56</f>
        <v>60041.936954999997</v>
      </c>
      <c r="F58" s="301">
        <f>F57*F56</f>
        <v>61363.041573821589</v>
      </c>
      <c r="H58" s="301">
        <f>H57*H56</f>
        <v>115783.54369871043</v>
      </c>
      <c r="I58" s="302">
        <f t="shared" ref="I58" si="29">I57*I56</f>
        <v>69350.062672058833</v>
      </c>
      <c r="J58" s="302">
        <f>J57*J56</f>
        <v>21298.855600000003</v>
      </c>
      <c r="P58" s="302">
        <f>P57*P56</f>
        <v>152717.21437499998</v>
      </c>
      <c r="Q58" s="302">
        <f>Q57*Q56</f>
        <v>53273.446874999994</v>
      </c>
      <c r="S58" s="302">
        <f>S57*S56</f>
        <v>27246.520668793364</v>
      </c>
      <c r="T58" s="302">
        <f>T57*T56</f>
        <v>80446.80988478259</v>
      </c>
      <c r="U58" s="302">
        <f>U57*U56</f>
        <v>66101.794092339973</v>
      </c>
      <c r="X58" s="302">
        <f>X57*X56</f>
        <v>50045.862350200725</v>
      </c>
      <c r="Y58" s="302">
        <f t="shared" ref="Y58:Z58" si="30">Y57*Y56</f>
        <v>127444.31696017239</v>
      </c>
      <c r="Z58" s="302">
        <f t="shared" si="30"/>
        <v>79310.841026716749</v>
      </c>
      <c r="AA58" s="302">
        <f>AA57*AA56</f>
        <v>163448.33504999999</v>
      </c>
      <c r="AG58" s="302">
        <f>AG57*AG56</f>
        <v>51420.6</v>
      </c>
      <c r="AH58" s="302">
        <f t="shared" ref="AH58:AJ58" si="31">AH57*AH56</f>
        <v>78891.063829787236</v>
      </c>
      <c r="AI58" s="302">
        <f t="shared" si="31"/>
        <v>67227.700000000012</v>
      </c>
      <c r="AJ58" s="302">
        <f t="shared" si="31"/>
        <v>63524.654088050309</v>
      </c>
    </row>
    <row r="59" spans="2:36" s="300" customFormat="1" hidden="1" outlineLevel="1">
      <c r="B59" s="120" t="s">
        <v>575</v>
      </c>
      <c r="C59" s="124"/>
      <c r="D59" s="131">
        <v>1</v>
      </c>
      <c r="E59" s="131">
        <v>1</v>
      </c>
      <c r="F59" s="131">
        <v>1</v>
      </c>
      <c r="H59" s="131">
        <v>1</v>
      </c>
      <c r="I59" s="122">
        <v>1</v>
      </c>
      <c r="J59" s="122">
        <v>1</v>
      </c>
      <c r="P59" s="122">
        <v>1</v>
      </c>
      <c r="Q59" s="122">
        <v>1</v>
      </c>
      <c r="S59" s="122">
        <v>1</v>
      </c>
      <c r="T59" s="122">
        <v>1</v>
      </c>
      <c r="U59" s="122">
        <v>1</v>
      </c>
      <c r="X59" s="122">
        <v>1</v>
      </c>
      <c r="Y59" s="122">
        <v>1</v>
      </c>
      <c r="Z59" s="122">
        <v>1</v>
      </c>
      <c r="AA59" s="122">
        <v>1</v>
      </c>
      <c r="AG59" s="122">
        <v>1</v>
      </c>
      <c r="AH59" s="122">
        <v>1</v>
      </c>
      <c r="AI59" s="122">
        <v>1</v>
      </c>
      <c r="AJ59" s="122">
        <v>1</v>
      </c>
    </row>
    <row r="60" spans="2:36" ht="15" collapsed="1">
      <c r="B60" s="132" t="s">
        <v>352</v>
      </c>
      <c r="C60" s="133"/>
      <c r="D60" s="301">
        <f>D59*D58</f>
        <v>61113.69000000001</v>
      </c>
      <c r="E60" s="301">
        <f>E59*E58</f>
        <v>60041.936954999997</v>
      </c>
      <c r="F60" s="301">
        <f>F59*F58</f>
        <v>61363.041573821589</v>
      </c>
      <c r="H60" s="301">
        <f>H59*H58</f>
        <v>115783.54369871043</v>
      </c>
      <c r="I60" s="301">
        <f t="shared" ref="I60" si="32">I59*I58</f>
        <v>69350.062672058833</v>
      </c>
      <c r="J60" s="301">
        <f>J59*J58</f>
        <v>21298.855600000003</v>
      </c>
      <c r="P60" s="301">
        <f>P59*P58</f>
        <v>152717.21437499998</v>
      </c>
      <c r="Q60" s="301">
        <f>Q59*Q58</f>
        <v>53273.446874999994</v>
      </c>
      <c r="S60" s="301">
        <f>S59*S58</f>
        <v>27246.520668793364</v>
      </c>
      <c r="T60" s="301">
        <f>T59*T58</f>
        <v>80446.80988478259</v>
      </c>
      <c r="U60" s="301">
        <f>U59*U58</f>
        <v>66101.794092339973</v>
      </c>
      <c r="X60" s="301">
        <f>X59*X58</f>
        <v>50045.862350200725</v>
      </c>
      <c r="Y60" s="301">
        <f t="shared" ref="Y60:Z60" si="33">Y59*Y58</f>
        <v>127444.31696017239</v>
      </c>
      <c r="Z60" s="301">
        <f t="shared" si="33"/>
        <v>79310.841026716749</v>
      </c>
      <c r="AA60" s="301">
        <f>AA59*AA58</f>
        <v>163448.33504999999</v>
      </c>
      <c r="AG60" s="301">
        <f>AG59*AG58</f>
        <v>51420.6</v>
      </c>
      <c r="AH60" s="301">
        <f t="shared" ref="AH60:AJ60" si="34">AH59*AH58</f>
        <v>78891.063829787236</v>
      </c>
      <c r="AI60" s="301">
        <f t="shared" si="34"/>
        <v>67227.700000000012</v>
      </c>
      <c r="AJ60" s="301">
        <f t="shared" si="34"/>
        <v>63524.654088050309</v>
      </c>
    </row>
    <row r="61" spans="2:36">
      <c r="B61" s="130" t="s">
        <v>262</v>
      </c>
      <c r="C61" s="115"/>
      <c r="D61" s="131">
        <v>1</v>
      </c>
      <c r="E61" s="131">
        <v>1</v>
      </c>
      <c r="F61" s="131">
        <v>1</v>
      </c>
      <c r="H61" s="131">
        <v>1</v>
      </c>
      <c r="I61" s="131">
        <v>1</v>
      </c>
      <c r="J61" s="131">
        <v>1.02</v>
      </c>
      <c r="P61" s="131">
        <v>1</v>
      </c>
      <c r="Q61" s="131">
        <v>1</v>
      </c>
      <c r="S61" s="131">
        <v>0.98</v>
      </c>
      <c r="T61" s="131">
        <v>1</v>
      </c>
      <c r="U61" s="131">
        <v>1</v>
      </c>
      <c r="X61" s="131">
        <v>0.95</v>
      </c>
      <c r="Y61" s="131">
        <v>1</v>
      </c>
      <c r="Z61" s="131">
        <v>1</v>
      </c>
      <c r="AA61" s="122">
        <v>1</v>
      </c>
      <c r="AG61" s="131">
        <v>1</v>
      </c>
      <c r="AH61" s="131">
        <v>1</v>
      </c>
      <c r="AI61" s="131">
        <v>1</v>
      </c>
      <c r="AJ61" s="131">
        <v>1</v>
      </c>
    </row>
    <row r="62" spans="2:36" ht="15">
      <c r="B62" s="132" t="s">
        <v>352</v>
      </c>
      <c r="C62" s="133"/>
      <c r="D62" s="301">
        <f>D61*D60</f>
        <v>61113.69000000001</v>
      </c>
      <c r="E62" s="301">
        <f>E61*E60</f>
        <v>60041.936954999997</v>
      </c>
      <c r="F62" s="301">
        <f>F61*F60</f>
        <v>61363.041573821589</v>
      </c>
      <c r="H62" s="301">
        <f>H61*H60</f>
        <v>115783.54369871043</v>
      </c>
      <c r="I62" s="301">
        <f t="shared" ref="I62" si="35">I61*I60</f>
        <v>69350.062672058833</v>
      </c>
      <c r="J62" s="301">
        <f>J61*J60</f>
        <v>21724.832712000003</v>
      </c>
      <c r="P62" s="301">
        <f>P61*P60</f>
        <v>152717.21437499998</v>
      </c>
      <c r="Q62" s="301">
        <f>Q61*Q60</f>
        <v>53273.446874999994</v>
      </c>
      <c r="S62" s="301">
        <f>S61*S60</f>
        <v>26701.590255417497</v>
      </c>
      <c r="T62" s="301">
        <f>T61*T60</f>
        <v>80446.80988478259</v>
      </c>
      <c r="U62" s="301">
        <f>U61*U60</f>
        <v>66101.794092339973</v>
      </c>
      <c r="X62" s="301">
        <f>X61*X60</f>
        <v>47543.569232690686</v>
      </c>
      <c r="Y62" s="301">
        <f t="shared" ref="Y62:Z62" si="36">Y61*Y60</f>
        <v>127444.31696017239</v>
      </c>
      <c r="Z62" s="301">
        <f t="shared" si="36"/>
        <v>79310.841026716749</v>
      </c>
      <c r="AA62" s="301">
        <f>AA61*AA60</f>
        <v>163448.33504999999</v>
      </c>
      <c r="AG62" s="301">
        <f>AG61*AG60</f>
        <v>51420.6</v>
      </c>
      <c r="AH62" s="301">
        <f t="shared" ref="AH62:AJ62" si="37">AH61*AH60</f>
        <v>78891.063829787236</v>
      </c>
      <c r="AI62" s="301">
        <f t="shared" si="37"/>
        <v>67227.700000000012</v>
      </c>
      <c r="AJ62" s="301">
        <f t="shared" si="37"/>
        <v>63524.654088050309</v>
      </c>
    </row>
    <row r="63" spans="2:36">
      <c r="B63" s="130" t="s">
        <v>265</v>
      </c>
      <c r="C63" s="115"/>
      <c r="D63" s="131">
        <v>0.98</v>
      </c>
      <c r="E63" s="131">
        <v>1</v>
      </c>
      <c r="F63" s="131">
        <v>0.98</v>
      </c>
      <c r="H63" s="131">
        <v>1.02</v>
      </c>
      <c r="I63" s="131">
        <v>1</v>
      </c>
      <c r="J63" s="131">
        <v>0.98</v>
      </c>
      <c r="P63" s="131">
        <v>0.95</v>
      </c>
      <c r="Q63" s="131">
        <v>0.95</v>
      </c>
      <c r="S63" s="131">
        <v>1.02</v>
      </c>
      <c r="T63" s="131">
        <v>1.1200000000000001</v>
      </c>
      <c r="U63" s="131">
        <v>1.1000000000000001</v>
      </c>
      <c r="X63" s="131">
        <v>1.1000000000000001</v>
      </c>
      <c r="Y63" s="131">
        <v>1.05</v>
      </c>
      <c r="Z63" s="131">
        <v>1.1000000000000001</v>
      </c>
      <c r="AA63" s="131">
        <v>1</v>
      </c>
      <c r="AG63" s="131">
        <v>1</v>
      </c>
      <c r="AH63" s="131">
        <v>1</v>
      </c>
      <c r="AI63" s="131">
        <v>1</v>
      </c>
      <c r="AJ63" s="131">
        <v>1</v>
      </c>
    </row>
    <row r="64" spans="2:36" ht="15">
      <c r="B64" s="132" t="s">
        <v>352</v>
      </c>
      <c r="C64" s="133"/>
      <c r="D64" s="301">
        <f>D63*D62</f>
        <v>59891.416200000007</v>
      </c>
      <c r="E64" s="301">
        <f>E63*E62</f>
        <v>60041.936954999997</v>
      </c>
      <c r="F64" s="301">
        <f>F63*F62</f>
        <v>60135.78074234516</v>
      </c>
      <c r="H64" s="301">
        <f>H63*H62</f>
        <v>118099.21457268465</v>
      </c>
      <c r="I64" s="301">
        <f t="shared" ref="I64" si="38">I63*I62</f>
        <v>69350.062672058833</v>
      </c>
      <c r="J64" s="301">
        <f>J63*J62</f>
        <v>21290.336057760003</v>
      </c>
      <c r="P64" s="301">
        <f>P63*P62</f>
        <v>145081.35365624996</v>
      </c>
      <c r="Q64" s="301">
        <f>Q63*Q62</f>
        <v>50609.77453124999</v>
      </c>
      <c r="S64" s="301">
        <f>S63*S62</f>
        <v>27235.622060525846</v>
      </c>
      <c r="T64" s="301">
        <f>T63*T62</f>
        <v>90100.427070956503</v>
      </c>
      <c r="U64" s="301">
        <f>U63*U62</f>
        <v>72711.973501573972</v>
      </c>
      <c r="X64" s="301">
        <f>X63*X62</f>
        <v>52297.926155959758</v>
      </c>
      <c r="Y64" s="301">
        <f t="shared" ref="Y64:Z64" si="39">Y63*Y62</f>
        <v>133816.53280818101</v>
      </c>
      <c r="Z64" s="301">
        <f t="shared" si="39"/>
        <v>87241.92512938843</v>
      </c>
      <c r="AA64" s="301">
        <f>AA63*AA62</f>
        <v>163448.33504999999</v>
      </c>
      <c r="AG64" s="301">
        <f>AG63*AG62</f>
        <v>51420.6</v>
      </c>
      <c r="AH64" s="301">
        <f t="shared" ref="AH64:AJ64" si="40">AH63*AH62</f>
        <v>78891.063829787236</v>
      </c>
      <c r="AI64" s="301">
        <f t="shared" si="40"/>
        <v>67227.700000000012</v>
      </c>
      <c r="AJ64" s="301">
        <f t="shared" si="40"/>
        <v>63524.654088050309</v>
      </c>
    </row>
    <row r="65" spans="2:36">
      <c r="B65" s="130" t="s">
        <v>266</v>
      </c>
      <c r="C65" s="115"/>
      <c r="D65" s="131">
        <f>D140</f>
        <v>0.94000000000000006</v>
      </c>
      <c r="E65" s="131">
        <f>E140</f>
        <v>0.94000000000000006</v>
      </c>
      <c r="F65" s="131">
        <f>F140</f>
        <v>0.84</v>
      </c>
      <c r="H65" s="131">
        <f>H140</f>
        <v>0.98</v>
      </c>
      <c r="I65" s="131">
        <f>I140</f>
        <v>0.76</v>
      </c>
      <c r="J65" s="131">
        <f>J140</f>
        <v>1.24</v>
      </c>
      <c r="P65" s="131">
        <f>P140</f>
        <v>1.06</v>
      </c>
      <c r="Q65" s="131">
        <f>Q140</f>
        <v>0.88</v>
      </c>
      <c r="S65" s="131">
        <f>S140</f>
        <v>1.32</v>
      </c>
      <c r="T65" s="131">
        <f>T140</f>
        <v>0.84</v>
      </c>
      <c r="U65" s="131">
        <f>U140</f>
        <v>1.1000000000000001</v>
      </c>
      <c r="X65" s="131">
        <f>X140</f>
        <v>0.96</v>
      </c>
      <c r="Y65" s="131">
        <f t="shared" ref="Y65:Z65" si="41">Y140</f>
        <v>1.08</v>
      </c>
      <c r="Z65" s="131">
        <f t="shared" si="41"/>
        <v>0.96</v>
      </c>
      <c r="AA65" s="131">
        <f>AA140</f>
        <v>0.64</v>
      </c>
      <c r="AG65" s="131">
        <f t="shared" ref="AG65:AJ65" si="42">AG140</f>
        <v>1.08</v>
      </c>
      <c r="AH65" s="131">
        <f t="shared" si="42"/>
        <v>1.02</v>
      </c>
      <c r="AI65" s="131">
        <f t="shared" si="42"/>
        <v>1.06</v>
      </c>
      <c r="AJ65" s="131">
        <f t="shared" si="42"/>
        <v>0.94000000000000006</v>
      </c>
    </row>
    <row r="66" spans="2:36" ht="15">
      <c r="B66" s="132" t="s">
        <v>352</v>
      </c>
      <c r="C66" s="133"/>
      <c r="D66" s="301">
        <f>D65*D64</f>
        <v>56297.931228000009</v>
      </c>
      <c r="E66" s="301">
        <f>E65*E64</f>
        <v>56439.420737699998</v>
      </c>
      <c r="F66" s="301">
        <f>F65*F64</f>
        <v>50514.055823569935</v>
      </c>
      <c r="H66" s="301">
        <f>H65*H64</f>
        <v>115737.23028123095</v>
      </c>
      <c r="I66" s="301">
        <f t="shared" ref="I66" si="43">I65*I64</f>
        <v>52706.047630764711</v>
      </c>
      <c r="J66" s="301">
        <f>J65*J64</f>
        <v>26400.016711622404</v>
      </c>
      <c r="P66" s="301">
        <f>P65*P64</f>
        <v>153786.23487562497</v>
      </c>
      <c r="Q66" s="301">
        <f>Q65*Q64</f>
        <v>44536.601587499994</v>
      </c>
      <c r="S66" s="301">
        <f>S65*S64</f>
        <v>35951.021119894118</v>
      </c>
      <c r="T66" s="301">
        <f>T65*T64</f>
        <v>75684.358739603456</v>
      </c>
      <c r="U66" s="301">
        <f>U65*U64</f>
        <v>79983.170851731382</v>
      </c>
      <c r="X66" s="301">
        <f>X65*X64</f>
        <v>50206.009109721366</v>
      </c>
      <c r="Y66" s="301">
        <f t="shared" ref="Y66:Z66" si="44">Y65*Y64</f>
        <v>144521.85543283549</v>
      </c>
      <c r="Z66" s="301">
        <f t="shared" si="44"/>
        <v>83752.248124212885</v>
      </c>
      <c r="AA66" s="301">
        <f>AA65*AA64</f>
        <v>104606.93443199999</v>
      </c>
      <c r="AG66" s="301">
        <f>AG65*AG64</f>
        <v>55534.248</v>
      </c>
      <c r="AH66" s="301">
        <f t="shared" ref="AH66:AJ66" si="45">AH65*AH64</f>
        <v>80468.885106382979</v>
      </c>
      <c r="AI66" s="301">
        <f t="shared" si="45"/>
        <v>71261.362000000023</v>
      </c>
      <c r="AJ66" s="301">
        <f t="shared" si="45"/>
        <v>59713.174842767294</v>
      </c>
    </row>
    <row r="67" spans="2:36">
      <c r="B67" s="130" t="s">
        <v>267</v>
      </c>
      <c r="C67" s="115"/>
      <c r="D67" s="131">
        <v>1</v>
      </c>
      <c r="E67" s="131">
        <v>0.85</v>
      </c>
      <c r="F67" s="131">
        <v>0.95</v>
      </c>
      <c r="H67" s="131">
        <v>0.8</v>
      </c>
      <c r="I67" s="131">
        <v>0.85</v>
      </c>
      <c r="J67" s="131">
        <v>0.95</v>
      </c>
      <c r="P67" s="131">
        <v>0.98</v>
      </c>
      <c r="Q67" s="131">
        <v>0.98</v>
      </c>
      <c r="S67" s="131">
        <v>0.85</v>
      </c>
      <c r="T67" s="131">
        <v>0.9</v>
      </c>
      <c r="U67" s="131">
        <v>0.9</v>
      </c>
      <c r="X67" s="122">
        <v>0.9</v>
      </c>
      <c r="Y67" s="131">
        <v>0.9</v>
      </c>
      <c r="Z67" s="131">
        <v>0.85</v>
      </c>
      <c r="AA67" s="131">
        <v>0.92</v>
      </c>
      <c r="AG67" s="131">
        <v>1</v>
      </c>
      <c r="AH67" s="131">
        <v>1</v>
      </c>
      <c r="AI67" s="131">
        <v>1</v>
      </c>
      <c r="AJ67" s="131">
        <v>1</v>
      </c>
    </row>
    <row r="68" spans="2:36" ht="15">
      <c r="B68" s="132" t="s">
        <v>352</v>
      </c>
      <c r="C68" s="134"/>
      <c r="D68" s="301">
        <f>D67*D66</f>
        <v>56297.931228000009</v>
      </c>
      <c r="E68" s="301">
        <f>E67*E66</f>
        <v>47973.507627045001</v>
      </c>
      <c r="F68" s="301">
        <f>F67*F66</f>
        <v>47988.353032391438</v>
      </c>
      <c r="H68" s="301">
        <f>H67*H66</f>
        <v>92589.78422498476</v>
      </c>
      <c r="I68" s="301">
        <f t="shared" ref="I68" si="46">I67*I66</f>
        <v>44800.140486150005</v>
      </c>
      <c r="J68" s="301">
        <f>J67*J66</f>
        <v>25080.015876041281</v>
      </c>
      <c r="P68" s="301">
        <f>P67*P66</f>
        <v>150710.51017811245</v>
      </c>
      <c r="Q68" s="301">
        <f>Q67*Q66</f>
        <v>43645.869555749996</v>
      </c>
      <c r="S68" s="301">
        <f>S67*S66</f>
        <v>30558.367951910001</v>
      </c>
      <c r="T68" s="301">
        <f>T67*T66</f>
        <v>68115.922865643108</v>
      </c>
      <c r="U68" s="301">
        <f>U67*U66</f>
        <v>71984.853766558241</v>
      </c>
      <c r="X68" s="301">
        <f>X67*X66</f>
        <v>45185.408198749232</v>
      </c>
      <c r="Y68" s="301">
        <f t="shared" ref="Y68:Z68" si="47">Y67*Y66</f>
        <v>130069.66988955195</v>
      </c>
      <c r="Z68" s="301">
        <f t="shared" si="47"/>
        <v>71189.410905580953</v>
      </c>
      <c r="AA68" s="301">
        <f>AA67*AA66</f>
        <v>96238.379677439996</v>
      </c>
      <c r="AG68" s="301">
        <f>AG67*AG66</f>
        <v>55534.248</v>
      </c>
      <c r="AH68" s="301">
        <f t="shared" ref="AH68:AJ68" si="48">AH67*AH66</f>
        <v>80468.885106382979</v>
      </c>
      <c r="AI68" s="301">
        <f t="shared" si="48"/>
        <v>71261.362000000023</v>
      </c>
      <c r="AJ68" s="301">
        <f t="shared" si="48"/>
        <v>59713.174842767294</v>
      </c>
    </row>
    <row r="69" spans="2:36">
      <c r="B69" s="130" t="s">
        <v>576</v>
      </c>
      <c r="C69" s="134"/>
      <c r="D69" s="131">
        <v>1</v>
      </c>
      <c r="E69" s="131">
        <v>1</v>
      </c>
      <c r="F69" s="131">
        <v>1</v>
      </c>
      <c r="H69" s="131">
        <v>1</v>
      </c>
      <c r="I69" s="131">
        <v>1</v>
      </c>
      <c r="J69" s="131">
        <v>1</v>
      </c>
      <c r="P69" s="131">
        <v>1</v>
      </c>
      <c r="Q69" s="131">
        <v>1</v>
      </c>
      <c r="S69" s="131">
        <v>1</v>
      </c>
      <c r="T69" s="131">
        <v>1</v>
      </c>
      <c r="U69" s="131">
        <v>1</v>
      </c>
      <c r="X69" s="131">
        <v>1</v>
      </c>
      <c r="Y69" s="131">
        <v>1</v>
      </c>
      <c r="Z69" s="131">
        <v>1</v>
      </c>
      <c r="AA69" s="131">
        <v>1</v>
      </c>
      <c r="AG69" s="131">
        <v>1</v>
      </c>
      <c r="AH69" s="131">
        <v>1</v>
      </c>
      <c r="AI69" s="131">
        <v>1</v>
      </c>
      <c r="AJ69" s="131">
        <v>1</v>
      </c>
    </row>
    <row r="70" spans="2:36" s="300" customFormat="1" ht="15" hidden="1" outlineLevel="1">
      <c r="B70" s="123" t="s">
        <v>352</v>
      </c>
      <c r="C70" s="358"/>
      <c r="D70" s="301">
        <f>D69*D68</f>
        <v>56297.931228000009</v>
      </c>
      <c r="E70" s="301">
        <f>E69*E68</f>
        <v>47973.507627045001</v>
      </c>
      <c r="F70" s="301">
        <f>F69*F68</f>
        <v>47988.353032391438</v>
      </c>
      <c r="H70" s="301">
        <f>H69*H68</f>
        <v>92589.78422498476</v>
      </c>
      <c r="I70" s="302">
        <f t="shared" ref="I70" si="49">I69*I68</f>
        <v>44800.140486150005</v>
      </c>
      <c r="J70" s="302">
        <f>J69*J68</f>
        <v>25080.015876041281</v>
      </c>
      <c r="P70" s="302">
        <f>P69*P68</f>
        <v>150710.51017811245</v>
      </c>
      <c r="Q70" s="302">
        <f>Q69*Q68</f>
        <v>43645.869555749996</v>
      </c>
      <c r="S70" s="302">
        <f>S69*S68</f>
        <v>30558.367951910001</v>
      </c>
      <c r="T70" s="302">
        <f>T69*T68</f>
        <v>68115.922865643108</v>
      </c>
      <c r="U70" s="302">
        <f>U69*U68</f>
        <v>71984.853766558241</v>
      </c>
      <c r="X70" s="302">
        <f>X69*X68</f>
        <v>45185.408198749232</v>
      </c>
      <c r="Y70" s="302">
        <f t="shared" ref="Y70:Z70" si="50">Y69*Y68</f>
        <v>130069.66988955195</v>
      </c>
      <c r="Z70" s="302">
        <f t="shared" si="50"/>
        <v>71189.410905580953</v>
      </c>
      <c r="AA70" s="302">
        <f>AA69*AA68</f>
        <v>96238.379677439996</v>
      </c>
      <c r="AG70" s="302">
        <f>AG69*AG68</f>
        <v>55534.248</v>
      </c>
      <c r="AH70" s="302">
        <f t="shared" ref="AH70:AJ70" si="51">AH69*AH68</f>
        <v>80468.885106382979</v>
      </c>
      <c r="AI70" s="302">
        <f t="shared" si="51"/>
        <v>71261.362000000023</v>
      </c>
      <c r="AJ70" s="302">
        <f t="shared" si="51"/>
        <v>59713.174842767294</v>
      </c>
    </row>
    <row r="71" spans="2:36" s="300" customFormat="1" hidden="1" outlineLevel="1">
      <c r="B71" s="120" t="s">
        <v>577</v>
      </c>
      <c r="C71" s="358"/>
      <c r="D71" s="131">
        <v>1</v>
      </c>
      <c r="E71" s="131">
        <v>1</v>
      </c>
      <c r="F71" s="131">
        <v>1</v>
      </c>
      <c r="H71" s="131">
        <v>1</v>
      </c>
      <c r="I71" s="122">
        <v>1</v>
      </c>
      <c r="J71" s="122">
        <v>1</v>
      </c>
      <c r="P71" s="122">
        <v>1</v>
      </c>
      <c r="Q71" s="122">
        <v>1</v>
      </c>
      <c r="S71" s="122">
        <v>1</v>
      </c>
      <c r="T71" s="122">
        <v>1</v>
      </c>
      <c r="U71" s="122">
        <v>1</v>
      </c>
      <c r="X71" s="122">
        <v>1</v>
      </c>
      <c r="Y71" s="122">
        <v>1</v>
      </c>
      <c r="Z71" s="122">
        <v>1</v>
      </c>
      <c r="AA71" s="122">
        <v>1</v>
      </c>
      <c r="AG71" s="122">
        <v>1</v>
      </c>
      <c r="AH71" s="122">
        <v>1</v>
      </c>
      <c r="AI71" s="122">
        <v>1</v>
      </c>
      <c r="AJ71" s="122">
        <v>1</v>
      </c>
    </row>
    <row r="72" spans="2:36" ht="15" collapsed="1">
      <c r="B72" s="132" t="s">
        <v>352</v>
      </c>
      <c r="C72" s="134"/>
      <c r="D72" s="301">
        <f>D71*D70</f>
        <v>56297.931228000009</v>
      </c>
      <c r="E72" s="301">
        <f>E71*E70</f>
        <v>47973.507627045001</v>
      </c>
      <c r="F72" s="301">
        <f>F71*F70</f>
        <v>47988.353032391438</v>
      </c>
      <c r="H72" s="301">
        <f>H71*H70</f>
        <v>92589.78422498476</v>
      </c>
      <c r="I72" s="301">
        <f t="shared" ref="I72" si="52">I71*I70</f>
        <v>44800.140486150005</v>
      </c>
      <c r="J72" s="301">
        <f>J71*J70</f>
        <v>25080.015876041281</v>
      </c>
      <c r="P72" s="301">
        <f>P71*P70</f>
        <v>150710.51017811245</v>
      </c>
      <c r="Q72" s="301">
        <f>Q71*Q70</f>
        <v>43645.869555749996</v>
      </c>
      <c r="S72" s="301">
        <f>S71*S70</f>
        <v>30558.367951910001</v>
      </c>
      <c r="T72" s="301">
        <f>T71*T70</f>
        <v>68115.922865643108</v>
      </c>
      <c r="U72" s="301">
        <f>U71*U70</f>
        <v>71984.853766558241</v>
      </c>
      <c r="X72" s="301">
        <f>X71*X70</f>
        <v>45185.408198749232</v>
      </c>
      <c r="Y72" s="301">
        <f t="shared" ref="Y72:Z72" si="53">Y71*Y70</f>
        <v>130069.66988955195</v>
      </c>
      <c r="Z72" s="301">
        <f t="shared" si="53"/>
        <v>71189.410905580953</v>
      </c>
      <c r="AA72" s="301">
        <f>AA71*AA70</f>
        <v>96238.379677439996</v>
      </c>
      <c r="AG72" s="301">
        <f>AG71*AG70</f>
        <v>55534.248</v>
      </c>
      <c r="AH72" s="301">
        <f t="shared" ref="AH72:AJ72" si="54">AH71*AH70</f>
        <v>80468.885106382979</v>
      </c>
      <c r="AI72" s="301">
        <f t="shared" si="54"/>
        <v>71261.362000000023</v>
      </c>
      <c r="AJ72" s="301">
        <f t="shared" si="54"/>
        <v>59713.174842767294</v>
      </c>
    </row>
    <row r="73" spans="2:36">
      <c r="B73" s="130" t="s">
        <v>578</v>
      </c>
      <c r="C73" s="134"/>
      <c r="D73" s="131">
        <v>1.1499999999999999</v>
      </c>
      <c r="E73" s="131">
        <v>1.1499999999999999</v>
      </c>
      <c r="F73" s="131">
        <v>1.1499999999999999</v>
      </c>
      <c r="H73" s="131">
        <v>1.1499999999999999</v>
      </c>
      <c r="I73" s="131">
        <v>1.1000000000000001</v>
      </c>
      <c r="J73" s="131">
        <v>1.1499999999999999</v>
      </c>
      <c r="P73" s="131">
        <v>1.02</v>
      </c>
      <c r="Q73" s="131">
        <v>1.02</v>
      </c>
      <c r="S73" s="131">
        <v>1.05</v>
      </c>
      <c r="T73" s="131">
        <v>1</v>
      </c>
      <c r="U73" s="131">
        <v>1</v>
      </c>
      <c r="X73" s="131">
        <v>0.95</v>
      </c>
      <c r="Y73" s="131">
        <v>1</v>
      </c>
      <c r="Z73" s="131">
        <v>1</v>
      </c>
      <c r="AA73" s="131">
        <v>0.95</v>
      </c>
      <c r="AG73" s="131">
        <v>1</v>
      </c>
      <c r="AH73" s="131">
        <v>1</v>
      </c>
      <c r="AI73" s="131">
        <v>1</v>
      </c>
      <c r="AJ73" s="131">
        <v>1</v>
      </c>
    </row>
    <row r="74" spans="2:36" ht="15">
      <c r="B74" s="132" t="s">
        <v>352</v>
      </c>
      <c r="C74" s="134"/>
      <c r="D74" s="301">
        <f>D73*D72</f>
        <v>64742.620912200007</v>
      </c>
      <c r="E74" s="301">
        <f>E73*E72</f>
        <v>55169.533771101749</v>
      </c>
      <c r="F74" s="301">
        <f>F73*F72</f>
        <v>55186.60598725015</v>
      </c>
      <c r="H74" s="301">
        <f>H73*H72</f>
        <v>106478.25185873246</v>
      </c>
      <c r="I74" s="301">
        <f t="shared" ref="I74" si="55">I73*I72</f>
        <v>49280.15453476501</v>
      </c>
      <c r="J74" s="301">
        <f>J73*J72</f>
        <v>28842.018257447471</v>
      </c>
      <c r="P74" s="301">
        <f>P73*P72</f>
        <v>153724.72038167471</v>
      </c>
      <c r="Q74" s="301">
        <f>Q73*Q72</f>
        <v>44518.786946864995</v>
      </c>
      <c r="S74" s="301">
        <f>S73*S72</f>
        <v>32086.286349505503</v>
      </c>
      <c r="T74" s="301">
        <f>T73*T72</f>
        <v>68115.922865643108</v>
      </c>
      <c r="U74" s="301">
        <f>U73*U72</f>
        <v>71984.853766558241</v>
      </c>
      <c r="X74" s="301">
        <f>X73*X72</f>
        <v>42926.137788811771</v>
      </c>
      <c r="Y74" s="301">
        <f t="shared" ref="Y74:Z74" si="56">Y73*Y72</f>
        <v>130069.66988955195</v>
      </c>
      <c r="Z74" s="301">
        <f t="shared" si="56"/>
        <v>71189.410905580953</v>
      </c>
      <c r="AA74" s="301">
        <f>AA73*AA72</f>
        <v>91426.460693567991</v>
      </c>
      <c r="AG74" s="301">
        <f>AG73*AG72</f>
        <v>55534.248</v>
      </c>
      <c r="AH74" s="301">
        <f t="shared" ref="AH74:AJ74" si="57">AH73*AH72</f>
        <v>80468.885106382979</v>
      </c>
      <c r="AI74" s="301">
        <f t="shared" si="57"/>
        <v>71261.362000000023</v>
      </c>
      <c r="AJ74" s="301">
        <f t="shared" si="57"/>
        <v>59713.174842767294</v>
      </c>
    </row>
    <row r="75" spans="2:36">
      <c r="B75" s="130" t="s">
        <v>579</v>
      </c>
      <c r="C75" s="134"/>
      <c r="D75" s="131">
        <v>1.1000000000000001</v>
      </c>
      <c r="E75" s="131">
        <v>1.1000000000000001</v>
      </c>
      <c r="F75" s="131">
        <v>1.1200000000000001</v>
      </c>
      <c r="H75" s="131">
        <v>1.1200000000000001</v>
      </c>
      <c r="I75" s="131">
        <v>1.1000000000000001</v>
      </c>
      <c r="J75" s="131">
        <v>1.1000000000000001</v>
      </c>
      <c r="P75" s="131">
        <v>1</v>
      </c>
      <c r="Q75" s="131">
        <v>1</v>
      </c>
      <c r="S75" s="131">
        <v>0.98</v>
      </c>
      <c r="T75" s="131">
        <v>1</v>
      </c>
      <c r="U75" s="131">
        <v>1.05</v>
      </c>
      <c r="X75" s="131">
        <v>1.05</v>
      </c>
      <c r="Y75" s="131">
        <v>1.05</v>
      </c>
      <c r="Z75" s="131">
        <v>1.05</v>
      </c>
      <c r="AA75" s="131">
        <v>1.05</v>
      </c>
      <c r="AG75" s="131">
        <v>1.1000000000000001</v>
      </c>
      <c r="AH75" s="131">
        <v>1.1499999999999999</v>
      </c>
      <c r="AI75" s="131">
        <v>1.2</v>
      </c>
      <c r="AJ75" s="131">
        <v>1.25</v>
      </c>
    </row>
    <row r="76" spans="2:36" ht="15">
      <c r="B76" s="132" t="s">
        <v>352</v>
      </c>
      <c r="C76" s="134"/>
      <c r="D76" s="133">
        <f>D74*D75</f>
        <v>71216.883003420007</v>
      </c>
      <c r="E76" s="133">
        <f>E74*E75</f>
        <v>60686.487148211927</v>
      </c>
      <c r="F76" s="133">
        <f>F74*F75</f>
        <v>61808.998705720172</v>
      </c>
      <c r="H76" s="133">
        <f>H74*H75</f>
        <v>119255.64208178036</v>
      </c>
      <c r="I76" s="133">
        <f>I74*I75</f>
        <v>54208.169988241512</v>
      </c>
      <c r="J76" s="133">
        <f>J74*J75</f>
        <v>31726.22008319222</v>
      </c>
      <c r="P76" s="133">
        <f>P74*P75</f>
        <v>153724.72038167471</v>
      </c>
      <c r="Q76" s="133">
        <f>Q74*Q75</f>
        <v>44518.786946864995</v>
      </c>
      <c r="S76" s="133">
        <f>S75*S74</f>
        <v>31444.560622515393</v>
      </c>
      <c r="T76" s="133">
        <f>T74*T75</f>
        <v>68115.922865643108</v>
      </c>
      <c r="U76" s="133">
        <f>U74*U75</f>
        <v>75584.096454886152</v>
      </c>
      <c r="X76" s="301">
        <f>X75*X74</f>
        <v>45072.444678252359</v>
      </c>
      <c r="Y76" s="133">
        <f>Y74*Y75</f>
        <v>136573.15338402955</v>
      </c>
      <c r="Z76" s="133">
        <f>Z74*Z75</f>
        <v>74748.881450860004</v>
      </c>
      <c r="AA76" s="133">
        <f>AA74*AA75</f>
        <v>95997.783728246388</v>
      </c>
      <c r="AG76" s="133">
        <f t="shared" ref="AG76" si="58">AG75*AG74</f>
        <v>61087.672800000008</v>
      </c>
      <c r="AH76" s="133">
        <f t="shared" ref="AH76" si="59">AH74*AH75</f>
        <v>92539.217872340421</v>
      </c>
      <c r="AI76" s="133">
        <f t="shared" ref="AI76" si="60">AI75*AI74</f>
        <v>85513.634400000024</v>
      </c>
      <c r="AJ76" s="133">
        <f t="shared" ref="AJ76" si="61">AJ74*AJ75</f>
        <v>74641.468553459112</v>
      </c>
    </row>
    <row r="77" spans="2:36" ht="15">
      <c r="B77" s="132" t="s">
        <v>270</v>
      </c>
      <c r="C77" s="133"/>
      <c r="D77" s="301">
        <f>D76/долл</f>
        <v>814.37259009056606</v>
      </c>
      <c r="E77" s="301">
        <f>E76/долл</f>
        <v>693.95639963650001</v>
      </c>
      <c r="F77" s="301">
        <f>F76/долл</f>
        <v>706.79243802996189</v>
      </c>
      <c r="H77" s="301">
        <f>H76/долл</f>
        <v>1363.7008814383116</v>
      </c>
      <c r="I77" s="301">
        <f>I76/долл</f>
        <v>619.87615767000011</v>
      </c>
      <c r="J77" s="301">
        <f>J76/долл</f>
        <v>362.79268248361598</v>
      </c>
      <c r="P77" s="301">
        <f>P76/долл</f>
        <v>1757.8584377549994</v>
      </c>
      <c r="Q77" s="301">
        <f>Q76/долл</f>
        <v>509.07703769999995</v>
      </c>
      <c r="S77" s="359">
        <f>S76/долл</f>
        <v>359.57187675832353</v>
      </c>
      <c r="T77" s="359">
        <f>T76/долл</f>
        <v>778.91278291187086</v>
      </c>
      <c r="U77" s="359">
        <f>U76/долл</f>
        <v>864.31213784889826</v>
      </c>
      <c r="X77" s="359">
        <f>X76/долл</f>
        <v>515.40817242141065</v>
      </c>
      <c r="Y77" s="359">
        <f>Y76/долл</f>
        <v>1561.7284549345859</v>
      </c>
      <c r="Z77" s="359">
        <f>Z76/долл</f>
        <v>854.76136593321905</v>
      </c>
      <c r="AA77" s="359">
        <f>AA76/долл</f>
        <v>1097.7448110719997</v>
      </c>
      <c r="AG77" s="359">
        <f>AG76/долл</f>
        <v>698.5440000000001</v>
      </c>
      <c r="AH77" s="359">
        <f>AH76/долл</f>
        <v>1058.195744680851</v>
      </c>
      <c r="AI77" s="359">
        <f>AI76/долл</f>
        <v>977.85745454545474</v>
      </c>
      <c r="AJ77" s="359">
        <f>AJ76/долл</f>
        <v>853.53308808986969</v>
      </c>
    </row>
    <row r="78" spans="2:36">
      <c r="B78" s="119" t="s">
        <v>271</v>
      </c>
      <c r="C78" s="87" t="s">
        <v>159</v>
      </c>
      <c r="D78" s="135"/>
      <c r="E78" s="135"/>
      <c r="F78" s="135"/>
      <c r="H78" s="135"/>
      <c r="I78" s="135"/>
      <c r="J78" s="135"/>
      <c r="P78" s="135"/>
      <c r="Q78" s="135"/>
      <c r="S78" s="135"/>
      <c r="T78" s="135"/>
      <c r="U78" s="360"/>
      <c r="X78" s="135"/>
      <c r="Y78" s="135"/>
      <c r="Z78" s="135"/>
      <c r="AA78" s="135"/>
      <c r="AG78" s="135"/>
      <c r="AH78" s="135"/>
      <c r="AI78" s="135"/>
      <c r="AJ78" s="135"/>
    </row>
    <row r="79" spans="2:36" ht="15">
      <c r="B79" s="136" t="s">
        <v>272</v>
      </c>
      <c r="C79" s="115">
        <f>ROUND(AVERAGE(D76:F76),-2)</f>
        <v>64600</v>
      </c>
      <c r="D79" s="104"/>
      <c r="E79" s="104"/>
      <c r="F79" s="104"/>
      <c r="H79" s="104"/>
      <c r="I79" s="104"/>
      <c r="J79" s="104"/>
      <c r="P79" s="104"/>
      <c r="Q79" s="104"/>
      <c r="S79" s="104"/>
      <c r="T79" s="104"/>
      <c r="U79" s="104"/>
      <c r="X79" s="104"/>
      <c r="Y79" s="104"/>
      <c r="Z79" s="104"/>
      <c r="AA79" s="104"/>
      <c r="AG79" s="104"/>
      <c r="AH79" s="104"/>
      <c r="AI79" s="104"/>
      <c r="AJ79" s="104"/>
    </row>
    <row r="80" spans="2:36" ht="15">
      <c r="B80" s="136" t="s">
        <v>273</v>
      </c>
      <c r="C80" s="115">
        <f>ROUND(C79/долл,2)</f>
        <v>738.71</v>
      </c>
      <c r="D80" s="104"/>
      <c r="E80" s="104"/>
      <c r="F80" s="104"/>
      <c r="H80" s="104"/>
      <c r="I80" s="104"/>
      <c r="J80" s="104"/>
      <c r="P80" s="104"/>
      <c r="Q80" s="104"/>
      <c r="S80" s="104"/>
      <c r="T80" s="104"/>
      <c r="U80" s="104"/>
      <c r="X80" s="104"/>
      <c r="Y80" s="104"/>
      <c r="Z80" s="104"/>
      <c r="AA80" s="104"/>
      <c r="AG80" s="104"/>
      <c r="AH80" s="104"/>
      <c r="AI80" s="104"/>
      <c r="AJ80" s="104"/>
    </row>
    <row r="81" spans="2:36">
      <c r="B81" s="132" t="s">
        <v>274</v>
      </c>
      <c r="C81" s="133">
        <f>ROUND(C79*C15,-3)</f>
        <v>420244000</v>
      </c>
      <c r="D81" s="104"/>
      <c r="E81" s="104"/>
      <c r="F81" s="104"/>
      <c r="H81" s="104"/>
      <c r="I81" s="104"/>
      <c r="J81" s="104"/>
      <c r="P81" s="104"/>
      <c r="Q81" s="104"/>
      <c r="S81" s="104"/>
      <c r="T81" s="104"/>
      <c r="U81" s="104"/>
      <c r="X81" s="104"/>
      <c r="Y81" s="104"/>
      <c r="Z81" s="104"/>
      <c r="AA81" s="104"/>
      <c r="AG81" s="104"/>
      <c r="AH81" s="104"/>
      <c r="AI81" s="104"/>
      <c r="AJ81" s="104"/>
    </row>
    <row r="82" spans="2:36">
      <c r="B82" s="132" t="s">
        <v>275</v>
      </c>
      <c r="C82" s="133">
        <f>ROUND(C81/долл,-2)</f>
        <v>4805500</v>
      </c>
      <c r="D82" s="133"/>
      <c r="E82" s="133"/>
      <c r="F82" s="133"/>
      <c r="H82" s="133"/>
      <c r="I82" s="133"/>
      <c r="J82" s="133"/>
      <c r="P82" s="133"/>
      <c r="Q82" s="133"/>
      <c r="S82" s="303"/>
      <c r="T82" s="133"/>
      <c r="U82" s="133"/>
      <c r="X82" s="303"/>
      <c r="Y82" s="133"/>
      <c r="Z82" s="133"/>
      <c r="AA82" s="133"/>
      <c r="AG82" s="133"/>
      <c r="AH82" s="133"/>
      <c r="AI82" s="133"/>
      <c r="AJ82" s="133"/>
    </row>
    <row r="83" spans="2:36">
      <c r="B83" s="137"/>
      <c r="C83" s="138"/>
      <c r="D83" s="138">
        <f>D34/D28</f>
        <v>475.43581616481777</v>
      </c>
      <c r="E83" s="138">
        <f t="shared" ref="E83" si="62">E34/E28</f>
        <v>468.75</v>
      </c>
      <c r="F83" s="138">
        <f>F34/F28</f>
        <v>333.33333333333331</v>
      </c>
      <c r="H83" s="138">
        <f>H34/H28</f>
        <v>569.10569105691059</v>
      </c>
      <c r="I83" s="138"/>
      <c r="J83" s="138">
        <f>J34/J28</f>
        <v>347.82608695652175</v>
      </c>
      <c r="P83" s="138">
        <f>P34/P28</f>
        <v>2205.8823529411766</v>
      </c>
      <c r="Q83" s="138">
        <f>Q34/Q28</f>
        <v>404.31266846361189</v>
      </c>
      <c r="S83" s="304"/>
      <c r="T83" s="138"/>
      <c r="U83" s="138"/>
      <c r="X83" s="304"/>
      <c r="Y83" s="138"/>
      <c r="Z83" s="138"/>
      <c r="AA83" s="138"/>
      <c r="AG83" s="138"/>
      <c r="AH83" s="138"/>
      <c r="AI83" s="138"/>
      <c r="AJ83" s="138"/>
    </row>
    <row r="84" spans="2:36">
      <c r="B84" s="361"/>
      <c r="C84" s="362"/>
      <c r="D84" s="138"/>
      <c r="E84" s="138"/>
      <c r="F84" s="138"/>
      <c r="H84" s="138"/>
      <c r="I84" s="138"/>
      <c r="J84" s="138"/>
      <c r="P84" s="138"/>
      <c r="Q84" s="138"/>
      <c r="S84" s="304"/>
      <c r="T84" s="138"/>
      <c r="U84" s="138"/>
      <c r="X84" s="304"/>
      <c r="Y84" s="138"/>
      <c r="Z84" s="138"/>
      <c r="AA84" s="138"/>
      <c r="AG84" s="138"/>
      <c r="AH84" s="138"/>
      <c r="AI84" s="138"/>
      <c r="AJ84" s="138"/>
    </row>
    <row r="85" spans="2:36">
      <c r="B85" s="363"/>
      <c r="C85" s="364"/>
      <c r="D85" s="138"/>
      <c r="E85" s="138"/>
      <c r="F85" s="138"/>
      <c r="H85" s="138"/>
      <c r="I85" s="138"/>
      <c r="J85" s="138"/>
      <c r="P85" s="138"/>
      <c r="Q85" s="138"/>
      <c r="S85" s="304"/>
      <c r="T85" s="138"/>
      <c r="U85" s="138"/>
      <c r="X85" s="304"/>
      <c r="Y85" s="138"/>
      <c r="Z85" s="138"/>
      <c r="AA85" s="138"/>
      <c r="AG85" s="138"/>
      <c r="AH85" s="138"/>
      <c r="AI85" s="138"/>
      <c r="AJ85" s="138"/>
    </row>
    <row r="86" spans="2:36">
      <c r="B86" s="363"/>
      <c r="C86" s="365"/>
      <c r="D86" s="138"/>
      <c r="E86" s="138"/>
      <c r="F86" s="138"/>
      <c r="H86" s="138"/>
      <c r="I86" s="138"/>
      <c r="J86" s="138"/>
      <c r="P86" s="138"/>
      <c r="Q86" s="138"/>
      <c r="S86" s="304"/>
      <c r="T86" s="138"/>
      <c r="U86" s="138"/>
      <c r="X86" s="304"/>
      <c r="Y86" s="138"/>
      <c r="Z86" s="138"/>
      <c r="AA86" s="138"/>
      <c r="AG86" s="138"/>
      <c r="AH86" s="138"/>
      <c r="AI86" s="138"/>
      <c r="AJ86" s="138"/>
    </row>
    <row r="87" spans="2:36">
      <c r="B87" s="363"/>
      <c r="C87" s="364"/>
      <c r="D87" s="138"/>
      <c r="E87" s="138"/>
      <c r="F87" s="138"/>
      <c r="H87" s="138"/>
      <c r="I87" s="138"/>
      <c r="J87" s="138"/>
      <c r="P87" s="138"/>
      <c r="Q87" s="138"/>
      <c r="S87" s="304"/>
      <c r="T87" s="138"/>
      <c r="U87" s="138"/>
      <c r="X87" s="304"/>
      <c r="Y87" s="138"/>
      <c r="Z87" s="138"/>
      <c r="AA87" s="138"/>
      <c r="AG87" s="138"/>
      <c r="AH87" s="138"/>
      <c r="AI87" s="138"/>
      <c r="AJ87" s="138"/>
    </row>
    <row r="88" spans="2:36">
      <c r="B88" s="363"/>
      <c r="C88" s="364"/>
      <c r="D88" s="138"/>
      <c r="E88" s="138"/>
      <c r="F88" s="138"/>
      <c r="H88" s="138"/>
      <c r="I88" s="138"/>
      <c r="J88" s="138"/>
      <c r="P88" s="138"/>
      <c r="Q88" s="138"/>
      <c r="S88" s="304"/>
      <c r="T88" s="138"/>
      <c r="U88" s="138"/>
      <c r="X88" s="304"/>
      <c r="Y88" s="138"/>
      <c r="Z88" s="138"/>
      <c r="AA88" s="138"/>
      <c r="AG88" s="138"/>
      <c r="AH88" s="138"/>
      <c r="AI88" s="138"/>
      <c r="AJ88" s="138"/>
    </row>
    <row r="89" spans="2:36">
      <c r="D89" s="138"/>
      <c r="E89" s="138"/>
      <c r="F89" s="138"/>
      <c r="H89" s="138"/>
      <c r="I89" s="138"/>
      <c r="J89" s="138"/>
      <c r="P89" s="138"/>
      <c r="Q89" s="138"/>
      <c r="S89" s="304"/>
      <c r="T89" s="138"/>
      <c r="U89" s="138"/>
      <c r="X89" s="304"/>
      <c r="Y89" s="138"/>
      <c r="Z89" s="138"/>
      <c r="AA89" s="138"/>
      <c r="AG89" s="138"/>
      <c r="AH89" s="138"/>
      <c r="AI89" s="138"/>
      <c r="AJ89" s="138"/>
    </row>
    <row r="90" spans="2:36">
      <c r="D90" s="138"/>
      <c r="E90" s="138"/>
      <c r="F90" s="138"/>
      <c r="H90" s="138"/>
      <c r="I90" s="138"/>
      <c r="J90" s="138"/>
      <c r="P90" s="138"/>
      <c r="Q90" s="138"/>
      <c r="S90" s="304"/>
      <c r="T90" s="138"/>
      <c r="U90" s="138"/>
      <c r="X90" s="304"/>
      <c r="Y90" s="138"/>
      <c r="Z90" s="138"/>
      <c r="AA90" s="138"/>
      <c r="AG90" s="138"/>
      <c r="AH90" s="138"/>
      <c r="AI90" s="138"/>
      <c r="AJ90" s="138"/>
    </row>
    <row r="91" spans="2:36">
      <c r="B91" s="366" t="s">
        <v>276</v>
      </c>
      <c r="C91" s="314">
        <f>SUM(C92:C100)</f>
        <v>6505.32</v>
      </c>
      <c r="D91" s="314">
        <f>SUM(D92:D100)</f>
        <v>6996</v>
      </c>
      <c r="E91" s="314">
        <f>SUM(E92:E100)</f>
        <v>1800</v>
      </c>
      <c r="F91" s="314">
        <f>SUM(F92:F100)</f>
        <v>3337.1</v>
      </c>
      <c r="H91" s="314">
        <f>SUM(H92:H100)</f>
        <v>682.4</v>
      </c>
      <c r="I91" s="314">
        <f t="shared" ref="I91" si="63">SUM(I92:I100)</f>
        <v>1870</v>
      </c>
      <c r="J91" s="314">
        <f>SUM(J92:J100)</f>
        <v>2700</v>
      </c>
      <c r="P91" s="314">
        <f>SUM(P92:P100)</f>
        <v>1200</v>
      </c>
      <c r="Q91" s="314">
        <f>SUM(Q92:Q100)</f>
        <v>1800</v>
      </c>
      <c r="S91" s="314">
        <f>SUM(S92:S100)</f>
        <v>5015.6000000000004</v>
      </c>
      <c r="T91" s="314">
        <f>SUM(T92:T100)</f>
        <v>870.36</v>
      </c>
      <c r="U91" s="314">
        <f>SUM(U92:U100)</f>
        <v>1906</v>
      </c>
      <c r="X91" s="314">
        <f>SUM(X92:X100)</f>
        <v>1370</v>
      </c>
      <c r="Y91" s="314">
        <f t="shared" ref="Y91:Z91" si="64">SUM(Y92:Y100)</f>
        <v>2030</v>
      </c>
      <c r="Z91" s="314">
        <f t="shared" si="64"/>
        <v>233</v>
      </c>
      <c r="AA91" s="314">
        <f>SUM(AA92:AA100)</f>
        <v>2550</v>
      </c>
      <c r="AG91" s="314">
        <f t="shared" ref="AG91:AJ91" si="65">SUM(AG92:AG100)</f>
        <v>1040</v>
      </c>
      <c r="AH91" s="314">
        <f t="shared" si="65"/>
        <v>376</v>
      </c>
      <c r="AI91" s="314">
        <f t="shared" si="65"/>
        <v>800</v>
      </c>
      <c r="AJ91" s="314">
        <f t="shared" si="65"/>
        <v>636</v>
      </c>
    </row>
    <row r="92" spans="2:36">
      <c r="B92" s="367" t="str">
        <f>B16</f>
        <v>произв класс 4</v>
      </c>
      <c r="C92" s="368">
        <f>C16</f>
        <v>138.69999999999999</v>
      </c>
      <c r="D92" s="368">
        <f>D16</f>
        <v>1112.2</v>
      </c>
      <c r="E92" s="368">
        <f>E16</f>
        <v>0</v>
      </c>
      <c r="F92" s="368">
        <f>F16</f>
        <v>0</v>
      </c>
      <c r="H92" s="368">
        <f t="shared" ref="H92:J95" si="66">H16</f>
        <v>682.4</v>
      </c>
      <c r="I92" s="368">
        <f t="shared" si="66"/>
        <v>110</v>
      </c>
      <c r="J92" s="368">
        <f t="shared" si="66"/>
        <v>0</v>
      </c>
      <c r="P92" s="368">
        <f t="shared" ref="P92:Q95" si="67">P16</f>
        <v>1200</v>
      </c>
      <c r="Q92" s="368">
        <f t="shared" si="67"/>
        <v>0</v>
      </c>
      <c r="S92" s="368">
        <f t="shared" ref="S92:U95" si="68">S16</f>
        <v>0</v>
      </c>
      <c r="T92" s="368">
        <f t="shared" si="68"/>
        <v>168</v>
      </c>
      <c r="U92" s="368">
        <f t="shared" si="68"/>
        <v>1260</v>
      </c>
      <c r="X92" s="368">
        <f t="shared" ref="X92:AA95" si="69">X16</f>
        <v>0</v>
      </c>
      <c r="Y92" s="368">
        <f t="shared" si="69"/>
        <v>2030</v>
      </c>
      <c r="Z92" s="368">
        <f t="shared" si="69"/>
        <v>0</v>
      </c>
      <c r="AA92" s="368">
        <f t="shared" si="69"/>
        <v>200</v>
      </c>
      <c r="AG92" s="368">
        <f t="shared" ref="AG92:AJ95" si="70">AG16</f>
        <v>0</v>
      </c>
      <c r="AH92" s="368">
        <f t="shared" si="70"/>
        <v>0</v>
      </c>
      <c r="AI92" s="368">
        <f t="shared" si="70"/>
        <v>0</v>
      </c>
      <c r="AJ92" s="368">
        <f t="shared" si="70"/>
        <v>0</v>
      </c>
    </row>
    <row r="93" spans="2:36">
      <c r="B93" s="367" t="str">
        <f t="shared" ref="B93:F100" si="71">B17</f>
        <v>произв класс 3</v>
      </c>
      <c r="C93" s="368">
        <f t="shared" si="71"/>
        <v>4519.7000000000007</v>
      </c>
      <c r="D93" s="368">
        <f t="shared" si="71"/>
        <v>5523.8</v>
      </c>
      <c r="E93" s="368">
        <f t="shared" si="71"/>
        <v>1776.9</v>
      </c>
      <c r="F93" s="368">
        <f t="shared" si="71"/>
        <v>0</v>
      </c>
      <c r="H93" s="368">
        <f t="shared" si="66"/>
        <v>0</v>
      </c>
      <c r="I93" s="368">
        <f t="shared" si="66"/>
        <v>1300</v>
      </c>
      <c r="J93" s="368">
        <f t="shared" si="66"/>
        <v>0</v>
      </c>
      <c r="P93" s="368">
        <f t="shared" si="67"/>
        <v>0</v>
      </c>
      <c r="Q93" s="368">
        <f t="shared" si="67"/>
        <v>0</v>
      </c>
      <c r="S93" s="368">
        <f t="shared" si="68"/>
        <v>1486.3</v>
      </c>
      <c r="T93" s="368">
        <f t="shared" si="68"/>
        <v>444.36</v>
      </c>
      <c r="U93" s="368">
        <f t="shared" si="68"/>
        <v>0</v>
      </c>
      <c r="X93" s="368">
        <f t="shared" si="69"/>
        <v>0</v>
      </c>
      <c r="Y93" s="368">
        <f t="shared" si="69"/>
        <v>0</v>
      </c>
      <c r="Z93" s="368">
        <f t="shared" si="69"/>
        <v>0</v>
      </c>
      <c r="AA93" s="368">
        <f t="shared" si="69"/>
        <v>0</v>
      </c>
      <c r="AG93" s="368">
        <f t="shared" si="70"/>
        <v>0</v>
      </c>
      <c r="AH93" s="368">
        <f t="shared" si="70"/>
        <v>376</v>
      </c>
      <c r="AI93" s="368">
        <f t="shared" si="70"/>
        <v>0</v>
      </c>
      <c r="AJ93" s="368">
        <f t="shared" si="70"/>
        <v>0</v>
      </c>
    </row>
    <row r="94" spans="2:36">
      <c r="B94" s="367" t="str">
        <f t="shared" si="71"/>
        <v>произв класс 2</v>
      </c>
      <c r="C94" s="368">
        <f t="shared" si="71"/>
        <v>1576.1</v>
      </c>
      <c r="D94" s="368">
        <f t="shared" si="71"/>
        <v>0</v>
      </c>
      <c r="E94" s="368">
        <f t="shared" si="71"/>
        <v>0</v>
      </c>
      <c r="F94" s="368">
        <f t="shared" si="71"/>
        <v>1947.1</v>
      </c>
      <c r="H94" s="368">
        <f t="shared" si="66"/>
        <v>0</v>
      </c>
      <c r="I94" s="368">
        <f t="shared" si="66"/>
        <v>0</v>
      </c>
      <c r="J94" s="368">
        <f t="shared" si="66"/>
        <v>2700</v>
      </c>
      <c r="P94" s="368">
        <f t="shared" si="67"/>
        <v>0</v>
      </c>
      <c r="Q94" s="368">
        <f t="shared" si="67"/>
        <v>1800</v>
      </c>
      <c r="S94" s="368">
        <f t="shared" si="68"/>
        <v>3529.3</v>
      </c>
      <c r="T94" s="368">
        <f t="shared" si="68"/>
        <v>30</v>
      </c>
      <c r="U94" s="368">
        <f t="shared" si="68"/>
        <v>646</v>
      </c>
      <c r="X94" s="368">
        <f t="shared" si="69"/>
        <v>1370</v>
      </c>
      <c r="Y94" s="368">
        <f t="shared" si="69"/>
        <v>0</v>
      </c>
      <c r="Z94" s="368">
        <f t="shared" si="69"/>
        <v>233</v>
      </c>
      <c r="AA94" s="368">
        <f t="shared" si="69"/>
        <v>2350</v>
      </c>
      <c r="AG94" s="368">
        <f t="shared" si="70"/>
        <v>1040</v>
      </c>
      <c r="AH94" s="368">
        <f t="shared" si="70"/>
        <v>0</v>
      </c>
      <c r="AI94" s="368">
        <f t="shared" si="70"/>
        <v>800</v>
      </c>
      <c r="AJ94" s="368">
        <f t="shared" si="70"/>
        <v>636</v>
      </c>
    </row>
    <row r="95" spans="2:36">
      <c r="B95" s="367" t="str">
        <f t="shared" si="71"/>
        <v>произв класс 1</v>
      </c>
      <c r="C95" s="368">
        <f t="shared" si="71"/>
        <v>0</v>
      </c>
      <c r="D95" s="368">
        <f t="shared" si="71"/>
        <v>0</v>
      </c>
      <c r="E95" s="368">
        <f t="shared" si="71"/>
        <v>0</v>
      </c>
      <c r="F95" s="368">
        <f t="shared" si="71"/>
        <v>0</v>
      </c>
      <c r="H95" s="368">
        <f t="shared" si="66"/>
        <v>0</v>
      </c>
      <c r="I95" s="368">
        <f t="shared" si="66"/>
        <v>460</v>
      </c>
      <c r="J95" s="368">
        <f t="shared" si="66"/>
        <v>0</v>
      </c>
      <c r="P95" s="368">
        <f t="shared" si="67"/>
        <v>0</v>
      </c>
      <c r="Q95" s="368">
        <f t="shared" si="67"/>
        <v>0</v>
      </c>
      <c r="S95" s="368">
        <f t="shared" si="68"/>
        <v>0</v>
      </c>
      <c r="T95" s="368">
        <f t="shared" si="68"/>
        <v>228</v>
      </c>
      <c r="U95" s="368">
        <f t="shared" si="68"/>
        <v>0</v>
      </c>
      <c r="X95" s="368">
        <f t="shared" si="69"/>
        <v>0</v>
      </c>
      <c r="Y95" s="368">
        <f t="shared" si="69"/>
        <v>0</v>
      </c>
      <c r="Z95" s="368">
        <f t="shared" si="69"/>
        <v>0</v>
      </c>
      <c r="AA95" s="368">
        <f t="shared" si="69"/>
        <v>0</v>
      </c>
      <c r="AG95" s="368">
        <f t="shared" si="70"/>
        <v>0</v>
      </c>
      <c r="AH95" s="368">
        <f t="shared" si="70"/>
        <v>0</v>
      </c>
      <c r="AI95" s="368">
        <f t="shared" si="70"/>
        <v>0</v>
      </c>
      <c r="AJ95" s="368">
        <f t="shared" si="70"/>
        <v>0</v>
      </c>
    </row>
    <row r="96" spans="2:36">
      <c r="B96" s="367" t="str">
        <f t="shared" si="71"/>
        <v>гражд класс 4</v>
      </c>
      <c r="C96" s="368">
        <f t="shared" si="71"/>
        <v>24.82</v>
      </c>
      <c r="D96" s="368">
        <f t="shared" si="71"/>
        <v>0</v>
      </c>
      <c r="E96" s="368">
        <f t="shared" si="71"/>
        <v>23.1</v>
      </c>
      <c r="F96" s="368">
        <f t="shared" si="71"/>
        <v>0</v>
      </c>
      <c r="H96" s="368"/>
      <c r="I96" s="368"/>
      <c r="J96" s="368"/>
      <c r="P96" s="368"/>
      <c r="Q96" s="368"/>
      <c r="S96" s="368"/>
      <c r="T96" s="368"/>
      <c r="U96" s="368"/>
      <c r="X96" s="368"/>
      <c r="Y96" s="368"/>
      <c r="Z96" s="368"/>
      <c r="AA96" s="368"/>
      <c r="AG96" s="368"/>
      <c r="AH96" s="368"/>
      <c r="AI96" s="368"/>
      <c r="AJ96" s="368"/>
    </row>
    <row r="97" spans="2:36">
      <c r="B97" s="367" t="str">
        <f t="shared" si="71"/>
        <v>гражд класс 3</v>
      </c>
      <c r="C97" s="368">
        <f t="shared" si="71"/>
        <v>221.2</v>
      </c>
      <c r="D97" s="368">
        <f t="shared" si="71"/>
        <v>360</v>
      </c>
      <c r="E97" s="368">
        <f t="shared" si="71"/>
        <v>0</v>
      </c>
      <c r="F97" s="368">
        <f t="shared" si="71"/>
        <v>1390</v>
      </c>
      <c r="H97" s="368"/>
      <c r="I97" s="368"/>
      <c r="J97" s="368"/>
      <c r="P97" s="368"/>
      <c r="Q97" s="368"/>
      <c r="S97" s="368"/>
      <c r="T97" s="368"/>
      <c r="U97" s="368"/>
      <c r="X97" s="368"/>
      <c r="Y97" s="368"/>
      <c r="Z97" s="368"/>
      <c r="AA97" s="368"/>
      <c r="AG97" s="368"/>
      <c r="AH97" s="368"/>
      <c r="AI97" s="368"/>
      <c r="AJ97" s="368"/>
    </row>
    <row r="98" spans="2:36">
      <c r="B98" s="367" t="str">
        <f t="shared" si="71"/>
        <v>гражд класс 2</v>
      </c>
      <c r="C98" s="368">
        <f t="shared" si="71"/>
        <v>0</v>
      </c>
      <c r="D98" s="368">
        <f t="shared" si="71"/>
        <v>0</v>
      </c>
      <c r="E98" s="368">
        <f t="shared" si="71"/>
        <v>0</v>
      </c>
      <c r="F98" s="368">
        <f t="shared" si="71"/>
        <v>0</v>
      </c>
      <c r="H98" s="368"/>
      <c r="I98" s="368"/>
      <c r="J98" s="368"/>
      <c r="P98" s="368"/>
      <c r="Q98" s="368"/>
      <c r="S98" s="368"/>
      <c r="T98" s="368"/>
      <c r="U98" s="368"/>
      <c r="X98" s="368"/>
      <c r="Y98" s="368"/>
      <c r="Z98" s="368"/>
      <c r="AA98" s="368"/>
      <c r="AG98" s="368"/>
      <c r="AH98" s="368"/>
      <c r="AI98" s="368"/>
      <c r="AJ98" s="368"/>
    </row>
    <row r="99" spans="2:36">
      <c r="B99" s="367" t="str">
        <f t="shared" si="71"/>
        <v>гражд класс 1</v>
      </c>
      <c r="C99" s="368">
        <f t="shared" si="71"/>
        <v>0</v>
      </c>
      <c r="D99" s="368">
        <f t="shared" si="71"/>
        <v>0</v>
      </c>
      <c r="E99" s="368">
        <f t="shared" si="71"/>
        <v>0</v>
      </c>
      <c r="F99" s="368">
        <f t="shared" si="71"/>
        <v>0</v>
      </c>
      <c r="H99" s="368"/>
      <c r="I99" s="368"/>
      <c r="J99" s="368"/>
      <c r="P99" s="368"/>
      <c r="Q99" s="368"/>
      <c r="S99" s="368"/>
      <c r="T99" s="368"/>
      <c r="U99" s="368"/>
      <c r="X99" s="368"/>
      <c r="Y99" s="368"/>
      <c r="Z99" s="368"/>
      <c r="AA99" s="368"/>
      <c r="AG99" s="368"/>
      <c r="AH99" s="368"/>
      <c r="AI99" s="368"/>
      <c r="AJ99" s="368"/>
    </row>
    <row r="100" spans="2:36">
      <c r="B100" s="367" t="str">
        <f t="shared" si="71"/>
        <v>прочие</v>
      </c>
      <c r="C100" s="368">
        <f t="shared" si="71"/>
        <v>24.8</v>
      </c>
      <c r="D100" s="368">
        <f t="shared" si="71"/>
        <v>0</v>
      </c>
      <c r="E100" s="368">
        <f t="shared" si="71"/>
        <v>0</v>
      </c>
      <c r="F100" s="368">
        <f t="shared" si="71"/>
        <v>0</v>
      </c>
      <c r="H100" s="368">
        <f t="shared" ref="H100:J100" si="72">H24</f>
        <v>0</v>
      </c>
      <c r="I100" s="368">
        <f t="shared" si="72"/>
        <v>0</v>
      </c>
      <c r="J100" s="368">
        <f t="shared" si="72"/>
        <v>0</v>
      </c>
      <c r="P100" s="368">
        <f>P24</f>
        <v>0</v>
      </c>
      <c r="Q100" s="368">
        <f t="shared" ref="Q100" si="73">Q24</f>
        <v>0</v>
      </c>
      <c r="S100" s="368">
        <f t="shared" ref="S100:U100" si="74">S24</f>
        <v>0</v>
      </c>
      <c r="T100" s="368">
        <f t="shared" si="74"/>
        <v>0</v>
      </c>
      <c r="U100" s="368">
        <f t="shared" si="74"/>
        <v>0</v>
      </c>
      <c r="X100" s="368">
        <f t="shared" ref="X100:AA100" si="75">X24</f>
        <v>0</v>
      </c>
      <c r="Y100" s="368">
        <f t="shared" si="75"/>
        <v>0</v>
      </c>
      <c r="Z100" s="368">
        <f t="shared" si="75"/>
        <v>0</v>
      </c>
      <c r="AA100" s="368">
        <f t="shared" si="75"/>
        <v>0</v>
      </c>
      <c r="AG100" s="368">
        <f t="shared" ref="AG100:AJ100" si="76">AG24</f>
        <v>0</v>
      </c>
      <c r="AH100" s="368">
        <f t="shared" si="76"/>
        <v>0</v>
      </c>
      <c r="AI100" s="368">
        <f t="shared" si="76"/>
        <v>0</v>
      </c>
      <c r="AJ100" s="368">
        <f t="shared" si="76"/>
        <v>0</v>
      </c>
    </row>
    <row r="101" spans="2:36">
      <c r="B101" s="278"/>
      <c r="C101" s="278"/>
      <c r="D101" s="278"/>
      <c r="E101" s="278"/>
      <c r="F101" s="278"/>
      <c r="H101" s="278"/>
      <c r="I101" s="278"/>
      <c r="J101" s="278"/>
      <c r="P101" s="278"/>
      <c r="Q101" s="278"/>
      <c r="S101" s="278"/>
      <c r="T101" s="278"/>
      <c r="U101" s="278"/>
      <c r="X101" s="278"/>
      <c r="Y101" s="278"/>
      <c r="Z101" s="278"/>
      <c r="AA101" s="278"/>
      <c r="AG101" s="278"/>
      <c r="AH101" s="278"/>
      <c r="AI101" s="278"/>
      <c r="AJ101" s="278"/>
    </row>
    <row r="102" spans="2:36">
      <c r="B102" s="278"/>
      <c r="C102" s="278"/>
      <c r="D102" s="278"/>
      <c r="E102" s="278"/>
      <c r="F102" s="278"/>
      <c r="H102" s="278"/>
      <c r="I102" s="278"/>
      <c r="J102" s="278"/>
      <c r="P102" s="278"/>
      <c r="Q102" s="278"/>
      <c r="S102" s="278"/>
      <c r="T102" s="278"/>
      <c r="U102" s="278"/>
      <c r="X102" s="278"/>
      <c r="Y102" s="278"/>
      <c r="Z102" s="278"/>
      <c r="AA102" s="278"/>
      <c r="AG102" s="278"/>
      <c r="AH102" s="278"/>
      <c r="AI102" s="278"/>
      <c r="AJ102" s="278"/>
    </row>
    <row r="103" spans="2:36">
      <c r="C103" s="278"/>
      <c r="D103" s="278"/>
      <c r="E103" s="278"/>
      <c r="F103" s="278"/>
      <c r="H103" s="278"/>
      <c r="I103" s="278"/>
      <c r="J103" s="278"/>
      <c r="P103" s="278"/>
      <c r="Q103" s="278"/>
      <c r="S103" s="278"/>
      <c r="T103" s="278"/>
      <c r="U103" s="278"/>
      <c r="X103" s="278"/>
      <c r="Y103" s="278"/>
      <c r="Z103" s="278"/>
      <c r="AA103" s="278"/>
      <c r="AG103" s="278"/>
      <c r="AH103" s="278"/>
      <c r="AI103" s="278"/>
      <c r="AJ103" s="278"/>
    </row>
    <row r="104" spans="2:36" ht="15.75">
      <c r="B104" s="379" t="s">
        <v>277</v>
      </c>
      <c r="C104" s="325"/>
      <c r="D104" s="325"/>
      <c r="E104" s="325"/>
      <c r="F104" s="325"/>
      <c r="H104" s="325"/>
      <c r="I104" s="325"/>
      <c r="J104" s="325"/>
      <c r="P104" s="325"/>
      <c r="Q104" s="325"/>
      <c r="S104" s="325"/>
      <c r="T104" s="325"/>
      <c r="U104" s="325"/>
      <c r="X104" s="325"/>
      <c r="Y104" s="325"/>
      <c r="Z104" s="325"/>
      <c r="AA104" s="325"/>
      <c r="AG104" s="325"/>
      <c r="AH104" s="325"/>
      <c r="AI104" s="325"/>
      <c r="AJ104" s="325"/>
    </row>
    <row r="105" spans="2:36">
      <c r="B105" s="147">
        <f>'1.1 Алыкулова'!A107</f>
        <v>0.33</v>
      </c>
      <c r="C105" s="318">
        <f>C92/C$91</f>
        <v>2.132101111090615E-2</v>
      </c>
      <c r="D105" s="318">
        <f>D92/D$91</f>
        <v>0.15897655803316182</v>
      </c>
      <c r="E105" s="318">
        <f>E92/E$91</f>
        <v>0</v>
      </c>
      <c r="F105" s="318">
        <f>F92/F$91</f>
        <v>0</v>
      </c>
      <c r="H105" s="318">
        <f t="shared" ref="H105:J108" si="77">H92/H$91</f>
        <v>1</v>
      </c>
      <c r="I105" s="318">
        <f t="shared" si="77"/>
        <v>5.8823529411764705E-2</v>
      </c>
      <c r="J105" s="318">
        <f t="shared" si="77"/>
        <v>0</v>
      </c>
      <c r="P105" s="318">
        <f t="shared" ref="P105:Q108" si="78">P92/P$91</f>
        <v>1</v>
      </c>
      <c r="Q105" s="318">
        <f t="shared" si="78"/>
        <v>0</v>
      </c>
      <c r="S105" s="318">
        <f t="shared" ref="S105:U108" si="79">S92/S$91</f>
        <v>0</v>
      </c>
      <c r="T105" s="318">
        <f t="shared" si="79"/>
        <v>0.19302357645112367</v>
      </c>
      <c r="U105" s="318">
        <f t="shared" si="79"/>
        <v>0.66107030430220359</v>
      </c>
      <c r="X105" s="318">
        <f t="shared" ref="X105:AA108" si="80">X92/X$91</f>
        <v>0</v>
      </c>
      <c r="Y105" s="318">
        <f t="shared" si="80"/>
        <v>1</v>
      </c>
      <c r="Z105" s="318">
        <f t="shared" si="80"/>
        <v>0</v>
      </c>
      <c r="AA105" s="318">
        <f t="shared" si="80"/>
        <v>7.8431372549019607E-2</v>
      </c>
      <c r="AG105" s="318">
        <f t="shared" ref="AG105:AJ108" si="81">AG92/AG$91</f>
        <v>0</v>
      </c>
      <c r="AH105" s="318">
        <f t="shared" si="81"/>
        <v>0</v>
      </c>
      <c r="AI105" s="318">
        <f t="shared" si="81"/>
        <v>0</v>
      </c>
      <c r="AJ105" s="318">
        <f t="shared" si="81"/>
        <v>0</v>
      </c>
    </row>
    <row r="106" spans="2:36">
      <c r="B106" s="147">
        <f>'1.1 Алыкулова'!A108</f>
        <v>0.55000000000000004</v>
      </c>
      <c r="C106" s="318">
        <f t="shared" ref="C106:F113" si="82">C93/C$91</f>
        <v>0.69476981916339253</v>
      </c>
      <c r="D106" s="318">
        <f t="shared" si="82"/>
        <v>0.78956546598056032</v>
      </c>
      <c r="E106" s="318">
        <f t="shared" si="82"/>
        <v>0.98716666666666675</v>
      </c>
      <c r="F106" s="318">
        <f t="shared" si="82"/>
        <v>0</v>
      </c>
      <c r="H106" s="318">
        <f t="shared" si="77"/>
        <v>0</v>
      </c>
      <c r="I106" s="318">
        <f t="shared" si="77"/>
        <v>0.69518716577540107</v>
      </c>
      <c r="J106" s="318">
        <f t="shared" si="77"/>
        <v>0</v>
      </c>
      <c r="P106" s="318">
        <f t="shared" si="78"/>
        <v>0</v>
      </c>
      <c r="Q106" s="318">
        <f t="shared" si="78"/>
        <v>0</v>
      </c>
      <c r="S106" s="318">
        <f t="shared" si="79"/>
        <v>0.29633543344764335</v>
      </c>
      <c r="T106" s="318">
        <f t="shared" si="79"/>
        <v>0.51054735971322207</v>
      </c>
      <c r="U106" s="318">
        <f t="shared" si="79"/>
        <v>0</v>
      </c>
      <c r="X106" s="318">
        <f t="shared" si="80"/>
        <v>0</v>
      </c>
      <c r="Y106" s="318">
        <f t="shared" si="80"/>
        <v>0</v>
      </c>
      <c r="Z106" s="318">
        <f t="shared" si="80"/>
        <v>0</v>
      </c>
      <c r="AA106" s="318">
        <f t="shared" si="80"/>
        <v>0</v>
      </c>
      <c r="AG106" s="318">
        <f t="shared" si="81"/>
        <v>0</v>
      </c>
      <c r="AH106" s="318">
        <f t="shared" si="81"/>
        <v>1</v>
      </c>
      <c r="AI106" s="318">
        <f t="shared" si="81"/>
        <v>0</v>
      </c>
      <c r="AJ106" s="318">
        <f t="shared" si="81"/>
        <v>0</v>
      </c>
    </row>
    <row r="107" spans="2:36">
      <c r="B107" s="147">
        <f>'1.1 Алыкулова'!A109</f>
        <v>0.77</v>
      </c>
      <c r="C107" s="318">
        <f t="shared" si="82"/>
        <v>0.24227862733885497</v>
      </c>
      <c r="D107" s="318">
        <f t="shared" si="82"/>
        <v>0</v>
      </c>
      <c r="E107" s="318">
        <f t="shared" si="82"/>
        <v>0</v>
      </c>
      <c r="F107" s="318">
        <f t="shared" si="82"/>
        <v>0.5834706781337089</v>
      </c>
      <c r="H107" s="318">
        <f t="shared" si="77"/>
        <v>0</v>
      </c>
      <c r="I107" s="318">
        <f t="shared" si="77"/>
        <v>0</v>
      </c>
      <c r="J107" s="318">
        <f t="shared" si="77"/>
        <v>1</v>
      </c>
      <c r="P107" s="318">
        <f t="shared" si="78"/>
        <v>0</v>
      </c>
      <c r="Q107" s="318">
        <f t="shared" si="78"/>
        <v>1</v>
      </c>
      <c r="S107" s="318">
        <f t="shared" si="79"/>
        <v>0.70366456655235665</v>
      </c>
      <c r="T107" s="318">
        <f t="shared" si="79"/>
        <v>3.4468495794843512E-2</v>
      </c>
      <c r="U107" s="318">
        <f t="shared" si="79"/>
        <v>0.33892969569779641</v>
      </c>
      <c r="X107" s="318">
        <f t="shared" si="80"/>
        <v>1</v>
      </c>
      <c r="Y107" s="318">
        <f t="shared" si="80"/>
        <v>0</v>
      </c>
      <c r="Z107" s="318">
        <f t="shared" si="80"/>
        <v>1</v>
      </c>
      <c r="AA107" s="318">
        <f t="shared" si="80"/>
        <v>0.92156862745098034</v>
      </c>
      <c r="AG107" s="318">
        <f t="shared" si="81"/>
        <v>1</v>
      </c>
      <c r="AH107" s="318">
        <f t="shared" si="81"/>
        <v>0</v>
      </c>
      <c r="AI107" s="318">
        <f t="shared" si="81"/>
        <v>1</v>
      </c>
      <c r="AJ107" s="318">
        <f t="shared" si="81"/>
        <v>1</v>
      </c>
    </row>
    <row r="108" spans="2:36">
      <c r="B108" s="147">
        <f>'1.1 Алыкулова'!A110</f>
        <v>1</v>
      </c>
      <c r="C108" s="318">
        <f t="shared" si="82"/>
        <v>0</v>
      </c>
      <c r="D108" s="318">
        <f t="shared" si="82"/>
        <v>0</v>
      </c>
      <c r="E108" s="318">
        <f t="shared" si="82"/>
        <v>0</v>
      </c>
      <c r="F108" s="318">
        <f t="shared" si="82"/>
        <v>0</v>
      </c>
      <c r="H108" s="318">
        <f t="shared" si="77"/>
        <v>0</v>
      </c>
      <c r="I108" s="318">
        <f t="shared" si="77"/>
        <v>0.24598930481283424</v>
      </c>
      <c r="J108" s="318">
        <f t="shared" si="77"/>
        <v>0</v>
      </c>
      <c r="P108" s="318">
        <f t="shared" si="78"/>
        <v>0</v>
      </c>
      <c r="Q108" s="318">
        <f t="shared" si="78"/>
        <v>0</v>
      </c>
      <c r="S108" s="318">
        <f t="shared" si="79"/>
        <v>0</v>
      </c>
      <c r="T108" s="318">
        <f t="shared" si="79"/>
        <v>0.26196056804081069</v>
      </c>
      <c r="U108" s="318">
        <f t="shared" si="79"/>
        <v>0</v>
      </c>
      <c r="X108" s="318">
        <f t="shared" si="80"/>
        <v>0</v>
      </c>
      <c r="Y108" s="318">
        <f t="shared" si="80"/>
        <v>0</v>
      </c>
      <c r="Z108" s="318">
        <f t="shared" si="80"/>
        <v>0</v>
      </c>
      <c r="AA108" s="318">
        <f t="shared" si="80"/>
        <v>0</v>
      </c>
      <c r="AG108" s="318">
        <f t="shared" si="81"/>
        <v>0</v>
      </c>
      <c r="AH108" s="318">
        <f t="shared" si="81"/>
        <v>0</v>
      </c>
      <c r="AI108" s="318">
        <f t="shared" si="81"/>
        <v>0</v>
      </c>
      <c r="AJ108" s="318">
        <f t="shared" si="81"/>
        <v>0</v>
      </c>
    </row>
    <row r="109" spans="2:36">
      <c r="B109" s="147">
        <f>'1.1 Алыкулова'!A111</f>
        <v>0.33</v>
      </c>
      <c r="C109" s="318">
        <f t="shared" si="82"/>
        <v>3.8153388303726796E-3</v>
      </c>
      <c r="D109" s="318">
        <f t="shared" si="82"/>
        <v>0</v>
      </c>
      <c r="E109" s="318">
        <f t="shared" si="82"/>
        <v>1.2833333333333334E-2</v>
      </c>
      <c r="F109" s="318">
        <f t="shared" si="82"/>
        <v>0</v>
      </c>
      <c r="H109" s="318"/>
      <c r="I109" s="318"/>
      <c r="J109" s="318"/>
      <c r="P109" s="318"/>
      <c r="Q109" s="318"/>
      <c r="S109" s="318"/>
      <c r="T109" s="318"/>
      <c r="U109" s="318"/>
      <c r="X109" s="318"/>
      <c r="Y109" s="318"/>
      <c r="Z109" s="318"/>
      <c r="AA109" s="318"/>
      <c r="AG109" s="318"/>
      <c r="AH109" s="318"/>
      <c r="AI109" s="318"/>
      <c r="AJ109" s="318"/>
    </row>
    <row r="110" spans="2:36">
      <c r="B110" s="147">
        <f>'1.1 Алыкулова'!A112</f>
        <v>0.55000000000000004</v>
      </c>
      <c r="C110" s="318">
        <f t="shared" si="82"/>
        <v>3.400293913289431E-2</v>
      </c>
      <c r="D110" s="318">
        <f t="shared" si="82"/>
        <v>5.1457975986277875E-2</v>
      </c>
      <c r="E110" s="318">
        <f t="shared" si="82"/>
        <v>0</v>
      </c>
      <c r="F110" s="318">
        <f t="shared" si="82"/>
        <v>0.4165293218662911</v>
      </c>
      <c r="H110" s="318"/>
      <c r="I110" s="318"/>
      <c r="J110" s="318"/>
      <c r="P110" s="318"/>
      <c r="Q110" s="318"/>
      <c r="S110" s="318"/>
      <c r="T110" s="318"/>
      <c r="U110" s="318"/>
      <c r="X110" s="318"/>
      <c r="Y110" s="318"/>
      <c r="Z110" s="318"/>
      <c r="AA110" s="318"/>
      <c r="AG110" s="318"/>
      <c r="AH110" s="318"/>
      <c r="AI110" s="318"/>
      <c r="AJ110" s="318"/>
    </row>
    <row r="111" spans="2:36">
      <c r="B111" s="147">
        <f>'1.1 Алыкулова'!A113</f>
        <v>0.77</v>
      </c>
      <c r="C111" s="318">
        <f t="shared" si="82"/>
        <v>0</v>
      </c>
      <c r="D111" s="318">
        <f t="shared" si="82"/>
        <v>0</v>
      </c>
      <c r="E111" s="318">
        <f t="shared" si="82"/>
        <v>0</v>
      </c>
      <c r="F111" s="318">
        <f t="shared" si="82"/>
        <v>0</v>
      </c>
      <c r="H111" s="318"/>
      <c r="I111" s="318"/>
      <c r="J111" s="318"/>
      <c r="P111" s="318"/>
      <c r="Q111" s="318"/>
      <c r="S111" s="318"/>
      <c r="T111" s="318"/>
      <c r="U111" s="318"/>
      <c r="X111" s="318"/>
      <c r="Y111" s="318"/>
      <c r="Z111" s="318"/>
      <c r="AA111" s="318"/>
      <c r="AG111" s="318"/>
      <c r="AH111" s="318"/>
      <c r="AI111" s="318"/>
      <c r="AJ111" s="318"/>
    </row>
    <row r="112" spans="2:36">
      <c r="B112" s="147">
        <f>'1.1 Алыкулова'!A114</f>
        <v>1</v>
      </c>
      <c r="C112" s="318">
        <f t="shared" si="82"/>
        <v>0</v>
      </c>
      <c r="D112" s="318">
        <f t="shared" si="82"/>
        <v>0</v>
      </c>
      <c r="E112" s="318">
        <f t="shared" si="82"/>
        <v>0</v>
      </c>
      <c r="F112" s="318">
        <f t="shared" si="82"/>
        <v>0</v>
      </c>
      <c r="H112" s="318"/>
      <c r="I112" s="318"/>
      <c r="J112" s="318"/>
      <c r="P112" s="318"/>
      <c r="Q112" s="318"/>
      <c r="S112" s="318"/>
      <c r="T112" s="318"/>
      <c r="U112" s="318"/>
      <c r="X112" s="318"/>
      <c r="Y112" s="318"/>
      <c r="Z112" s="318"/>
      <c r="AA112" s="318"/>
      <c r="AG112" s="318"/>
      <c r="AH112" s="318"/>
      <c r="AI112" s="318"/>
      <c r="AJ112" s="318"/>
    </row>
    <row r="113" spans="2:36">
      <c r="B113" s="147">
        <f>'1.1 Алыкулова'!A115</f>
        <v>0.05</v>
      </c>
      <c r="C113" s="318">
        <f t="shared" si="82"/>
        <v>3.8122644235794706E-3</v>
      </c>
      <c r="D113" s="318">
        <f t="shared" si="82"/>
        <v>0</v>
      </c>
      <c r="E113" s="318">
        <f t="shared" si="82"/>
        <v>0</v>
      </c>
      <c r="F113" s="318">
        <f t="shared" si="82"/>
        <v>0</v>
      </c>
      <c r="H113" s="318">
        <f t="shared" ref="H113:J113" si="83">H100/H$91</f>
        <v>0</v>
      </c>
      <c r="I113" s="318">
        <f t="shared" si="83"/>
        <v>0</v>
      </c>
      <c r="J113" s="318">
        <f t="shared" si="83"/>
        <v>0</v>
      </c>
      <c r="P113" s="318">
        <f t="shared" ref="P113:Q113" si="84">P100/P$91</f>
        <v>0</v>
      </c>
      <c r="Q113" s="318">
        <f t="shared" si="84"/>
        <v>0</v>
      </c>
      <c r="S113" s="318">
        <f t="shared" ref="S113:U113" si="85">S100/S$91</f>
        <v>0</v>
      </c>
      <c r="T113" s="318">
        <f t="shared" si="85"/>
        <v>0</v>
      </c>
      <c r="U113" s="318">
        <f t="shared" si="85"/>
        <v>0</v>
      </c>
      <c r="X113" s="318">
        <f t="shared" ref="X113:AA113" si="86">X100/X$91</f>
        <v>0</v>
      </c>
      <c r="Y113" s="318">
        <f t="shared" si="86"/>
        <v>0</v>
      </c>
      <c r="Z113" s="318">
        <f t="shared" si="86"/>
        <v>0</v>
      </c>
      <c r="AA113" s="318">
        <f t="shared" si="86"/>
        <v>0</v>
      </c>
      <c r="AG113" s="318">
        <f t="shared" ref="AG113:AJ113" si="87">AG100/AG$91</f>
        <v>0</v>
      </c>
      <c r="AH113" s="318">
        <f t="shared" si="87"/>
        <v>0</v>
      </c>
      <c r="AI113" s="318">
        <f t="shared" si="87"/>
        <v>0</v>
      </c>
      <c r="AJ113" s="318">
        <f t="shared" si="87"/>
        <v>0</v>
      </c>
    </row>
    <row r="114" spans="2:36">
      <c r="C114" s="281"/>
      <c r="D114" s="281"/>
      <c r="E114" s="281"/>
      <c r="F114" s="281"/>
      <c r="H114" s="281"/>
      <c r="I114" s="281"/>
      <c r="J114" s="281"/>
      <c r="P114" s="281"/>
      <c r="Q114" s="281"/>
      <c r="S114" s="281"/>
      <c r="T114" s="281"/>
      <c r="U114" s="281"/>
      <c r="X114" s="281"/>
      <c r="Y114" s="281"/>
      <c r="Z114" s="281"/>
      <c r="AA114" s="281"/>
      <c r="AG114" s="281"/>
      <c r="AH114" s="281"/>
      <c r="AI114" s="281"/>
      <c r="AJ114" s="281"/>
    </row>
    <row r="115" spans="2:36">
      <c r="C115" s="281"/>
      <c r="D115" s="278"/>
      <c r="E115" s="278"/>
      <c r="F115" s="278"/>
      <c r="H115" s="278"/>
      <c r="I115" s="278"/>
      <c r="J115" s="278"/>
      <c r="P115" s="278"/>
      <c r="Q115" s="278"/>
      <c r="S115" s="278"/>
      <c r="T115" s="278"/>
      <c r="U115" s="278"/>
      <c r="X115" s="278"/>
      <c r="Y115" s="278"/>
      <c r="Z115" s="278"/>
      <c r="AA115" s="278"/>
      <c r="AG115" s="278"/>
      <c r="AH115" s="278"/>
      <c r="AI115" s="278"/>
      <c r="AJ115" s="278"/>
    </row>
    <row r="116" spans="2:36">
      <c r="B116" s="322" t="s">
        <v>278</v>
      </c>
      <c r="C116" s="147">
        <f>$B105*C105</f>
        <v>7.0359336665990297E-3</v>
      </c>
      <c r="D116" s="147">
        <f>$B105*D105</f>
        <v>5.2462264150943405E-2</v>
      </c>
      <c r="E116" s="147">
        <f>$B105*E105</f>
        <v>0</v>
      </c>
      <c r="F116" s="147">
        <f>$B105*F105</f>
        <v>0</v>
      </c>
      <c r="H116" s="147">
        <f t="shared" ref="H116:J119" si="88">$B105*H105</f>
        <v>0.33</v>
      </c>
      <c r="I116" s="147">
        <f t="shared" si="88"/>
        <v>1.9411764705882354E-2</v>
      </c>
      <c r="J116" s="147">
        <f t="shared" si="88"/>
        <v>0</v>
      </c>
      <c r="P116" s="147">
        <f t="shared" ref="P116:Q119" si="89">$B105*P105</f>
        <v>0.33</v>
      </c>
      <c r="Q116" s="147">
        <f t="shared" si="89"/>
        <v>0</v>
      </c>
      <c r="S116" s="147">
        <f t="shared" ref="S116:U119" si="90">$B105*S105</f>
        <v>0</v>
      </c>
      <c r="T116" s="147">
        <f t="shared" si="90"/>
        <v>6.3697780228870807E-2</v>
      </c>
      <c r="U116" s="147">
        <f t="shared" si="90"/>
        <v>0.21815320041972719</v>
      </c>
      <c r="X116" s="147">
        <f t="shared" ref="X116:AA119" si="91">$B105*X105</f>
        <v>0</v>
      </c>
      <c r="Y116" s="147">
        <f t="shared" si="91"/>
        <v>0.33</v>
      </c>
      <c r="Z116" s="147">
        <f t="shared" si="91"/>
        <v>0</v>
      </c>
      <c r="AA116" s="147">
        <f t="shared" si="91"/>
        <v>2.5882352941176471E-2</v>
      </c>
      <c r="AG116" s="147">
        <f t="shared" ref="AG116:AJ119" si="92">$B105*AG105</f>
        <v>0</v>
      </c>
      <c r="AH116" s="147">
        <f t="shared" si="92"/>
        <v>0</v>
      </c>
      <c r="AI116" s="147">
        <f t="shared" si="92"/>
        <v>0</v>
      </c>
      <c r="AJ116" s="147">
        <f t="shared" si="92"/>
        <v>0</v>
      </c>
    </row>
    <row r="117" spans="2:36">
      <c r="B117" s="334"/>
      <c r="C117" s="147">
        <f t="shared" ref="C117:F124" si="93">$B106*C106</f>
        <v>0.38212340053986593</v>
      </c>
      <c r="D117" s="147">
        <f t="shared" si="93"/>
        <v>0.43426100628930819</v>
      </c>
      <c r="E117" s="147">
        <f t="shared" si="93"/>
        <v>0.54294166666666677</v>
      </c>
      <c r="F117" s="147">
        <f t="shared" si="93"/>
        <v>0</v>
      </c>
      <c r="H117" s="147">
        <f t="shared" si="88"/>
        <v>0</v>
      </c>
      <c r="I117" s="147">
        <f t="shared" si="88"/>
        <v>0.38235294117647062</v>
      </c>
      <c r="J117" s="147">
        <f t="shared" si="88"/>
        <v>0</v>
      </c>
      <c r="P117" s="147">
        <f t="shared" si="89"/>
        <v>0</v>
      </c>
      <c r="Q117" s="147">
        <f t="shared" si="89"/>
        <v>0</v>
      </c>
      <c r="S117" s="147">
        <f t="shared" si="90"/>
        <v>0.16298448839620386</v>
      </c>
      <c r="T117" s="147">
        <f t="shared" si="90"/>
        <v>0.28080104784227217</v>
      </c>
      <c r="U117" s="147">
        <f t="shared" si="90"/>
        <v>0</v>
      </c>
      <c r="X117" s="147">
        <f t="shared" si="91"/>
        <v>0</v>
      </c>
      <c r="Y117" s="147">
        <f t="shared" si="91"/>
        <v>0</v>
      </c>
      <c r="Z117" s="147">
        <f t="shared" si="91"/>
        <v>0</v>
      </c>
      <c r="AA117" s="147">
        <f t="shared" si="91"/>
        <v>0</v>
      </c>
      <c r="AG117" s="147">
        <f t="shared" si="92"/>
        <v>0</v>
      </c>
      <c r="AH117" s="147">
        <f t="shared" si="92"/>
        <v>0.55000000000000004</v>
      </c>
      <c r="AI117" s="147">
        <f t="shared" si="92"/>
        <v>0</v>
      </c>
      <c r="AJ117" s="147">
        <f t="shared" si="92"/>
        <v>0</v>
      </c>
    </row>
    <row r="118" spans="2:36">
      <c r="B118" s="334"/>
      <c r="C118" s="147">
        <f t="shared" si="93"/>
        <v>0.18655454305091834</v>
      </c>
      <c r="D118" s="147">
        <f t="shared" si="93"/>
        <v>0</v>
      </c>
      <c r="E118" s="147">
        <f t="shared" si="93"/>
        <v>0</v>
      </c>
      <c r="F118" s="147">
        <f t="shared" si="93"/>
        <v>0.44927242216295588</v>
      </c>
      <c r="H118" s="147">
        <f t="shared" si="88"/>
        <v>0</v>
      </c>
      <c r="I118" s="147">
        <f t="shared" si="88"/>
        <v>0</v>
      </c>
      <c r="J118" s="147">
        <f t="shared" si="88"/>
        <v>0.77</v>
      </c>
      <c r="P118" s="147">
        <f t="shared" si="89"/>
        <v>0</v>
      </c>
      <c r="Q118" s="147">
        <f t="shared" si="89"/>
        <v>0.77</v>
      </c>
      <c r="S118" s="147">
        <f t="shared" si="90"/>
        <v>0.54182171624531461</v>
      </c>
      <c r="T118" s="147">
        <f t="shared" si="90"/>
        <v>2.6540741762029505E-2</v>
      </c>
      <c r="U118" s="147">
        <f t="shared" si="90"/>
        <v>0.26097586568730324</v>
      </c>
      <c r="X118" s="147">
        <f t="shared" si="91"/>
        <v>0.77</v>
      </c>
      <c r="Y118" s="147">
        <f t="shared" si="91"/>
        <v>0</v>
      </c>
      <c r="Z118" s="147">
        <f t="shared" si="91"/>
        <v>0.77</v>
      </c>
      <c r="AA118" s="147">
        <f t="shared" si="91"/>
        <v>0.70960784313725489</v>
      </c>
      <c r="AG118" s="147">
        <f t="shared" si="92"/>
        <v>0.77</v>
      </c>
      <c r="AH118" s="147">
        <f t="shared" si="92"/>
        <v>0</v>
      </c>
      <c r="AI118" s="147">
        <f t="shared" si="92"/>
        <v>0.77</v>
      </c>
      <c r="AJ118" s="147">
        <f t="shared" si="92"/>
        <v>0.77</v>
      </c>
    </row>
    <row r="119" spans="2:36">
      <c r="B119" s="334"/>
      <c r="C119" s="147">
        <f t="shared" si="93"/>
        <v>0</v>
      </c>
      <c r="D119" s="147">
        <f t="shared" si="93"/>
        <v>0</v>
      </c>
      <c r="E119" s="147">
        <f t="shared" si="93"/>
        <v>0</v>
      </c>
      <c r="F119" s="147">
        <f t="shared" si="93"/>
        <v>0</v>
      </c>
      <c r="H119" s="147">
        <f t="shared" si="88"/>
        <v>0</v>
      </c>
      <c r="I119" s="147">
        <f t="shared" si="88"/>
        <v>0.24598930481283424</v>
      </c>
      <c r="J119" s="147">
        <f t="shared" si="88"/>
        <v>0</v>
      </c>
      <c r="P119" s="147">
        <f t="shared" si="89"/>
        <v>0</v>
      </c>
      <c r="Q119" s="147">
        <f t="shared" si="89"/>
        <v>0</v>
      </c>
      <c r="S119" s="147">
        <f t="shared" si="90"/>
        <v>0</v>
      </c>
      <c r="T119" s="147">
        <f t="shared" si="90"/>
        <v>0.26196056804081069</v>
      </c>
      <c r="U119" s="147">
        <f t="shared" si="90"/>
        <v>0</v>
      </c>
      <c r="X119" s="147">
        <f t="shared" si="91"/>
        <v>0</v>
      </c>
      <c r="Y119" s="147">
        <f t="shared" si="91"/>
        <v>0</v>
      </c>
      <c r="Z119" s="147">
        <f t="shared" si="91"/>
        <v>0</v>
      </c>
      <c r="AA119" s="147">
        <f t="shared" si="91"/>
        <v>0</v>
      </c>
      <c r="AG119" s="147">
        <f t="shared" si="92"/>
        <v>0</v>
      </c>
      <c r="AH119" s="147">
        <f t="shared" si="92"/>
        <v>0</v>
      </c>
      <c r="AI119" s="147">
        <f t="shared" si="92"/>
        <v>0</v>
      </c>
      <c r="AJ119" s="147">
        <f t="shared" si="92"/>
        <v>0</v>
      </c>
    </row>
    <row r="120" spans="2:36">
      <c r="B120" s="334"/>
      <c r="C120" s="147">
        <f t="shared" si="93"/>
        <v>1.2590618140229843E-3</v>
      </c>
      <c r="D120" s="147">
        <f t="shared" si="93"/>
        <v>0</v>
      </c>
      <c r="E120" s="147">
        <f t="shared" si="93"/>
        <v>4.235E-3</v>
      </c>
      <c r="F120" s="147">
        <f t="shared" si="93"/>
        <v>0</v>
      </c>
      <c r="H120" s="147"/>
      <c r="I120" s="147"/>
      <c r="J120" s="147"/>
      <c r="P120" s="147"/>
      <c r="Q120" s="147"/>
      <c r="S120" s="147"/>
      <c r="T120" s="147"/>
      <c r="U120" s="147"/>
      <c r="X120" s="147"/>
      <c r="Y120" s="147"/>
      <c r="Z120" s="147"/>
      <c r="AA120" s="147"/>
      <c r="AG120" s="147"/>
      <c r="AH120" s="147"/>
      <c r="AI120" s="147"/>
      <c r="AJ120" s="147"/>
    </row>
    <row r="121" spans="2:36">
      <c r="B121" s="334"/>
      <c r="C121" s="147">
        <f t="shared" si="93"/>
        <v>1.8701616523091873E-2</v>
      </c>
      <c r="D121" s="147">
        <f t="shared" si="93"/>
        <v>2.8301886792452834E-2</v>
      </c>
      <c r="E121" s="147">
        <f t="shared" si="93"/>
        <v>0</v>
      </c>
      <c r="F121" s="147">
        <f t="shared" si="93"/>
        <v>0.22909112702646012</v>
      </c>
      <c r="H121" s="147"/>
      <c r="I121" s="147"/>
      <c r="J121" s="147"/>
      <c r="P121" s="147"/>
      <c r="Q121" s="147"/>
      <c r="S121" s="147"/>
      <c r="T121" s="147"/>
      <c r="U121" s="147"/>
      <c r="X121" s="147"/>
      <c r="Y121" s="147"/>
      <c r="Z121" s="147"/>
      <c r="AA121" s="147"/>
      <c r="AG121" s="147"/>
      <c r="AH121" s="147"/>
      <c r="AI121" s="147"/>
      <c r="AJ121" s="147"/>
    </row>
    <row r="122" spans="2:36">
      <c r="B122" s="334"/>
      <c r="C122" s="147">
        <f t="shared" si="93"/>
        <v>0</v>
      </c>
      <c r="D122" s="147">
        <f t="shared" si="93"/>
        <v>0</v>
      </c>
      <c r="E122" s="147">
        <f t="shared" si="93"/>
        <v>0</v>
      </c>
      <c r="F122" s="147">
        <f t="shared" si="93"/>
        <v>0</v>
      </c>
      <c r="H122" s="147"/>
      <c r="I122" s="147"/>
      <c r="J122" s="147"/>
      <c r="P122" s="147"/>
      <c r="Q122" s="147"/>
      <c r="S122" s="147"/>
      <c r="T122" s="147"/>
      <c r="U122" s="147"/>
      <c r="X122" s="147"/>
      <c r="Y122" s="147"/>
      <c r="Z122" s="147"/>
      <c r="AA122" s="147"/>
      <c r="AG122" s="147"/>
      <c r="AH122" s="147"/>
      <c r="AI122" s="147"/>
      <c r="AJ122" s="147"/>
    </row>
    <row r="123" spans="2:36">
      <c r="B123" s="334"/>
      <c r="C123" s="147">
        <f t="shared" si="93"/>
        <v>0</v>
      </c>
      <c r="D123" s="147">
        <f t="shared" si="93"/>
        <v>0</v>
      </c>
      <c r="E123" s="147">
        <f t="shared" si="93"/>
        <v>0</v>
      </c>
      <c r="F123" s="147">
        <f t="shared" si="93"/>
        <v>0</v>
      </c>
      <c r="H123" s="147"/>
      <c r="I123" s="147"/>
      <c r="J123" s="147"/>
      <c r="P123" s="147"/>
      <c r="Q123" s="147"/>
      <c r="S123" s="147"/>
      <c r="T123" s="147"/>
      <c r="U123" s="147"/>
      <c r="X123" s="147"/>
      <c r="Y123" s="147"/>
      <c r="Z123" s="147"/>
      <c r="AA123" s="147"/>
      <c r="AG123" s="147"/>
      <c r="AH123" s="147"/>
      <c r="AI123" s="147"/>
      <c r="AJ123" s="147"/>
    </row>
    <row r="124" spans="2:36">
      <c r="B124" s="334"/>
      <c r="C124" s="147">
        <f t="shared" si="93"/>
        <v>1.9061322117897353E-4</v>
      </c>
      <c r="D124" s="147">
        <f t="shared" si="93"/>
        <v>0</v>
      </c>
      <c r="E124" s="147">
        <f t="shared" si="93"/>
        <v>0</v>
      </c>
      <c r="F124" s="147">
        <f t="shared" si="93"/>
        <v>0</v>
      </c>
      <c r="H124" s="147">
        <f t="shared" ref="H124:J124" si="94">$B113*H113</f>
        <v>0</v>
      </c>
      <c r="I124" s="147">
        <f t="shared" si="94"/>
        <v>0</v>
      </c>
      <c r="J124" s="147">
        <f t="shared" si="94"/>
        <v>0</v>
      </c>
      <c r="P124" s="147">
        <f t="shared" ref="P124:Q124" si="95">$B113*P113</f>
        <v>0</v>
      </c>
      <c r="Q124" s="147">
        <f t="shared" si="95"/>
        <v>0</v>
      </c>
      <c r="S124" s="147">
        <f t="shared" ref="S124:U124" si="96">$B113*S113</f>
        <v>0</v>
      </c>
      <c r="T124" s="147">
        <f t="shared" si="96"/>
        <v>0</v>
      </c>
      <c r="U124" s="147">
        <f t="shared" si="96"/>
        <v>0</v>
      </c>
      <c r="X124" s="147">
        <f t="shared" ref="X124:AA124" si="97">$B113*X113</f>
        <v>0</v>
      </c>
      <c r="Y124" s="147">
        <f t="shared" si="97"/>
        <v>0</v>
      </c>
      <c r="Z124" s="147">
        <f t="shared" si="97"/>
        <v>0</v>
      </c>
      <c r="AA124" s="147">
        <f t="shared" si="97"/>
        <v>0</v>
      </c>
      <c r="AG124" s="147">
        <f t="shared" ref="AG124:AJ124" si="98">$B113*AG113</f>
        <v>0</v>
      </c>
      <c r="AH124" s="147">
        <f t="shared" si="98"/>
        <v>0</v>
      </c>
      <c r="AI124" s="147">
        <f t="shared" si="98"/>
        <v>0</v>
      </c>
      <c r="AJ124" s="147">
        <f t="shared" si="98"/>
        <v>0</v>
      </c>
    </row>
    <row r="125" spans="2:36">
      <c r="B125" s="320" t="s">
        <v>279</v>
      </c>
      <c r="C125" s="321">
        <f>SUM(C116:C124)</f>
        <v>0.59586516881567719</v>
      </c>
      <c r="D125" s="321">
        <f>SUM(D116:D124)</f>
        <v>0.51502515723270448</v>
      </c>
      <c r="E125" s="321">
        <f>SUM(E116:E124)</f>
        <v>0.54717666666666676</v>
      </c>
      <c r="F125" s="321">
        <f>SUM(F116:F124)</f>
        <v>0.67836354918941599</v>
      </c>
      <c r="H125" s="321">
        <f>SUM(H116:H124)</f>
        <v>0.33</v>
      </c>
      <c r="I125" s="321">
        <f t="shared" ref="I125" si="99">SUM(I116:I124)</f>
        <v>0.64775401069518723</v>
      </c>
      <c r="J125" s="321">
        <f>SUM(J116:J124)</f>
        <v>0.77</v>
      </c>
      <c r="P125" s="321">
        <f>SUM(P116:P124)</f>
        <v>0.33</v>
      </c>
      <c r="Q125" s="321">
        <f>SUM(Q116:Q124)</f>
        <v>0.77</v>
      </c>
      <c r="S125" s="321">
        <f>SUM(S116:S124)</f>
        <v>0.70480620464151844</v>
      </c>
      <c r="T125" s="321">
        <f>SUM(T116:T124)</f>
        <v>0.63300013787398313</v>
      </c>
      <c r="U125" s="321">
        <f>SUM(U116:U124)</f>
        <v>0.47912906610703043</v>
      </c>
      <c r="X125" s="321">
        <f>SUM(X116:X124)</f>
        <v>0.77</v>
      </c>
      <c r="Y125" s="321">
        <f t="shared" ref="Y125:Z125" si="100">SUM(Y116:Y124)</f>
        <v>0.33</v>
      </c>
      <c r="Z125" s="321">
        <f t="shared" si="100"/>
        <v>0.77</v>
      </c>
      <c r="AA125" s="321">
        <f>SUM(AA116:AA124)</f>
        <v>0.73549019607843136</v>
      </c>
      <c r="AG125" s="321">
        <f t="shared" ref="AG125:AJ125" si="101">SUM(AG116:AG124)</f>
        <v>0.77</v>
      </c>
      <c r="AH125" s="321">
        <f t="shared" si="101"/>
        <v>0.55000000000000004</v>
      </c>
      <c r="AI125" s="321">
        <f t="shared" si="101"/>
        <v>0.77</v>
      </c>
      <c r="AJ125" s="321">
        <f t="shared" si="101"/>
        <v>0.77</v>
      </c>
    </row>
    <row r="126" spans="2:36">
      <c r="B126" s="322" t="s">
        <v>280</v>
      </c>
      <c r="C126" s="323"/>
      <c r="D126" s="324">
        <f>$C$125/D125</f>
        <v>1.1569632287815539</v>
      </c>
      <c r="E126" s="324">
        <f>$C$125/E125</f>
        <v>1.0889813201385483</v>
      </c>
      <c r="F126" s="324">
        <f>$C$125/F125</f>
        <v>0.87838618323122308</v>
      </c>
      <c r="H126" s="324">
        <f>$C$125/H125</f>
        <v>1.8056520267141731</v>
      </c>
      <c r="I126" s="324">
        <f>$C$125/I125</f>
        <v>0.91989421752275757</v>
      </c>
      <c r="J126" s="324">
        <f>$C$125/J125</f>
        <v>0.77385086859178853</v>
      </c>
      <c r="P126" s="324">
        <f>$C$125/P125</f>
        <v>1.8056520267141731</v>
      </c>
      <c r="Q126" s="324">
        <f>$C$125/Q125</f>
        <v>0.77385086859178853</v>
      </c>
      <c r="S126" s="324">
        <f>$C$125/S125</f>
        <v>0.84543121909482721</v>
      </c>
      <c r="T126" s="324">
        <f>$C$125/T125</f>
        <v>0.94133497477105021</v>
      </c>
      <c r="U126" s="324">
        <f>$C$125/U125</f>
        <v>1.2436422896593162</v>
      </c>
      <c r="X126" s="324">
        <f>$C$125/X125</f>
        <v>0.77385086859178853</v>
      </c>
      <c r="Y126" s="324">
        <f>$C$125/Y125</f>
        <v>1.8056520267141731</v>
      </c>
      <c r="Z126" s="324">
        <f>$C$125/Z125</f>
        <v>0.77385086859178853</v>
      </c>
      <c r="AA126" s="324">
        <f>$C$125/AA125</f>
        <v>0.8101605867661833</v>
      </c>
      <c r="AG126" s="324">
        <f t="shared" ref="AG126:AJ126" si="102">$C$125/AG125</f>
        <v>0.77385086859178853</v>
      </c>
      <c r="AH126" s="324">
        <f t="shared" si="102"/>
        <v>1.083391216028504</v>
      </c>
      <c r="AI126" s="324">
        <f t="shared" si="102"/>
        <v>0.77385086859178853</v>
      </c>
      <c r="AJ126" s="324">
        <f t="shared" si="102"/>
        <v>0.77385086859178853</v>
      </c>
    </row>
    <row r="127" spans="2:36">
      <c r="B127" s="320" t="s">
        <v>281</v>
      </c>
      <c r="C127" s="325">
        <f t="shared" ref="C127:E127" si="103">$C$134*C28</f>
        <v>2133247</v>
      </c>
      <c r="D127" s="325">
        <f t="shared" si="103"/>
        <v>2860954</v>
      </c>
      <c r="E127" s="325">
        <f t="shared" si="103"/>
        <v>725440</v>
      </c>
      <c r="F127" s="325">
        <f>$C$134*F28</f>
        <v>1768260</v>
      </c>
      <c r="H127" s="325">
        <f>$C$134*H28</f>
        <v>278841</v>
      </c>
      <c r="I127" s="325">
        <f>$C$134*I28</f>
        <v>1242316</v>
      </c>
      <c r="J127" s="325">
        <f>$C$134*J28</f>
        <v>521410</v>
      </c>
      <c r="P127" s="325">
        <f>$C$134*P28</f>
        <v>154156</v>
      </c>
      <c r="Q127" s="325">
        <f>$C$134*Q28</f>
        <v>841057</v>
      </c>
      <c r="S127" s="325">
        <f>$C$134*S28</f>
        <v>498740</v>
      </c>
      <c r="T127" s="325">
        <f>$C$134*T28</f>
        <v>549294.1</v>
      </c>
      <c r="U127" s="325">
        <f>$C$134*U28</f>
        <v>294710</v>
      </c>
      <c r="X127" s="325">
        <f>$C$134*X28</f>
        <v>498740</v>
      </c>
      <c r="Y127" s="325">
        <f>$C$134*Y28</f>
        <v>158690</v>
      </c>
      <c r="Z127" s="325">
        <f>$C$134*Z28</f>
        <v>97481</v>
      </c>
      <c r="AA127" s="325">
        <f>$C$134*AA28</f>
        <v>3695210</v>
      </c>
      <c r="AG127" s="325">
        <f>$C$134*AG28</f>
        <v>235087.9</v>
      </c>
      <c r="AH127" s="325">
        <f>$C$134*AH28</f>
        <v>113350</v>
      </c>
      <c r="AI127" s="325">
        <f>$C$134*AI28</f>
        <v>181360</v>
      </c>
      <c r="AJ127" s="325">
        <f>$C$134*AJ28</f>
        <v>260478.3</v>
      </c>
    </row>
    <row r="128" spans="2:36">
      <c r="B128" s="322" t="s">
        <v>282</v>
      </c>
      <c r="C128" s="326"/>
      <c r="D128" s="369">
        <f>1-D127/D34</f>
        <v>0.52317433333333341</v>
      </c>
      <c r="E128" s="369">
        <f>1-E127/E34</f>
        <v>0.51637333333333335</v>
      </c>
      <c r="F128" s="369">
        <f>1-F127/F34</f>
        <v>0.31989999999999996</v>
      </c>
      <c r="H128" s="369">
        <f>1-H127/H34</f>
        <v>0.60165571428571429</v>
      </c>
      <c r="I128" s="369">
        <f>1-I127/I34</f>
        <v>0.30982444444444446</v>
      </c>
      <c r="J128" s="369">
        <f>1-J127/J34</f>
        <v>0.34823749999999998</v>
      </c>
      <c r="P128" s="369">
        <f>1-P127/P34</f>
        <v>0.89722933333333332</v>
      </c>
      <c r="Q128" s="369">
        <f>1-Q127/Q34</f>
        <v>0.43929533333333337</v>
      </c>
      <c r="S128" s="369">
        <f>1-S127/S34</f>
        <v>0.80050399999999999</v>
      </c>
      <c r="T128" s="369">
        <f>1-T127/T34</f>
        <v>0.21529414285714288</v>
      </c>
      <c r="U128" s="369">
        <f>1-U127/U34</f>
        <v>0.75440833333333335</v>
      </c>
      <c r="X128" s="369">
        <f>1-X127/X34</f>
        <v>0.34376315789473688</v>
      </c>
      <c r="Y128" s="369">
        <f>1-Y127/Y34</f>
        <v>0.90081875</v>
      </c>
      <c r="Z128" s="369">
        <f>1-Z127/Z34</f>
        <v>0.65185357142857137</v>
      </c>
      <c r="AA128" s="369">
        <f>1-AA127/AA34</f>
        <v>0.28938269230769231</v>
      </c>
      <c r="AG128" s="369">
        <f>1-AG127/AG34</f>
        <v>0.66416014285714287</v>
      </c>
      <c r="AH128" s="369">
        <f>1-AH127/AH34</f>
        <v>0.64578124999999997</v>
      </c>
      <c r="AI128" s="369">
        <f>1-AI127/AI34</f>
        <v>0.75818666666666668</v>
      </c>
      <c r="AJ128" s="369">
        <f>1-AJ127/AJ34</f>
        <v>0.50385085714285716</v>
      </c>
    </row>
    <row r="129" spans="2:36">
      <c r="B129" s="335" t="s">
        <v>283</v>
      </c>
      <c r="C129" s="336"/>
      <c r="D129" s="337">
        <f>1-(1-D126)*D128</f>
        <v>1.082119132575637</v>
      </c>
      <c r="E129" s="337">
        <f>1-(1-E126)*E128</f>
        <v>1.0459475808843426</v>
      </c>
      <c r="F129" s="337">
        <f>1-(1-F126)*F128</f>
        <v>0.96109574001566822</v>
      </c>
      <c r="H129" s="337">
        <f>1-(1-H126)*H128</f>
        <v>1.4847251455984491</v>
      </c>
      <c r="I129" s="337">
        <f t="shared" ref="I129" si="104">1-(1-I126)*I128</f>
        <v>0.97518127044720082</v>
      </c>
      <c r="J129" s="337">
        <f>1-(1-J126)*J128</f>
        <v>0.92124639185123303</v>
      </c>
      <c r="P129" s="337">
        <f>1-(1-P126)*P128</f>
        <v>1.7228546308274064</v>
      </c>
      <c r="Q129" s="337">
        <f>1-(1-Q126)*Q128</f>
        <v>0.90065374193498593</v>
      </c>
      <c r="S129" s="337">
        <f>1-(1-S126)*S128</f>
        <v>0.87626707261028558</v>
      </c>
      <c r="T129" s="337">
        <f>1-(1-T126)*T128</f>
        <v>0.98736976367764062</v>
      </c>
      <c r="U129" s="337">
        <f>1-(1-U126)*U128</f>
        <v>1.1838057736714021</v>
      </c>
      <c r="X129" s="337">
        <f>1-(1-X126)*X128</f>
        <v>0.92225826043196135</v>
      </c>
      <c r="Y129" s="337">
        <f t="shared" ref="Y129:Z129" si="105">1-(1-Y126)*Y128</f>
        <v>1.7257464516396279</v>
      </c>
      <c r="Z129" s="337">
        <f t="shared" si="105"/>
        <v>0.85258388101608806</v>
      </c>
      <c r="AA129" s="337">
        <f>1-(1-AA126)*AA128</f>
        <v>0.9450637594922856</v>
      </c>
      <c r="AG129" s="337">
        <f t="shared" ref="AG129:AJ129" si="106">1-(1-AG126)*AG128</f>
        <v>0.84980076057690346</v>
      </c>
      <c r="AH129" s="337">
        <f t="shared" si="106"/>
        <v>1.0538524837259073</v>
      </c>
      <c r="AI129" s="337">
        <f t="shared" si="106"/>
        <v>0.82853674388804621</v>
      </c>
      <c r="AJ129" s="337">
        <f t="shared" si="106"/>
        <v>0.88605456629786006</v>
      </c>
    </row>
    <row r="130" spans="2:36">
      <c r="D130" s="260"/>
      <c r="E130" s="260"/>
      <c r="F130" s="260"/>
      <c r="H130" s="260"/>
      <c r="I130" s="260"/>
      <c r="J130" s="260"/>
      <c r="P130" s="260"/>
      <c r="Q130" s="260"/>
      <c r="T130" s="260"/>
      <c r="U130" s="260"/>
      <c r="Y130" s="260"/>
      <c r="Z130" s="260"/>
      <c r="AA130" s="260"/>
      <c r="AG130" s="260"/>
      <c r="AH130" s="260"/>
      <c r="AI130" s="260"/>
      <c r="AJ130" s="260"/>
    </row>
    <row r="131" spans="2:36">
      <c r="D131" s="370"/>
      <c r="E131" s="370"/>
      <c r="F131" s="370"/>
      <c r="H131" s="370"/>
      <c r="I131" s="370"/>
      <c r="J131" s="370"/>
      <c r="P131" s="370"/>
      <c r="Q131" s="370"/>
      <c r="S131" s="370"/>
      <c r="T131" s="370"/>
      <c r="U131" s="370"/>
      <c r="X131" s="370"/>
      <c r="Y131" s="370"/>
      <c r="Z131" s="370"/>
      <c r="AA131" s="370"/>
      <c r="AG131" s="370"/>
      <c r="AH131" s="370"/>
      <c r="AI131" s="370"/>
      <c r="AJ131" s="370"/>
    </row>
    <row r="132" spans="2:36">
      <c r="D132" s="260"/>
      <c r="E132" s="260"/>
      <c r="F132" s="260"/>
      <c r="H132" s="260"/>
      <c r="I132" s="260"/>
      <c r="J132" s="260"/>
      <c r="P132" s="260"/>
      <c r="Q132" s="260"/>
      <c r="T132" s="260"/>
      <c r="U132" s="260"/>
      <c r="Y132" s="260"/>
      <c r="Z132" s="260"/>
      <c r="AA132" s="260"/>
      <c r="AG132" s="260"/>
      <c r="AH132" s="260"/>
      <c r="AI132" s="260"/>
      <c r="AJ132" s="260"/>
    </row>
    <row r="133" spans="2:36">
      <c r="B133" s="162" t="s">
        <v>284</v>
      </c>
      <c r="C133" s="318">
        <f t="shared" ref="C133:E133" si="107">C28/C15</f>
        <v>1.4465083962049523</v>
      </c>
      <c r="D133" s="318">
        <f t="shared" si="107"/>
        <v>1.8038879359634077</v>
      </c>
      <c r="E133" s="318">
        <f t="shared" si="107"/>
        <v>1.7777777777777777</v>
      </c>
      <c r="F133" s="318">
        <f>F28/F15</f>
        <v>2.337358784573432</v>
      </c>
      <c r="H133" s="318">
        <f>H28/H15</f>
        <v>1.8024618991793671</v>
      </c>
      <c r="I133" s="318">
        <f>I28/I15</f>
        <v>2.9304812834224601</v>
      </c>
      <c r="J133" s="318">
        <f>J28/J15</f>
        <v>0.85185185185185186</v>
      </c>
      <c r="P133" s="318">
        <f>P28/P15</f>
        <v>0.56666666666666665</v>
      </c>
      <c r="Q133" s="318">
        <f>Q28/Q15</f>
        <v>2.0611111111111109</v>
      </c>
      <c r="S133" s="318">
        <f>S28/S15</f>
        <v>0.43863146981417972</v>
      </c>
      <c r="T133" s="318">
        <f>T28/T15</f>
        <v>2.7839055103635277</v>
      </c>
      <c r="U133" s="318">
        <f>U28/U15</f>
        <v>0.6820566631689402</v>
      </c>
      <c r="X133" s="318">
        <f>X28/X15</f>
        <v>1.6058394160583942</v>
      </c>
      <c r="Y133" s="318">
        <f>Y28/Y15</f>
        <v>0.34482758620689657</v>
      </c>
      <c r="Z133" s="318">
        <f>Z28/Z15</f>
        <v>1.8454935622317596</v>
      </c>
      <c r="AA133" s="318">
        <f>AA28/AA15</f>
        <v>6.3921568627450984</v>
      </c>
      <c r="AG133" s="318">
        <f>AG28/AG15</f>
        <v>1.0369999999999999</v>
      </c>
      <c r="AH133" s="318">
        <f>AH28/AH15</f>
        <v>1.3297872340425532</v>
      </c>
      <c r="AI133" s="318">
        <f>AI28/AI15</f>
        <v>1</v>
      </c>
      <c r="AJ133" s="318">
        <f>AJ28/AJ15</f>
        <v>1.8066037735849056</v>
      </c>
    </row>
    <row r="134" spans="2:36">
      <c r="B134" s="371" t="s">
        <v>285</v>
      </c>
      <c r="C134" s="326">
        <v>226.7</v>
      </c>
      <c r="D134" s="318">
        <f>$C$133-D133</f>
        <v>-0.35737953975845538</v>
      </c>
      <c r="E134" s="318">
        <f>$C$133-E133</f>
        <v>-0.33126938157282537</v>
      </c>
      <c r="F134" s="318">
        <f>$C$133-F133</f>
        <v>-0.89085038836847974</v>
      </c>
      <c r="H134" s="318">
        <f>$C$133-H133</f>
        <v>-0.35595350297441475</v>
      </c>
      <c r="I134" s="318">
        <f>$C$133-I133</f>
        <v>-1.4839728872175078</v>
      </c>
      <c r="J134" s="318">
        <f>$C$133-J133</f>
        <v>0.59465654435310045</v>
      </c>
      <c r="P134" s="318">
        <f>$C$133-P133</f>
        <v>0.87984172953828566</v>
      </c>
      <c r="Q134" s="318">
        <f>$C$133-Q133</f>
        <v>-0.61460271490615859</v>
      </c>
      <c r="S134" s="318">
        <f>$C$133-S133</f>
        <v>1.0078769263907725</v>
      </c>
      <c r="T134" s="318">
        <f>$C$133-T133</f>
        <v>-1.3373971141585754</v>
      </c>
      <c r="U134" s="318">
        <f>$C$133-U133</f>
        <v>0.7644517330360121</v>
      </c>
      <c r="X134" s="318">
        <f>$C$133-X133</f>
        <v>-0.15933101985344189</v>
      </c>
      <c r="Y134" s="318">
        <f>$C$133-Y133</f>
        <v>1.1016808099980557</v>
      </c>
      <c r="Z134" s="318">
        <f>$C$133-Z133</f>
        <v>-0.39898516602680734</v>
      </c>
      <c r="AA134" s="318">
        <f>$C$133-AA133</f>
        <v>-4.9456484665401463</v>
      </c>
      <c r="AG134" s="318">
        <f t="shared" ref="AG134:AJ134" si="108">$C$133-AG133</f>
        <v>0.40950839620495239</v>
      </c>
      <c r="AH134" s="318">
        <f t="shared" si="108"/>
        <v>0.11672116216239914</v>
      </c>
      <c r="AI134" s="318">
        <f t="shared" si="108"/>
        <v>0.44650839620495231</v>
      </c>
      <c r="AJ134" s="318">
        <f t="shared" si="108"/>
        <v>-0.36009537737995334</v>
      </c>
    </row>
    <row r="135" spans="2:36">
      <c r="B135" s="334"/>
      <c r="C135" s="334"/>
      <c r="D135" s="318">
        <f>$C$134*D134</f>
        <v>-81.017941663241828</v>
      </c>
      <c r="E135" s="318">
        <f>$C$134*E134</f>
        <v>-75.098768802559505</v>
      </c>
      <c r="F135" s="318">
        <f>$C$134*F134</f>
        <v>-201.95578304313435</v>
      </c>
      <c r="H135" s="318">
        <f>$C$134*H134</f>
        <v>-80.694659124299818</v>
      </c>
      <c r="I135" s="318">
        <f>$C$134*I134</f>
        <v>-336.41665353220901</v>
      </c>
      <c r="J135" s="318">
        <f>$C$134*J134</f>
        <v>134.80863860484786</v>
      </c>
      <c r="P135" s="318">
        <f>$C$134*P134</f>
        <v>199.46012008632934</v>
      </c>
      <c r="Q135" s="318">
        <f>$C$134*Q134</f>
        <v>-139.33043546922613</v>
      </c>
      <c r="S135" s="318">
        <f>$C$134*S134</f>
        <v>228.48569921278812</v>
      </c>
      <c r="T135" s="318">
        <f>$C$134*T134</f>
        <v>-303.18792577974904</v>
      </c>
      <c r="U135" s="318">
        <f>$C$134*U134</f>
        <v>173.30120787926393</v>
      </c>
      <c r="X135" s="318">
        <f>$C$134*X134</f>
        <v>-36.120342200775276</v>
      </c>
      <c r="Y135" s="318">
        <f>$C$134*Y134</f>
        <v>249.75103962655922</v>
      </c>
      <c r="Z135" s="318">
        <f>$C$134*Z134</f>
        <v>-90.449937138277221</v>
      </c>
      <c r="AA135" s="318">
        <f>$C$134*AA134</f>
        <v>-1121.1785073646511</v>
      </c>
      <c r="AG135" s="318">
        <f t="shared" ref="AG135:AJ135" si="109">$C$134*AG134</f>
        <v>92.835553419662702</v>
      </c>
      <c r="AH135" s="318">
        <f t="shared" si="109"/>
        <v>26.460687462215883</v>
      </c>
      <c r="AI135" s="318">
        <f t="shared" si="109"/>
        <v>101.22345341966269</v>
      </c>
      <c r="AJ135" s="318">
        <f t="shared" si="109"/>
        <v>-81.63362205203542</v>
      </c>
    </row>
    <row r="136" spans="2:36">
      <c r="B136" s="334"/>
      <c r="C136" s="334"/>
      <c r="D136" s="325">
        <f>D135*долл</f>
        <v>-7085.0189984504977</v>
      </c>
      <c r="E136" s="325">
        <f>E135*долл</f>
        <v>-6567.3873317838288</v>
      </c>
      <c r="F136" s="325">
        <f>F135*долл</f>
        <v>-17661.033227122098</v>
      </c>
      <c r="H136" s="325">
        <f>H135*долл</f>
        <v>-7056.7479404200194</v>
      </c>
      <c r="I136" s="325">
        <f>I135*долл</f>
        <v>-29419.63635139168</v>
      </c>
      <c r="J136" s="325">
        <f>J135*долл</f>
        <v>11789.015445993946</v>
      </c>
      <c r="P136" s="325">
        <f>P135*долл</f>
        <v>17442.787501549501</v>
      </c>
      <c r="Q136" s="325">
        <f>Q135*долл</f>
        <v>-12184.446581783826</v>
      </c>
      <c r="S136" s="325">
        <f>S135*долл</f>
        <v>19981.074396158321</v>
      </c>
      <c r="T136" s="325">
        <f>T135*долл</f>
        <v>-26513.784109439053</v>
      </c>
      <c r="U136" s="325">
        <f>U135*долл</f>
        <v>15155.190629041632</v>
      </c>
      <c r="X136" s="325">
        <f>X135*долл</f>
        <v>-3158.723925457798</v>
      </c>
      <c r="Y136" s="325">
        <f>Y135*долл</f>
        <v>21840.728415342604</v>
      </c>
      <c r="Z136" s="325">
        <f>Z135*долл</f>
        <v>-7909.8470027423436</v>
      </c>
      <c r="AA136" s="325">
        <f>AA135*долл</f>
        <v>-98047.060469038741</v>
      </c>
      <c r="AG136" s="325">
        <f>AG135*долл</f>
        <v>8118.4691465495034</v>
      </c>
      <c r="AH136" s="325">
        <f>AH135*долл</f>
        <v>2313.9871185707789</v>
      </c>
      <c r="AI136" s="325">
        <f>AI135*долл</f>
        <v>8851.9910015495025</v>
      </c>
      <c r="AJ136" s="325">
        <f>AJ135*долл</f>
        <v>-7138.8602484504981</v>
      </c>
    </row>
    <row r="137" spans="2:36">
      <c r="B137" s="334"/>
      <c r="C137" s="334"/>
      <c r="D137" s="326">
        <f>1+D136/D64</f>
        <v>0.88170226306235688</v>
      </c>
      <c r="E137" s="326">
        <f>1+E136/E64</f>
        <v>0.89061999554235016</v>
      </c>
      <c r="F137" s="326">
        <f>1+F136/F64</f>
        <v>0.70631406112790485</v>
      </c>
      <c r="H137" s="326">
        <f>1+H136/H64</f>
        <v>0.94024729151710895</v>
      </c>
      <c r="I137" s="326">
        <f>1+I136/I64</f>
        <v>0.57578068111472858</v>
      </c>
      <c r="J137" s="326">
        <f>1+J136/J64</f>
        <v>1.5537261325519109</v>
      </c>
      <c r="P137" s="326">
        <f>1+P136/P64</f>
        <v>1.1202276313390194</v>
      </c>
      <c r="Q137" s="326">
        <f>1+Q136/Q64</f>
        <v>0.75924716727871799</v>
      </c>
      <c r="S137" s="326">
        <f>1+S136/S64</f>
        <v>1.7336375263158774</v>
      </c>
      <c r="T137" s="326">
        <f>1+T136/T64</f>
        <v>0.70573076098120224</v>
      </c>
      <c r="U137" s="326">
        <f>1+U136/U64</f>
        <v>1.2084277169112123</v>
      </c>
      <c r="X137" s="326">
        <f>1+X136/X64</f>
        <v>0.93960135405679301</v>
      </c>
      <c r="Y137" s="326">
        <f>1+Y136/Y64</f>
        <v>1.1632139763077716</v>
      </c>
      <c r="Z137" s="326">
        <f>1+Z136/Z64</f>
        <v>0.90933433677659847</v>
      </c>
      <c r="AA137" s="326">
        <f>1+AA136/AA64</f>
        <v>0.40013423545094262</v>
      </c>
      <c r="AG137" s="326">
        <f>1+AG136/AG64</f>
        <v>1.157883594251127</v>
      </c>
      <c r="AH137" s="326">
        <f>1+AH136/AH64</f>
        <v>1.0293314224227392</v>
      </c>
      <c r="AI137" s="326">
        <f>1+AI136/AI64</f>
        <v>1.1316717811489831</v>
      </c>
      <c r="AJ137" s="326">
        <f>1+AJ136/AJ64</f>
        <v>0.88762063562667404</v>
      </c>
    </row>
    <row r="138" spans="2:36">
      <c r="B138" s="335"/>
      <c r="C138" s="336"/>
      <c r="D138" s="337"/>
      <c r="E138" s="337"/>
      <c r="F138" s="337"/>
      <c r="H138" s="337"/>
      <c r="I138" s="337"/>
      <c r="J138" s="337"/>
      <c r="P138" s="337"/>
      <c r="Q138" s="337"/>
      <c r="S138" s="337"/>
      <c r="T138" s="337"/>
      <c r="U138" s="337"/>
      <c r="X138" s="337"/>
      <c r="Y138" s="337"/>
      <c r="Z138" s="337"/>
      <c r="AA138" s="337"/>
      <c r="AG138" s="337"/>
      <c r="AH138" s="337"/>
      <c r="AI138" s="337"/>
      <c r="AJ138" s="337"/>
    </row>
    <row r="139" spans="2:36" ht="14.25">
      <c r="B139" s="334" t="s">
        <v>286</v>
      </c>
      <c r="C139" s="334">
        <v>0.02</v>
      </c>
      <c r="D139" s="340">
        <f>D136/D64</f>
        <v>-0.11829773693764312</v>
      </c>
      <c r="E139" s="340">
        <f>E136/E64</f>
        <v>-0.10938000445764981</v>
      </c>
      <c r="F139" s="340">
        <f>F136/F64</f>
        <v>-0.29368593887209515</v>
      </c>
      <c r="H139" s="340">
        <f>H136/H64</f>
        <v>-5.9752708482891007E-2</v>
      </c>
      <c r="I139" s="340">
        <f>I136/I64</f>
        <v>-0.42421931888527137</v>
      </c>
      <c r="J139" s="340">
        <f>J136/J64</f>
        <v>0.55372613255191094</v>
      </c>
      <c r="P139" s="340">
        <f>P136/P64</f>
        <v>0.1202276313390193</v>
      </c>
      <c r="Q139" s="340">
        <f>Q136/Q64</f>
        <v>-0.24075283272128198</v>
      </c>
      <c r="S139" s="340">
        <f>S136/S64</f>
        <v>0.73363752631587742</v>
      </c>
      <c r="T139" s="340">
        <f>T136/T64</f>
        <v>-0.29426923901879776</v>
      </c>
      <c r="U139" s="340">
        <f>U136/U64</f>
        <v>0.20842771691121231</v>
      </c>
      <c r="X139" s="340">
        <f>X136/X64</f>
        <v>-6.0398645943206999E-2</v>
      </c>
      <c r="Y139" s="340">
        <f>Y136/Y64</f>
        <v>0.16321397630777165</v>
      </c>
      <c r="Z139" s="340">
        <f>Z136/Z64</f>
        <v>-9.0665663223401541E-2</v>
      </c>
      <c r="AA139" s="340">
        <f>AA136/AA64</f>
        <v>-0.59986576454905738</v>
      </c>
      <c r="AG139" s="340">
        <f>AG136/AG64</f>
        <v>0.15788359425112705</v>
      </c>
      <c r="AH139" s="340">
        <f>AH136/AH64</f>
        <v>2.9331422422739301E-2</v>
      </c>
      <c r="AI139" s="340">
        <f>AI136/AI64</f>
        <v>0.13167178114898326</v>
      </c>
      <c r="AJ139" s="340">
        <f>AJ136/AJ64</f>
        <v>-0.11237936437332599</v>
      </c>
    </row>
    <row r="140" spans="2:36" ht="18">
      <c r="B140" s="334"/>
      <c r="C140" s="372">
        <v>0.49169067650109483</v>
      </c>
      <c r="D140" s="324">
        <f>MROUND((1+D139)^$C$140,$C$139)</f>
        <v>0.94000000000000006</v>
      </c>
      <c r="E140" s="324">
        <f>MROUND((1+E139)^$C$140,$C$139)</f>
        <v>0.94000000000000006</v>
      </c>
      <c r="F140" s="324">
        <f>MROUND((1+F139)^$C$140,$C$139)</f>
        <v>0.84</v>
      </c>
      <c r="H140" s="324">
        <f>MROUND((1+H139)^$C$140,$C$139)</f>
        <v>0.98</v>
      </c>
      <c r="I140" s="324">
        <f>MROUND((1+I139)^$C$140,$C$139)</f>
        <v>0.76</v>
      </c>
      <c r="J140" s="324">
        <f>MROUND((1+J139)^$C$140,$C$139)</f>
        <v>1.24</v>
      </c>
      <c r="P140" s="324">
        <f>MROUND((1+P139)^$C$140,$C$139)</f>
        <v>1.06</v>
      </c>
      <c r="Q140" s="324">
        <f>MROUND((1+Q139)^$C$140,$C$139)</f>
        <v>0.88</v>
      </c>
      <c r="S140" s="324">
        <f>MROUND((1+S139)^$C$140,$C$139)</f>
        <v>1.32</v>
      </c>
      <c r="T140" s="324">
        <f>MROUND((1+T139)^$C$140,$C$139)</f>
        <v>0.84</v>
      </c>
      <c r="U140" s="324">
        <f>MROUND((1+U139)^$C$140,$C$139)</f>
        <v>1.1000000000000001</v>
      </c>
      <c r="X140" s="324">
        <f>MROUND((1+X139)^$C$140,$C$139)</f>
        <v>0.96</v>
      </c>
      <c r="Y140" s="324">
        <f>MROUND((1+Y139)^$C$140,$C$139)</f>
        <v>1.08</v>
      </c>
      <c r="Z140" s="324">
        <f>MROUND((1+Z139)^$C$140,$C$139)</f>
        <v>0.96</v>
      </c>
      <c r="AA140" s="324">
        <f>MROUND((1+AA139)^$C$140,$C$139)</f>
        <v>0.64</v>
      </c>
      <c r="AG140" s="324">
        <f t="shared" ref="AG140:AJ140" si="110">MROUND((1+AG139)^$C$140,$C$139)</f>
        <v>1.08</v>
      </c>
      <c r="AH140" s="324">
        <f t="shared" si="110"/>
        <v>1.02</v>
      </c>
      <c r="AI140" s="324">
        <f t="shared" si="110"/>
        <v>1.06</v>
      </c>
      <c r="AJ140" s="324">
        <f t="shared" si="110"/>
        <v>0.94000000000000006</v>
      </c>
    </row>
    <row r="141" spans="2:36">
      <c r="B141" s="373" t="s">
        <v>287</v>
      </c>
      <c r="C141" s="74" t="s">
        <v>288</v>
      </c>
      <c r="D141" s="374"/>
      <c r="E141" s="374"/>
      <c r="F141" s="138"/>
      <c r="H141" s="374"/>
      <c r="I141" s="374">
        <v>0.6</v>
      </c>
      <c r="J141" s="374"/>
      <c r="P141" s="374">
        <v>0.6</v>
      </c>
      <c r="Q141" s="374">
        <v>0.6</v>
      </c>
      <c r="T141" s="138"/>
      <c r="U141" s="161"/>
      <c r="Y141" s="138"/>
      <c r="Z141" s="138"/>
      <c r="AA141" s="138"/>
      <c r="AG141" s="138"/>
      <c r="AH141" s="138"/>
      <c r="AI141" s="138"/>
      <c r="AJ141" s="138"/>
    </row>
    <row r="142" spans="2:36">
      <c r="B142" s="375" t="s">
        <v>289</v>
      </c>
      <c r="C142" s="169" t="s">
        <v>290</v>
      </c>
      <c r="D142" s="138"/>
      <c r="E142" s="138"/>
      <c r="F142" s="138"/>
      <c r="H142" s="138"/>
      <c r="I142" s="138"/>
      <c r="J142" s="138"/>
      <c r="P142" s="138"/>
      <c r="Q142" s="138"/>
      <c r="T142" s="138"/>
      <c r="Y142" s="138"/>
      <c r="Z142" s="138"/>
      <c r="AA142" s="138"/>
      <c r="AG142" s="138"/>
      <c r="AH142" s="138"/>
      <c r="AI142" s="138"/>
      <c r="AJ142" s="138"/>
    </row>
    <row r="143" spans="2:36">
      <c r="B143" s="375" t="s">
        <v>291</v>
      </c>
      <c r="C143" s="169" t="s">
        <v>292</v>
      </c>
      <c r="D143" s="138"/>
      <c r="E143" s="138"/>
      <c r="F143" s="138"/>
      <c r="H143" s="138"/>
      <c r="I143" s="138"/>
      <c r="J143" s="138"/>
      <c r="P143" s="138"/>
      <c r="Q143" s="138"/>
      <c r="T143" s="138"/>
      <c r="Y143" s="138"/>
      <c r="Z143" s="138"/>
      <c r="AA143" s="138"/>
      <c r="AG143" s="138"/>
      <c r="AH143" s="138"/>
      <c r="AI143" s="138"/>
      <c r="AJ143" s="138"/>
    </row>
    <row r="144" spans="2:36">
      <c r="B144" s="375" t="s">
        <v>293</v>
      </c>
      <c r="C144" s="169" t="s">
        <v>294</v>
      </c>
      <c r="D144" s="138"/>
      <c r="E144" s="138"/>
      <c r="F144" s="138"/>
      <c r="H144" s="138"/>
      <c r="I144" s="138"/>
      <c r="J144" s="138"/>
      <c r="P144" s="138"/>
      <c r="Q144" s="138"/>
      <c r="T144" s="138"/>
      <c r="Y144" s="138"/>
      <c r="Z144" s="138"/>
      <c r="AA144" s="138"/>
      <c r="AG144" s="138"/>
      <c r="AH144" s="138"/>
      <c r="AI144" s="138"/>
      <c r="AJ144" s="138"/>
    </row>
    <row r="145" spans="2:36">
      <c r="B145" s="373" t="s">
        <v>295</v>
      </c>
      <c r="C145" s="74" t="s">
        <v>296</v>
      </c>
      <c r="D145" s="138"/>
      <c r="E145" s="138"/>
      <c r="F145" s="138"/>
      <c r="H145" s="138"/>
      <c r="I145" s="138"/>
      <c r="J145" s="138"/>
      <c r="P145" s="138"/>
      <c r="Q145" s="138"/>
      <c r="T145" s="138"/>
      <c r="Y145" s="138"/>
      <c r="Z145" s="138"/>
      <c r="AA145" s="138"/>
      <c r="AG145" s="138"/>
      <c r="AH145" s="138"/>
      <c r="AI145" s="138"/>
      <c r="AJ145" s="138"/>
    </row>
    <row r="146" spans="2:36">
      <c r="D146" s="138"/>
      <c r="E146" s="138"/>
      <c r="F146" s="138"/>
      <c r="H146" s="138"/>
      <c r="I146" s="138"/>
      <c r="J146" s="138"/>
      <c r="P146" s="138"/>
      <c r="Q146" s="138"/>
      <c r="T146" s="138"/>
      <c r="Y146" s="138"/>
      <c r="Z146" s="138"/>
      <c r="AA146" s="138"/>
      <c r="AG146" s="138"/>
      <c r="AH146" s="138"/>
      <c r="AI146" s="138"/>
      <c r="AJ146" s="138"/>
    </row>
    <row r="147" spans="2:36">
      <c r="D147" s="138"/>
      <c r="E147" s="138"/>
      <c r="F147" s="138"/>
      <c r="H147" s="138"/>
      <c r="I147" s="138"/>
      <c r="J147" s="138"/>
      <c r="P147" s="138"/>
      <c r="Q147" s="138"/>
      <c r="T147" s="138"/>
      <c r="Y147" s="138"/>
      <c r="Z147" s="138"/>
      <c r="AA147" s="138"/>
      <c r="AG147" s="138"/>
      <c r="AH147" s="138"/>
      <c r="AI147" s="138"/>
      <c r="AJ147" s="138"/>
    </row>
    <row r="148" spans="2:36" ht="14.25">
      <c r="B148" s="376" t="s">
        <v>580</v>
      </c>
      <c r="C148" s="377"/>
      <c r="D148" s="138"/>
      <c r="E148" s="138"/>
      <c r="F148" s="138"/>
      <c r="H148" s="138"/>
      <c r="I148" s="138"/>
      <c r="J148" s="138"/>
      <c r="P148" s="138"/>
      <c r="Q148" s="138"/>
      <c r="T148" s="138"/>
      <c r="X148" s="74"/>
      <c r="Y148" s="138"/>
      <c r="Z148" s="138"/>
      <c r="AA148" s="138"/>
      <c r="AG148" s="138"/>
      <c r="AH148" s="138"/>
      <c r="AI148" s="138"/>
      <c r="AJ148" s="138"/>
    </row>
    <row r="149" spans="2:36">
      <c r="C149" s="281"/>
      <c r="D149" s="138"/>
      <c r="E149" s="138"/>
      <c r="F149" s="138"/>
      <c r="H149" s="138"/>
      <c r="I149" s="138"/>
      <c r="J149" s="138"/>
      <c r="P149" s="138"/>
      <c r="Q149" s="138"/>
      <c r="S149" s="370"/>
      <c r="T149" s="138"/>
      <c r="X149" s="370"/>
      <c r="Y149" s="138"/>
      <c r="Z149" s="138"/>
      <c r="AA149" s="138"/>
      <c r="AG149" s="138"/>
      <c r="AH149" s="138"/>
      <c r="AI149" s="138"/>
      <c r="AJ149" s="138"/>
    </row>
    <row r="150" spans="2:36">
      <c r="B150" s="260" t="s">
        <v>581</v>
      </c>
      <c r="C150" s="278">
        <v>350</v>
      </c>
      <c r="D150" s="138"/>
      <c r="E150" s="138"/>
      <c r="F150" s="138"/>
      <c r="H150" s="138"/>
      <c r="I150" s="138"/>
      <c r="J150" s="138"/>
      <c r="P150" s="138"/>
      <c r="Q150" s="138"/>
      <c r="S150" s="370"/>
      <c r="T150" s="138"/>
      <c r="X150" s="370"/>
      <c r="Y150" s="138"/>
      <c r="Z150" s="138"/>
      <c r="AA150" s="138"/>
      <c r="AG150" s="138"/>
      <c r="AH150" s="138"/>
      <c r="AI150" s="138"/>
      <c r="AJ150" s="138"/>
    </row>
    <row r="151" spans="2:36">
      <c r="B151" s="260" t="s">
        <v>582</v>
      </c>
      <c r="C151" s="278">
        <f>AVERAGE(D36:N36)</f>
        <v>792.45672120801385</v>
      </c>
      <c r="D151" s="138"/>
      <c r="E151" s="138"/>
      <c r="F151" s="138"/>
      <c r="H151" s="138"/>
      <c r="I151" s="138"/>
      <c r="J151" s="138"/>
      <c r="P151" s="138"/>
      <c r="Q151" s="138"/>
      <c r="S151" s="370"/>
      <c r="T151" s="138"/>
      <c r="X151" s="370"/>
      <c r="Y151" s="138"/>
      <c r="Z151" s="138"/>
      <c r="AA151" s="138"/>
      <c r="AG151" s="138"/>
      <c r="AH151" s="138"/>
      <c r="AI151" s="138"/>
      <c r="AJ151" s="138"/>
    </row>
    <row r="152" spans="2:36">
      <c r="B152" s="260" t="s">
        <v>583</v>
      </c>
      <c r="C152" s="281">
        <f>MROUND(C150/C151,0.01)/4</f>
        <v>0.11</v>
      </c>
      <c r="D152" s="138"/>
      <c r="E152" s="138"/>
      <c r="F152" s="138"/>
      <c r="H152" s="138"/>
      <c r="I152" s="138"/>
      <c r="J152" s="138"/>
      <c r="P152" s="138"/>
      <c r="Q152" s="138"/>
      <c r="S152" s="370"/>
      <c r="T152" s="138"/>
      <c r="X152" s="370"/>
      <c r="Y152" s="138"/>
      <c r="Z152" s="138"/>
      <c r="AA152" s="138"/>
      <c r="AG152" s="138"/>
      <c r="AH152" s="138"/>
      <c r="AI152" s="138"/>
      <c r="AJ152" s="138"/>
    </row>
    <row r="153" spans="2:36">
      <c r="D153" s="138"/>
      <c r="E153" s="138"/>
      <c r="F153" s="138"/>
      <c r="H153" s="138"/>
      <c r="I153" s="138"/>
      <c r="J153" s="138"/>
      <c r="P153" s="138"/>
      <c r="Q153" s="138"/>
      <c r="S153" s="370"/>
      <c r="T153" s="138"/>
      <c r="X153" s="370"/>
      <c r="Y153" s="138"/>
      <c r="Z153" s="138"/>
      <c r="AA153" s="138"/>
      <c r="AG153" s="138"/>
      <c r="AH153" s="138"/>
      <c r="AI153" s="138"/>
      <c r="AJ153" s="138"/>
    </row>
    <row r="154" spans="2:36">
      <c r="D154" s="138"/>
      <c r="E154" s="138"/>
      <c r="F154" s="138"/>
      <c r="H154" s="138"/>
      <c r="I154" s="138"/>
      <c r="J154" s="138"/>
      <c r="P154" s="138"/>
      <c r="Q154" s="138"/>
      <c r="S154" s="370"/>
      <c r="T154" s="138"/>
      <c r="X154" s="370"/>
      <c r="Y154" s="138"/>
      <c r="Z154" s="138"/>
      <c r="AA154" s="138"/>
      <c r="AG154" s="138"/>
      <c r="AH154" s="138"/>
      <c r="AI154" s="138"/>
      <c r="AJ154" s="138"/>
    </row>
    <row r="155" spans="2:36">
      <c r="D155" s="138"/>
      <c r="E155" s="138"/>
      <c r="F155" s="138"/>
      <c r="H155" s="138"/>
      <c r="I155" s="138"/>
      <c r="J155" s="138"/>
      <c r="P155" s="138"/>
      <c r="Q155" s="138"/>
      <c r="S155" s="370"/>
      <c r="T155" s="138"/>
      <c r="X155" s="370"/>
      <c r="Y155" s="138"/>
      <c r="Z155" s="138"/>
      <c r="AA155" s="138"/>
      <c r="AG155" s="138"/>
      <c r="AH155" s="138"/>
      <c r="AI155" s="138"/>
      <c r="AJ155" s="138"/>
    </row>
    <row r="156" spans="2:36">
      <c r="D156" s="138"/>
      <c r="E156" s="138"/>
      <c r="F156" s="138"/>
      <c r="H156" s="138"/>
      <c r="I156" s="138"/>
      <c r="J156" s="138"/>
      <c r="P156" s="138"/>
      <c r="Q156" s="138"/>
      <c r="T156" s="138"/>
      <c r="Y156" s="138"/>
      <c r="Z156" s="138"/>
      <c r="AA156" s="138"/>
      <c r="AG156" s="138"/>
      <c r="AH156" s="138"/>
      <c r="AI156" s="138"/>
      <c r="AJ156" s="138"/>
    </row>
    <row r="157" spans="2:36">
      <c r="D157" s="138"/>
      <c r="E157" s="138"/>
      <c r="F157" s="138"/>
      <c r="H157" s="138"/>
      <c r="I157" s="138"/>
      <c r="J157" s="138"/>
      <c r="P157" s="138"/>
      <c r="Q157" s="138"/>
      <c r="T157" s="138"/>
      <c r="Y157" s="138"/>
      <c r="Z157" s="138"/>
      <c r="AA157" s="138"/>
      <c r="AG157" s="138"/>
      <c r="AH157" s="138"/>
      <c r="AI157" s="138"/>
      <c r="AJ157" s="138"/>
    </row>
    <row r="158" spans="2:36">
      <c r="D158" s="138"/>
      <c r="E158" s="138"/>
      <c r="F158" s="138"/>
      <c r="H158" s="138"/>
      <c r="I158" s="138"/>
      <c r="J158" s="138"/>
      <c r="P158" s="138"/>
      <c r="Q158" s="138"/>
      <c r="T158" s="138"/>
      <c r="Y158" s="138"/>
      <c r="Z158" s="138"/>
      <c r="AA158" s="138"/>
      <c r="AG158" s="138"/>
      <c r="AH158" s="138"/>
      <c r="AI158" s="138"/>
      <c r="AJ158" s="138"/>
    </row>
    <row r="159" spans="2:36">
      <c r="D159" s="138"/>
      <c r="E159" s="138"/>
      <c r="F159" s="138"/>
      <c r="H159" s="138"/>
      <c r="I159" s="138"/>
      <c r="J159" s="138"/>
      <c r="P159" s="138"/>
      <c r="Q159" s="138"/>
      <c r="T159" s="138"/>
      <c r="Y159" s="138"/>
      <c r="Z159" s="138"/>
      <c r="AA159" s="138"/>
      <c r="AG159" s="138"/>
      <c r="AH159" s="138"/>
      <c r="AI159" s="138"/>
      <c r="AJ159" s="138"/>
    </row>
    <row r="160" spans="2:36">
      <c r="D160" s="138"/>
      <c r="E160" s="138"/>
      <c r="F160" s="138"/>
      <c r="H160" s="138"/>
      <c r="I160" s="138"/>
      <c r="J160" s="138"/>
      <c r="P160" s="138"/>
      <c r="Q160" s="138"/>
      <c r="T160" s="138"/>
      <c r="Y160" s="138"/>
      <c r="Z160" s="138"/>
      <c r="AA160" s="138"/>
      <c r="AG160" s="138"/>
      <c r="AH160" s="138"/>
      <c r="AI160" s="138"/>
      <c r="AJ160" s="138"/>
    </row>
    <row r="161" spans="4:36">
      <c r="D161" s="138"/>
      <c r="E161" s="138"/>
      <c r="F161" s="138"/>
      <c r="H161" s="138"/>
      <c r="I161" s="138"/>
      <c r="J161" s="138"/>
      <c r="P161" s="138"/>
      <c r="Q161" s="138"/>
      <c r="T161" s="138"/>
      <c r="Y161" s="138"/>
      <c r="Z161" s="138"/>
      <c r="AA161" s="138"/>
      <c r="AG161" s="138"/>
      <c r="AH161" s="138"/>
      <c r="AI161" s="138"/>
      <c r="AJ161" s="138"/>
    </row>
    <row r="162" spans="4:36">
      <c r="D162" s="138"/>
      <c r="E162" s="138"/>
      <c r="F162" s="138"/>
      <c r="H162" s="138"/>
      <c r="I162" s="138"/>
      <c r="J162" s="138"/>
      <c r="P162" s="138"/>
      <c r="Q162" s="138"/>
      <c r="T162" s="138"/>
      <c r="Y162" s="138"/>
      <c r="Z162" s="138"/>
      <c r="AA162" s="138"/>
      <c r="AG162" s="138"/>
      <c r="AH162" s="138"/>
      <c r="AI162" s="138"/>
      <c r="AJ162" s="138"/>
    </row>
    <row r="163" spans="4:36">
      <c r="D163" s="138"/>
      <c r="E163" s="138"/>
      <c r="F163" s="138"/>
      <c r="H163" s="138"/>
      <c r="I163" s="138"/>
      <c r="J163" s="138"/>
      <c r="P163" s="138"/>
      <c r="Q163" s="138"/>
      <c r="T163" s="138"/>
      <c r="Y163" s="138"/>
      <c r="Z163" s="138"/>
      <c r="AA163" s="138"/>
      <c r="AG163" s="138"/>
      <c r="AH163" s="138"/>
      <c r="AI163" s="138"/>
      <c r="AJ163" s="138"/>
    </row>
    <row r="164" spans="4:36">
      <c r="D164" s="138"/>
      <c r="E164" s="138"/>
      <c r="F164" s="138"/>
      <c r="H164" s="138"/>
      <c r="I164" s="138"/>
      <c r="J164" s="138"/>
      <c r="P164" s="138"/>
      <c r="Q164" s="138"/>
      <c r="T164" s="138"/>
      <c r="Y164" s="138"/>
      <c r="Z164" s="138"/>
      <c r="AA164" s="138"/>
      <c r="AG164" s="138"/>
      <c r="AH164" s="138"/>
      <c r="AI164" s="138"/>
      <c r="AJ164" s="138"/>
    </row>
    <row r="165" spans="4:36">
      <c r="D165" s="138"/>
      <c r="E165" s="138"/>
      <c r="F165" s="138"/>
      <c r="H165" s="138"/>
      <c r="I165" s="138"/>
      <c r="J165" s="138"/>
      <c r="P165" s="138"/>
      <c r="Q165" s="138"/>
      <c r="T165" s="138"/>
      <c r="Y165" s="138"/>
      <c r="Z165" s="138"/>
      <c r="AA165" s="138"/>
      <c r="AG165" s="138"/>
      <c r="AH165" s="138"/>
      <c r="AI165" s="138"/>
      <c r="AJ165" s="138"/>
    </row>
    <row r="166" spans="4:36">
      <c r="D166" s="138"/>
      <c r="E166" s="138"/>
      <c r="F166" s="138"/>
      <c r="H166" s="138"/>
      <c r="I166" s="138"/>
      <c r="J166" s="138"/>
      <c r="P166" s="138"/>
      <c r="Q166" s="138"/>
      <c r="T166" s="138"/>
      <c r="Y166" s="138"/>
      <c r="Z166" s="138"/>
      <c r="AA166" s="138"/>
      <c r="AG166" s="138"/>
      <c r="AH166" s="138"/>
      <c r="AI166" s="138"/>
      <c r="AJ166" s="138"/>
    </row>
    <row r="167" spans="4:36">
      <c r="D167" s="138"/>
      <c r="E167" s="138"/>
      <c r="F167" s="138"/>
      <c r="H167" s="138"/>
      <c r="I167" s="138"/>
      <c r="J167" s="138"/>
      <c r="P167" s="138"/>
      <c r="Q167" s="138"/>
      <c r="T167" s="138"/>
      <c r="Y167" s="138"/>
      <c r="Z167" s="138"/>
      <c r="AA167" s="138"/>
      <c r="AG167" s="138"/>
      <c r="AH167" s="138"/>
      <c r="AI167" s="138"/>
      <c r="AJ167" s="138"/>
    </row>
    <row r="168" spans="4:36">
      <c r="D168" s="138"/>
      <c r="E168" s="138"/>
      <c r="F168" s="138"/>
      <c r="H168" s="138"/>
      <c r="I168" s="138"/>
      <c r="J168" s="138"/>
      <c r="P168" s="138"/>
      <c r="Q168" s="138"/>
      <c r="T168" s="138"/>
      <c r="Y168" s="138"/>
      <c r="Z168" s="138"/>
      <c r="AA168" s="138"/>
      <c r="AG168" s="138"/>
      <c r="AH168" s="138"/>
      <c r="AI168" s="138"/>
      <c r="AJ168" s="138"/>
    </row>
    <row r="169" spans="4:36">
      <c r="D169" s="138"/>
      <c r="E169" s="138"/>
      <c r="F169" s="138"/>
      <c r="H169" s="138"/>
      <c r="I169" s="138"/>
      <c r="J169" s="138"/>
      <c r="P169" s="138"/>
      <c r="Q169" s="138"/>
      <c r="T169" s="138"/>
      <c r="Y169" s="138"/>
      <c r="Z169" s="138"/>
      <c r="AA169" s="138"/>
      <c r="AG169" s="138"/>
      <c r="AH169" s="138"/>
      <c r="AI169" s="138"/>
      <c r="AJ169" s="138"/>
    </row>
    <row r="170" spans="4:36">
      <c r="D170" s="138"/>
      <c r="E170" s="138"/>
      <c r="F170" s="138"/>
      <c r="H170" s="138"/>
      <c r="I170" s="138"/>
      <c r="J170" s="138"/>
      <c r="P170" s="138"/>
      <c r="Q170" s="138"/>
      <c r="T170" s="138"/>
      <c r="Y170" s="138"/>
      <c r="Z170" s="138"/>
      <c r="AA170" s="138"/>
      <c r="AG170" s="138"/>
      <c r="AH170" s="138"/>
      <c r="AI170" s="138"/>
      <c r="AJ170" s="138"/>
    </row>
    <row r="171" spans="4:36">
      <c r="D171" s="138"/>
      <c r="E171" s="138"/>
      <c r="F171" s="138"/>
      <c r="H171" s="138"/>
      <c r="I171" s="138"/>
      <c r="J171" s="138"/>
      <c r="P171" s="138"/>
      <c r="Q171" s="138"/>
      <c r="T171" s="138"/>
      <c r="Y171" s="138"/>
      <c r="Z171" s="138"/>
      <c r="AA171" s="138"/>
      <c r="AG171" s="138"/>
      <c r="AH171" s="138"/>
      <c r="AI171" s="138"/>
      <c r="AJ171" s="138"/>
    </row>
    <row r="172" spans="4:36">
      <c r="D172" s="138"/>
      <c r="E172" s="138"/>
      <c r="F172" s="138"/>
      <c r="H172" s="138"/>
      <c r="I172" s="138"/>
      <c r="J172" s="138"/>
      <c r="P172" s="138"/>
      <c r="Q172" s="138"/>
      <c r="T172" s="138"/>
      <c r="Y172" s="138"/>
      <c r="Z172" s="138"/>
      <c r="AA172" s="138"/>
      <c r="AG172" s="138"/>
      <c r="AH172" s="138"/>
      <c r="AI172" s="138"/>
      <c r="AJ172" s="138"/>
    </row>
    <row r="173" spans="4:36">
      <c r="D173" s="138"/>
      <c r="E173" s="138"/>
      <c r="F173" s="138"/>
      <c r="H173" s="138"/>
      <c r="I173" s="138"/>
      <c r="J173" s="138"/>
      <c r="P173" s="138"/>
      <c r="Q173" s="138"/>
      <c r="T173" s="138"/>
      <c r="Y173" s="138"/>
      <c r="Z173" s="138"/>
      <c r="AA173" s="138"/>
      <c r="AG173" s="138"/>
      <c r="AH173" s="138"/>
      <c r="AI173" s="138"/>
      <c r="AJ173" s="138"/>
    </row>
    <row r="174" spans="4:36">
      <c r="D174" s="138"/>
      <c r="E174" s="138"/>
      <c r="F174" s="138"/>
      <c r="H174" s="138"/>
      <c r="I174" s="138"/>
      <c r="J174" s="138"/>
      <c r="P174" s="138"/>
      <c r="Q174" s="138"/>
      <c r="T174" s="138"/>
      <c r="Y174" s="138"/>
      <c r="Z174" s="138"/>
      <c r="AA174" s="138"/>
      <c r="AG174" s="138"/>
      <c r="AH174" s="138"/>
      <c r="AI174" s="138"/>
      <c r="AJ174" s="138"/>
    </row>
    <row r="175" spans="4:36">
      <c r="D175" s="138"/>
      <c r="E175" s="138"/>
      <c r="F175" s="138"/>
      <c r="H175" s="138"/>
      <c r="I175" s="138"/>
      <c r="J175" s="138"/>
      <c r="P175" s="138"/>
      <c r="Q175" s="138"/>
      <c r="T175" s="138"/>
      <c r="Y175" s="138"/>
      <c r="Z175" s="138"/>
      <c r="AA175" s="138"/>
      <c r="AG175" s="138"/>
      <c r="AH175" s="138"/>
      <c r="AI175" s="138"/>
      <c r="AJ175" s="138"/>
    </row>
    <row r="176" spans="4:36">
      <c r="D176" s="138"/>
      <c r="E176" s="138"/>
      <c r="F176" s="138"/>
      <c r="H176" s="138"/>
      <c r="I176" s="138"/>
      <c r="J176" s="138"/>
      <c r="P176" s="138"/>
      <c r="Q176" s="138"/>
      <c r="T176" s="138"/>
      <c r="Y176" s="138"/>
      <c r="Z176" s="138"/>
      <c r="AA176" s="138"/>
      <c r="AG176" s="138"/>
      <c r="AH176" s="138"/>
      <c r="AI176" s="138"/>
      <c r="AJ176" s="138"/>
    </row>
    <row r="177" spans="4:36">
      <c r="D177" s="138"/>
      <c r="E177" s="138"/>
      <c r="F177" s="138"/>
      <c r="H177" s="138"/>
      <c r="I177" s="138"/>
      <c r="J177" s="138"/>
      <c r="P177" s="138"/>
      <c r="Q177" s="138"/>
      <c r="T177" s="138"/>
      <c r="Y177" s="138"/>
      <c r="Z177" s="138"/>
      <c r="AA177" s="138"/>
      <c r="AG177" s="138"/>
      <c r="AH177" s="138"/>
      <c r="AI177" s="138"/>
      <c r="AJ177" s="138"/>
    </row>
    <row r="178" spans="4:36">
      <c r="D178" s="138"/>
      <c r="E178" s="138"/>
      <c r="F178" s="138"/>
      <c r="H178" s="138"/>
      <c r="I178" s="138"/>
      <c r="J178" s="138"/>
      <c r="P178" s="138"/>
      <c r="Q178" s="138"/>
      <c r="T178" s="138"/>
      <c r="Y178" s="138"/>
      <c r="Z178" s="138"/>
      <c r="AA178" s="138"/>
      <c r="AG178" s="138"/>
      <c r="AH178" s="138"/>
      <c r="AI178" s="138"/>
      <c r="AJ178" s="138"/>
    </row>
    <row r="179" spans="4:36">
      <c r="D179" s="138"/>
      <c r="E179" s="138"/>
      <c r="F179" s="138"/>
      <c r="H179" s="138"/>
      <c r="I179" s="138"/>
      <c r="J179" s="138"/>
      <c r="P179" s="138"/>
      <c r="Q179" s="138"/>
      <c r="T179" s="138"/>
      <c r="Y179" s="138"/>
      <c r="Z179" s="138"/>
      <c r="AA179" s="138"/>
      <c r="AG179" s="138"/>
      <c r="AH179" s="138"/>
      <c r="AI179" s="138"/>
      <c r="AJ179" s="138"/>
    </row>
    <row r="180" spans="4:36">
      <c r="D180" s="138"/>
      <c r="E180" s="138"/>
      <c r="F180" s="138"/>
      <c r="H180" s="138"/>
      <c r="I180" s="138"/>
      <c r="J180" s="138"/>
      <c r="P180" s="138"/>
      <c r="Q180" s="138"/>
      <c r="T180" s="138"/>
      <c r="Y180" s="138"/>
      <c r="Z180" s="138"/>
      <c r="AA180" s="138"/>
      <c r="AG180" s="138"/>
      <c r="AH180" s="138"/>
      <c r="AI180" s="138"/>
      <c r="AJ180" s="138"/>
    </row>
    <row r="181" spans="4:36">
      <c r="D181" s="138"/>
      <c r="E181" s="138"/>
      <c r="F181" s="138"/>
      <c r="H181" s="138"/>
      <c r="I181" s="138"/>
      <c r="J181" s="138"/>
      <c r="P181" s="138"/>
      <c r="Q181" s="138"/>
      <c r="T181" s="138"/>
      <c r="Y181" s="138"/>
      <c r="Z181" s="138"/>
      <c r="AA181" s="138"/>
      <c r="AG181" s="138"/>
      <c r="AH181" s="138"/>
      <c r="AI181" s="138"/>
      <c r="AJ181" s="138"/>
    </row>
    <row r="182" spans="4:36">
      <c r="D182" s="138"/>
      <c r="E182" s="138"/>
      <c r="F182" s="138"/>
      <c r="H182" s="138"/>
      <c r="I182" s="138"/>
      <c r="J182" s="138"/>
      <c r="P182" s="138"/>
      <c r="Q182" s="138"/>
      <c r="T182" s="138"/>
      <c r="Y182" s="138"/>
      <c r="Z182" s="138"/>
      <c r="AA182" s="138"/>
      <c r="AG182" s="138"/>
      <c r="AH182" s="138"/>
      <c r="AI182" s="138"/>
      <c r="AJ182" s="138"/>
    </row>
    <row r="183" spans="4:36">
      <c r="D183" s="138"/>
      <c r="E183" s="138"/>
      <c r="F183" s="138"/>
      <c r="H183" s="138"/>
      <c r="I183" s="138"/>
      <c r="J183" s="138"/>
      <c r="P183" s="138"/>
      <c r="Q183" s="138"/>
      <c r="T183" s="138"/>
      <c r="Y183" s="138"/>
      <c r="Z183" s="138"/>
      <c r="AA183" s="138"/>
      <c r="AG183" s="138"/>
      <c r="AH183" s="138"/>
      <c r="AI183" s="138"/>
      <c r="AJ183" s="138"/>
    </row>
    <row r="184" spans="4:36">
      <c r="D184" s="138"/>
      <c r="E184" s="138"/>
      <c r="F184" s="138"/>
      <c r="H184" s="138"/>
      <c r="I184" s="138"/>
      <c r="J184" s="138"/>
      <c r="P184" s="138"/>
      <c r="Q184" s="138"/>
      <c r="T184" s="138"/>
      <c r="Y184" s="138"/>
      <c r="Z184" s="138"/>
      <c r="AA184" s="138"/>
      <c r="AG184" s="138"/>
      <c r="AH184" s="138"/>
      <c r="AI184" s="138"/>
      <c r="AJ184" s="138"/>
    </row>
    <row r="185" spans="4:36">
      <c r="D185" s="138"/>
      <c r="E185" s="138"/>
      <c r="F185" s="138"/>
      <c r="H185" s="138"/>
      <c r="I185" s="138"/>
      <c r="J185" s="138"/>
      <c r="P185" s="138"/>
      <c r="Q185" s="138"/>
      <c r="T185" s="138"/>
      <c r="Y185" s="138"/>
      <c r="Z185" s="138"/>
      <c r="AA185" s="138"/>
      <c r="AG185" s="138"/>
      <c r="AH185" s="138"/>
      <c r="AI185" s="138"/>
      <c r="AJ185" s="138"/>
    </row>
    <row r="186" spans="4:36">
      <c r="D186" s="138"/>
      <c r="E186" s="138"/>
      <c r="F186" s="138"/>
      <c r="H186" s="138"/>
      <c r="I186" s="138"/>
      <c r="J186" s="138"/>
      <c r="P186" s="138"/>
      <c r="Q186" s="138"/>
      <c r="T186" s="138"/>
      <c r="Y186" s="138"/>
      <c r="Z186" s="138"/>
      <c r="AA186" s="138"/>
      <c r="AG186" s="138"/>
      <c r="AH186" s="138"/>
      <c r="AI186" s="138"/>
      <c r="AJ186" s="138"/>
    </row>
    <row r="187" spans="4:36">
      <c r="D187" s="138"/>
      <c r="E187" s="138"/>
      <c r="F187" s="138"/>
      <c r="H187" s="138"/>
      <c r="I187" s="138"/>
      <c r="J187" s="138"/>
      <c r="P187" s="138"/>
      <c r="Q187" s="138"/>
      <c r="T187" s="138"/>
      <c r="Y187" s="138"/>
      <c r="Z187" s="138"/>
      <c r="AA187" s="138"/>
      <c r="AG187" s="138"/>
      <c r="AH187" s="138"/>
      <c r="AI187" s="138"/>
      <c r="AJ187" s="138"/>
    </row>
    <row r="188" spans="4:36">
      <c r="D188" s="138"/>
      <c r="E188" s="138"/>
      <c r="F188" s="138"/>
      <c r="H188" s="138"/>
      <c r="I188" s="138"/>
      <c r="J188" s="138"/>
      <c r="P188" s="138"/>
      <c r="Q188" s="138"/>
      <c r="T188" s="138"/>
      <c r="Y188" s="138"/>
      <c r="Z188" s="138"/>
      <c r="AA188" s="138"/>
      <c r="AG188" s="138"/>
      <c r="AH188" s="138"/>
      <c r="AI188" s="138"/>
      <c r="AJ188" s="138"/>
    </row>
    <row r="189" spans="4:36">
      <c r="D189" s="138"/>
      <c r="E189" s="138"/>
      <c r="F189" s="138"/>
      <c r="H189" s="138"/>
      <c r="I189" s="138"/>
      <c r="J189" s="138"/>
      <c r="P189" s="138"/>
      <c r="Q189" s="138"/>
      <c r="T189" s="138"/>
      <c r="Y189" s="138"/>
      <c r="Z189" s="138"/>
      <c r="AA189" s="138"/>
      <c r="AG189" s="138"/>
      <c r="AH189" s="138"/>
      <c r="AI189" s="138"/>
      <c r="AJ189" s="138"/>
    </row>
    <row r="190" spans="4:36">
      <c r="D190" s="138"/>
      <c r="E190" s="138"/>
      <c r="F190" s="138"/>
      <c r="H190" s="138"/>
      <c r="I190" s="138"/>
      <c r="J190" s="138"/>
      <c r="P190" s="138"/>
      <c r="Q190" s="138"/>
      <c r="T190" s="138"/>
      <c r="Y190" s="138"/>
      <c r="Z190" s="138"/>
      <c r="AA190" s="138"/>
      <c r="AG190" s="138"/>
      <c r="AH190" s="138"/>
      <c r="AI190" s="138"/>
      <c r="AJ190" s="138"/>
    </row>
    <row r="191" spans="4:36">
      <c r="D191" s="138"/>
      <c r="E191" s="138"/>
      <c r="F191" s="138"/>
      <c r="H191" s="138"/>
      <c r="I191" s="138"/>
      <c r="J191" s="138"/>
      <c r="P191" s="138"/>
      <c r="Q191" s="138"/>
      <c r="T191" s="138"/>
      <c r="Y191" s="138"/>
      <c r="Z191" s="138"/>
      <c r="AA191" s="138"/>
      <c r="AG191" s="138"/>
      <c r="AH191" s="138"/>
      <c r="AI191" s="138"/>
      <c r="AJ191" s="138"/>
    </row>
    <row r="192" spans="4:36">
      <c r="D192" s="138"/>
      <c r="E192" s="138"/>
      <c r="F192" s="138"/>
      <c r="H192" s="138"/>
      <c r="I192" s="138"/>
      <c r="J192" s="138"/>
      <c r="P192" s="138"/>
      <c r="Q192" s="138"/>
      <c r="T192" s="138"/>
      <c r="Y192" s="138"/>
      <c r="Z192" s="138"/>
      <c r="AA192" s="138"/>
      <c r="AG192" s="138"/>
      <c r="AH192" s="138"/>
      <c r="AI192" s="138"/>
      <c r="AJ192" s="138"/>
    </row>
    <row r="193" spans="4:36">
      <c r="D193" s="138"/>
      <c r="E193" s="138"/>
      <c r="F193" s="138"/>
      <c r="H193" s="138"/>
      <c r="I193" s="138"/>
      <c r="J193" s="138"/>
      <c r="P193" s="138"/>
      <c r="Q193" s="138"/>
      <c r="T193" s="138"/>
      <c r="Y193" s="138"/>
      <c r="Z193" s="138"/>
      <c r="AA193" s="138"/>
      <c r="AG193" s="138"/>
      <c r="AH193" s="138"/>
      <c r="AI193" s="138"/>
      <c r="AJ193" s="138"/>
    </row>
    <row r="194" spans="4:36">
      <c r="D194" s="138"/>
      <c r="E194" s="138"/>
      <c r="F194" s="138"/>
      <c r="H194" s="138"/>
      <c r="I194" s="138"/>
      <c r="J194" s="138"/>
      <c r="P194" s="138"/>
      <c r="Q194" s="138"/>
      <c r="T194" s="138"/>
      <c r="Y194" s="138"/>
      <c r="Z194" s="138"/>
      <c r="AA194" s="138"/>
      <c r="AG194" s="138"/>
      <c r="AH194" s="138"/>
      <c r="AI194" s="138"/>
      <c r="AJ194" s="138"/>
    </row>
    <row r="195" spans="4:36">
      <c r="D195" s="138"/>
      <c r="E195" s="138"/>
      <c r="F195" s="138"/>
      <c r="H195" s="138"/>
      <c r="I195" s="138"/>
      <c r="J195" s="138"/>
      <c r="P195" s="138"/>
      <c r="Q195" s="138"/>
      <c r="T195" s="138"/>
      <c r="Y195" s="138"/>
      <c r="Z195" s="138"/>
      <c r="AA195" s="138"/>
      <c r="AG195" s="138"/>
      <c r="AH195" s="138"/>
      <c r="AI195" s="138"/>
      <c r="AJ195" s="138"/>
    </row>
    <row r="196" spans="4:36">
      <c r="D196" s="138"/>
      <c r="E196" s="138"/>
      <c r="F196" s="138"/>
      <c r="H196" s="138"/>
      <c r="I196" s="138"/>
      <c r="J196" s="138"/>
      <c r="P196" s="138"/>
      <c r="Q196" s="138"/>
      <c r="T196" s="138"/>
      <c r="Y196" s="138"/>
      <c r="Z196" s="138"/>
      <c r="AA196" s="138"/>
      <c r="AG196" s="138"/>
      <c r="AH196" s="138"/>
      <c r="AI196" s="138"/>
      <c r="AJ196" s="138"/>
    </row>
    <row r="197" spans="4:36">
      <c r="D197" s="138"/>
      <c r="E197" s="138"/>
      <c r="F197" s="138"/>
      <c r="H197" s="138"/>
      <c r="I197" s="138"/>
      <c r="J197" s="138"/>
      <c r="P197" s="138"/>
      <c r="Q197" s="138"/>
      <c r="T197" s="138"/>
      <c r="Y197" s="138"/>
      <c r="Z197" s="138"/>
      <c r="AA197" s="138"/>
      <c r="AG197" s="138"/>
      <c r="AH197" s="138"/>
      <c r="AI197" s="138"/>
      <c r="AJ197" s="138"/>
    </row>
    <row r="198" spans="4:36">
      <c r="D198" s="138"/>
      <c r="E198" s="138"/>
      <c r="F198" s="138"/>
      <c r="H198" s="138"/>
      <c r="I198" s="138"/>
      <c r="J198" s="138"/>
      <c r="P198" s="138"/>
      <c r="Q198" s="138"/>
      <c r="T198" s="138"/>
      <c r="Y198" s="138"/>
      <c r="Z198" s="138"/>
      <c r="AA198" s="138"/>
      <c r="AG198" s="138"/>
      <c r="AH198" s="138"/>
      <c r="AI198" s="138"/>
      <c r="AJ198" s="138"/>
    </row>
    <row r="199" spans="4:36">
      <c r="D199" s="138"/>
      <c r="E199" s="138"/>
      <c r="F199" s="138"/>
      <c r="H199" s="138"/>
      <c r="I199" s="138"/>
      <c r="J199" s="138"/>
      <c r="P199" s="138"/>
      <c r="Q199" s="138"/>
      <c r="T199" s="138"/>
      <c r="Y199" s="138"/>
      <c r="Z199" s="138"/>
      <c r="AA199" s="138"/>
      <c r="AG199" s="138"/>
      <c r="AH199" s="138"/>
      <c r="AI199" s="138"/>
      <c r="AJ199" s="138"/>
    </row>
    <row r="200" spans="4:36">
      <c r="D200" s="138"/>
      <c r="E200" s="138"/>
      <c r="F200" s="138"/>
      <c r="H200" s="138"/>
      <c r="I200" s="138"/>
      <c r="J200" s="138"/>
      <c r="P200" s="138"/>
      <c r="Q200" s="138"/>
      <c r="T200" s="138"/>
      <c r="Y200" s="138"/>
      <c r="Z200" s="138"/>
      <c r="AA200" s="138"/>
      <c r="AG200" s="138"/>
      <c r="AH200" s="138"/>
      <c r="AI200" s="138"/>
      <c r="AJ200" s="138"/>
    </row>
    <row r="201" spans="4:36">
      <c r="D201" s="138"/>
      <c r="E201" s="138"/>
      <c r="F201" s="138"/>
      <c r="H201" s="138"/>
      <c r="I201" s="138"/>
      <c r="J201" s="138"/>
      <c r="P201" s="138"/>
      <c r="Q201" s="138"/>
      <c r="T201" s="138"/>
      <c r="Y201" s="138"/>
      <c r="Z201" s="138"/>
      <c r="AA201" s="138"/>
      <c r="AG201" s="138"/>
      <c r="AH201" s="138"/>
      <c r="AI201" s="138"/>
      <c r="AJ201" s="138"/>
    </row>
    <row r="202" spans="4:36">
      <c r="D202" s="138"/>
      <c r="E202" s="138"/>
      <c r="F202" s="138"/>
      <c r="H202" s="138"/>
      <c r="I202" s="138"/>
      <c r="J202" s="138"/>
      <c r="P202" s="138"/>
      <c r="Q202" s="138"/>
      <c r="T202" s="138"/>
      <c r="Y202" s="138"/>
      <c r="Z202" s="138"/>
      <c r="AA202" s="138"/>
      <c r="AG202" s="138"/>
      <c r="AH202" s="138"/>
      <c r="AI202" s="138"/>
      <c r="AJ202" s="138"/>
    </row>
    <row r="203" spans="4:36">
      <c r="D203" s="138"/>
      <c r="E203" s="138"/>
      <c r="F203" s="138"/>
      <c r="H203" s="138"/>
      <c r="I203" s="138"/>
      <c r="J203" s="138"/>
      <c r="P203" s="138"/>
      <c r="Q203" s="138"/>
      <c r="T203" s="138"/>
      <c r="Y203" s="138"/>
      <c r="Z203" s="138"/>
      <c r="AA203" s="138"/>
      <c r="AG203" s="138"/>
      <c r="AH203" s="138"/>
      <c r="AI203" s="138"/>
      <c r="AJ203" s="138"/>
    </row>
    <row r="204" spans="4:36">
      <c r="D204" s="138"/>
      <c r="E204" s="138"/>
      <c r="F204" s="138"/>
      <c r="H204" s="138"/>
      <c r="I204" s="138"/>
      <c r="J204" s="138"/>
      <c r="P204" s="138"/>
      <c r="Q204" s="138"/>
      <c r="T204" s="138"/>
      <c r="Y204" s="138"/>
      <c r="Z204" s="138"/>
      <c r="AA204" s="138"/>
      <c r="AG204" s="138"/>
      <c r="AH204" s="138"/>
      <c r="AI204" s="138"/>
      <c r="AJ204" s="138"/>
    </row>
    <row r="205" spans="4:36">
      <c r="D205" s="138"/>
      <c r="E205" s="138"/>
      <c r="F205" s="138"/>
      <c r="H205" s="138"/>
      <c r="I205" s="138"/>
      <c r="J205" s="138"/>
      <c r="P205" s="138"/>
      <c r="Q205" s="138"/>
      <c r="T205" s="138"/>
      <c r="Y205" s="138"/>
      <c r="Z205" s="138"/>
      <c r="AA205" s="138"/>
      <c r="AG205" s="138"/>
      <c r="AH205" s="138"/>
      <c r="AI205" s="138"/>
      <c r="AJ205" s="138"/>
    </row>
    <row r="206" spans="4:36">
      <c r="D206" s="138"/>
      <c r="E206" s="138"/>
      <c r="F206" s="138"/>
      <c r="H206" s="138"/>
      <c r="I206" s="138"/>
      <c r="J206" s="138"/>
      <c r="P206" s="138"/>
      <c r="Q206" s="138"/>
      <c r="T206" s="138"/>
      <c r="Y206" s="138"/>
      <c r="Z206" s="138"/>
      <c r="AA206" s="138"/>
      <c r="AG206" s="138"/>
      <c r="AH206" s="138"/>
      <c r="AI206" s="138"/>
      <c r="AJ206" s="138"/>
    </row>
    <row r="207" spans="4:36">
      <c r="D207" s="138"/>
      <c r="E207" s="138"/>
      <c r="F207" s="138"/>
      <c r="H207" s="138"/>
      <c r="I207" s="138"/>
      <c r="J207" s="138"/>
      <c r="P207" s="138"/>
      <c r="Q207" s="138"/>
      <c r="T207" s="138"/>
      <c r="Y207" s="138"/>
      <c r="Z207" s="138"/>
      <c r="AA207" s="138"/>
      <c r="AG207" s="138"/>
      <c r="AH207" s="138"/>
      <c r="AI207" s="138"/>
      <c r="AJ207" s="138"/>
    </row>
    <row r="208" spans="4:36">
      <c r="D208" s="138"/>
      <c r="E208" s="138"/>
      <c r="F208" s="138"/>
      <c r="H208" s="138"/>
      <c r="I208" s="138"/>
      <c r="J208" s="138"/>
      <c r="P208" s="138"/>
      <c r="Q208" s="138"/>
      <c r="T208" s="138"/>
      <c r="Y208" s="138"/>
      <c r="Z208" s="138"/>
      <c r="AA208" s="138"/>
      <c r="AG208" s="138"/>
      <c r="AH208" s="138"/>
      <c r="AI208" s="138"/>
      <c r="AJ208" s="138"/>
    </row>
    <row r="209" spans="4:36">
      <c r="D209" s="138"/>
      <c r="E209" s="138"/>
      <c r="F209" s="138"/>
      <c r="H209" s="138"/>
      <c r="I209" s="138"/>
      <c r="J209" s="138"/>
      <c r="P209" s="138"/>
      <c r="Q209" s="138"/>
      <c r="T209" s="138"/>
      <c r="Y209" s="138"/>
      <c r="Z209" s="138"/>
      <c r="AA209" s="138"/>
      <c r="AG209" s="138"/>
      <c r="AH209" s="138"/>
      <c r="AI209" s="138"/>
      <c r="AJ209" s="138"/>
    </row>
    <row r="210" spans="4:36">
      <c r="D210" s="138"/>
      <c r="E210" s="138"/>
      <c r="F210" s="138"/>
      <c r="H210" s="138"/>
      <c r="I210" s="138"/>
      <c r="J210" s="138"/>
      <c r="P210" s="138"/>
      <c r="Q210" s="138"/>
      <c r="T210" s="138"/>
      <c r="Y210" s="138"/>
      <c r="Z210" s="138"/>
      <c r="AA210" s="138"/>
      <c r="AG210" s="138"/>
      <c r="AH210" s="138"/>
      <c r="AI210" s="138"/>
      <c r="AJ210" s="138"/>
    </row>
    <row r="211" spans="4:36">
      <c r="D211" s="138"/>
      <c r="E211" s="138"/>
      <c r="F211" s="138"/>
      <c r="H211" s="138"/>
      <c r="I211" s="138"/>
      <c r="J211" s="138"/>
      <c r="P211" s="138"/>
      <c r="Q211" s="138"/>
      <c r="T211" s="138"/>
      <c r="Y211" s="138"/>
      <c r="Z211" s="138"/>
      <c r="AA211" s="138"/>
      <c r="AG211" s="138"/>
      <c r="AH211" s="138"/>
      <c r="AI211" s="138"/>
      <c r="AJ211" s="138"/>
    </row>
    <row r="212" spans="4:36">
      <c r="D212" s="138"/>
      <c r="E212" s="138"/>
      <c r="F212" s="138"/>
      <c r="H212" s="138"/>
      <c r="I212" s="138"/>
      <c r="J212" s="138"/>
      <c r="P212" s="138"/>
      <c r="Q212" s="138"/>
      <c r="T212" s="138"/>
      <c r="Y212" s="138"/>
      <c r="Z212" s="138"/>
      <c r="AA212" s="138"/>
      <c r="AG212" s="138"/>
      <c r="AH212" s="138"/>
      <c r="AI212" s="138"/>
      <c r="AJ212" s="138"/>
    </row>
    <row r="213" spans="4:36">
      <c r="D213" s="138"/>
      <c r="E213" s="138"/>
      <c r="F213" s="138"/>
      <c r="H213" s="138"/>
      <c r="I213" s="138"/>
      <c r="J213" s="138"/>
      <c r="P213" s="138"/>
      <c r="Q213" s="138"/>
      <c r="T213" s="138"/>
      <c r="Y213" s="138"/>
      <c r="Z213" s="138"/>
      <c r="AA213" s="138"/>
      <c r="AG213" s="138"/>
      <c r="AH213" s="138"/>
      <c r="AI213" s="138"/>
      <c r="AJ213" s="138"/>
    </row>
    <row r="214" spans="4:36">
      <c r="D214" s="138"/>
      <c r="E214" s="138"/>
      <c r="F214" s="138"/>
      <c r="H214" s="138"/>
      <c r="I214" s="138"/>
      <c r="J214" s="138"/>
      <c r="P214" s="138"/>
      <c r="Q214" s="138"/>
      <c r="T214" s="138"/>
      <c r="Y214" s="138"/>
      <c r="Z214" s="138"/>
      <c r="AA214" s="138"/>
      <c r="AG214" s="138"/>
      <c r="AH214" s="138"/>
      <c r="AI214" s="138"/>
      <c r="AJ214" s="138"/>
    </row>
    <row r="215" spans="4:36">
      <c r="D215" s="138"/>
      <c r="E215" s="138"/>
      <c r="F215" s="138"/>
      <c r="H215" s="138"/>
      <c r="I215" s="138"/>
      <c r="J215" s="138"/>
      <c r="P215" s="138"/>
      <c r="Q215" s="138"/>
      <c r="T215" s="138"/>
      <c r="Y215" s="138"/>
      <c r="Z215" s="138"/>
      <c r="AA215" s="138"/>
      <c r="AG215" s="138"/>
      <c r="AH215" s="138"/>
      <c r="AI215" s="138"/>
      <c r="AJ215" s="138"/>
    </row>
    <row r="216" spans="4:36">
      <c r="D216" s="138"/>
      <c r="E216" s="138"/>
      <c r="F216" s="138"/>
      <c r="H216" s="138"/>
      <c r="I216" s="138"/>
      <c r="J216" s="138"/>
      <c r="P216" s="138"/>
      <c r="Q216" s="138"/>
      <c r="T216" s="138"/>
      <c r="Y216" s="138"/>
      <c r="Z216" s="138"/>
      <c r="AA216" s="138"/>
      <c r="AG216" s="138"/>
      <c r="AH216" s="138"/>
      <c r="AI216" s="138"/>
      <c r="AJ216" s="138"/>
    </row>
    <row r="217" spans="4:36">
      <c r="D217" s="138"/>
      <c r="E217" s="138"/>
      <c r="F217" s="138"/>
      <c r="H217" s="138"/>
      <c r="I217" s="138"/>
      <c r="J217" s="138"/>
      <c r="P217" s="138"/>
      <c r="Q217" s="138"/>
      <c r="T217" s="138"/>
      <c r="Y217" s="138"/>
      <c r="Z217" s="138"/>
      <c r="AA217" s="138"/>
      <c r="AG217" s="138"/>
      <c r="AH217" s="138"/>
      <c r="AI217" s="138"/>
      <c r="AJ217" s="138"/>
    </row>
    <row r="218" spans="4:36">
      <c r="D218" s="138"/>
      <c r="E218" s="138"/>
      <c r="F218" s="138"/>
      <c r="H218" s="138"/>
      <c r="I218" s="138"/>
      <c r="J218" s="138"/>
      <c r="P218" s="138"/>
      <c r="Q218" s="138"/>
      <c r="T218" s="138"/>
      <c r="Y218" s="138"/>
      <c r="Z218" s="138"/>
      <c r="AA218" s="138"/>
      <c r="AG218" s="138"/>
      <c r="AH218" s="138"/>
      <c r="AI218" s="138"/>
      <c r="AJ218" s="138"/>
    </row>
    <row r="219" spans="4:36">
      <c r="D219" s="138"/>
      <c r="E219" s="138"/>
      <c r="F219" s="138"/>
      <c r="H219" s="138"/>
      <c r="I219" s="138"/>
      <c r="J219" s="138"/>
      <c r="P219" s="138"/>
      <c r="Q219" s="138"/>
      <c r="T219" s="138"/>
      <c r="Y219" s="138"/>
      <c r="Z219" s="138"/>
      <c r="AA219" s="138"/>
      <c r="AG219" s="138"/>
      <c r="AH219" s="138"/>
      <c r="AI219" s="138"/>
      <c r="AJ219" s="138"/>
    </row>
    <row r="220" spans="4:36">
      <c r="D220" s="138"/>
      <c r="E220" s="138"/>
      <c r="F220" s="138"/>
      <c r="H220" s="138"/>
      <c r="I220" s="138"/>
      <c r="J220" s="138"/>
      <c r="P220" s="138"/>
      <c r="Q220" s="138"/>
      <c r="T220" s="138"/>
      <c r="Y220" s="138"/>
      <c r="Z220" s="138"/>
      <c r="AA220" s="138"/>
      <c r="AG220" s="138"/>
      <c r="AH220" s="138"/>
      <c r="AI220" s="138"/>
      <c r="AJ220" s="138"/>
    </row>
    <row r="221" spans="4:36">
      <c r="D221" s="138"/>
      <c r="E221" s="138"/>
      <c r="F221" s="138"/>
      <c r="H221" s="138"/>
      <c r="I221" s="138"/>
      <c r="J221" s="138"/>
      <c r="P221" s="138"/>
      <c r="Q221" s="138"/>
      <c r="T221" s="138"/>
      <c r="Y221" s="138"/>
      <c r="Z221" s="138"/>
      <c r="AA221" s="138"/>
      <c r="AG221" s="138"/>
      <c r="AH221" s="138"/>
      <c r="AI221" s="138"/>
      <c r="AJ221" s="138"/>
    </row>
    <row r="222" spans="4:36">
      <c r="D222" s="138"/>
      <c r="E222" s="138"/>
      <c r="F222" s="138"/>
      <c r="H222" s="138"/>
      <c r="I222" s="138"/>
      <c r="J222" s="138"/>
      <c r="P222" s="138"/>
      <c r="Q222" s="138"/>
      <c r="T222" s="138"/>
      <c r="Y222" s="138"/>
      <c r="Z222" s="138"/>
      <c r="AA222" s="138"/>
      <c r="AG222" s="138"/>
      <c r="AH222" s="138"/>
      <c r="AI222" s="138"/>
      <c r="AJ222" s="138"/>
    </row>
    <row r="223" spans="4:36">
      <c r="D223" s="138"/>
      <c r="E223" s="138"/>
      <c r="F223" s="138"/>
      <c r="H223" s="138"/>
      <c r="I223" s="138"/>
      <c r="J223" s="138"/>
      <c r="P223" s="138"/>
      <c r="Q223" s="138"/>
      <c r="T223" s="138"/>
      <c r="Y223" s="138"/>
      <c r="Z223" s="138"/>
      <c r="AA223" s="138"/>
      <c r="AG223" s="138"/>
      <c r="AH223" s="138"/>
      <c r="AI223" s="138"/>
      <c r="AJ223" s="138"/>
    </row>
    <row r="224" spans="4:36">
      <c r="D224" s="138"/>
      <c r="E224" s="138"/>
      <c r="F224" s="138"/>
      <c r="H224" s="138"/>
      <c r="I224" s="138"/>
      <c r="J224" s="138"/>
      <c r="P224" s="138"/>
      <c r="Q224" s="138"/>
      <c r="T224" s="138"/>
      <c r="Y224" s="138"/>
      <c r="Z224" s="138"/>
      <c r="AA224" s="138"/>
      <c r="AG224" s="138"/>
      <c r="AH224" s="138"/>
      <c r="AI224" s="138"/>
      <c r="AJ224" s="138"/>
    </row>
    <row r="225" spans="4:36">
      <c r="D225" s="138"/>
      <c r="E225" s="138"/>
      <c r="F225" s="138"/>
      <c r="H225" s="138"/>
      <c r="I225" s="138"/>
      <c r="J225" s="138"/>
      <c r="P225" s="138"/>
      <c r="Q225" s="138"/>
      <c r="T225" s="138"/>
      <c r="Y225" s="138"/>
      <c r="Z225" s="138"/>
      <c r="AA225" s="138"/>
      <c r="AG225" s="138"/>
      <c r="AH225" s="138"/>
      <c r="AI225" s="138"/>
      <c r="AJ225" s="138"/>
    </row>
    <row r="226" spans="4:36">
      <c r="D226" s="138"/>
      <c r="E226" s="138"/>
      <c r="F226" s="138"/>
      <c r="H226" s="138"/>
      <c r="I226" s="138"/>
      <c r="J226" s="138"/>
      <c r="P226" s="138"/>
      <c r="Q226" s="138"/>
      <c r="T226" s="138"/>
      <c r="Y226" s="138"/>
      <c r="Z226" s="138"/>
      <c r="AA226" s="138"/>
      <c r="AG226" s="138"/>
      <c r="AH226" s="138"/>
      <c r="AI226" s="138"/>
      <c r="AJ226" s="138"/>
    </row>
    <row r="227" spans="4:36">
      <c r="D227" s="138"/>
      <c r="E227" s="138"/>
      <c r="F227" s="138"/>
      <c r="H227" s="138"/>
      <c r="I227" s="138"/>
      <c r="J227" s="138"/>
      <c r="P227" s="138"/>
      <c r="Q227" s="138"/>
      <c r="T227" s="138"/>
      <c r="Y227" s="138"/>
      <c r="Z227" s="138"/>
      <c r="AA227" s="138"/>
      <c r="AG227" s="138"/>
      <c r="AH227" s="138"/>
      <c r="AI227" s="138"/>
      <c r="AJ227" s="138"/>
    </row>
    <row r="228" spans="4:36">
      <c r="D228" s="138"/>
      <c r="E228" s="138"/>
      <c r="F228" s="138"/>
      <c r="H228" s="138"/>
      <c r="I228" s="138"/>
      <c r="J228" s="138"/>
      <c r="P228" s="138"/>
      <c r="Q228" s="138"/>
      <c r="T228" s="138"/>
      <c r="Y228" s="138"/>
      <c r="Z228" s="138"/>
      <c r="AA228" s="138"/>
      <c r="AG228" s="138"/>
      <c r="AH228" s="138"/>
      <c r="AI228" s="138"/>
      <c r="AJ228" s="138"/>
    </row>
    <row r="229" spans="4:36">
      <c r="D229" s="138"/>
      <c r="E229" s="138"/>
      <c r="F229" s="138"/>
      <c r="H229" s="138"/>
      <c r="I229" s="138"/>
      <c r="J229" s="138"/>
      <c r="P229" s="138"/>
      <c r="Q229" s="138"/>
      <c r="T229" s="138"/>
      <c r="Y229" s="138"/>
      <c r="Z229" s="138"/>
      <c r="AA229" s="138"/>
      <c r="AG229" s="138"/>
      <c r="AH229" s="138"/>
      <c r="AI229" s="138"/>
      <c r="AJ229" s="138"/>
    </row>
    <row r="230" spans="4:36">
      <c r="D230" s="138"/>
      <c r="E230" s="138"/>
      <c r="F230" s="138"/>
      <c r="H230" s="138"/>
      <c r="I230" s="138"/>
      <c r="J230" s="138"/>
      <c r="P230" s="138"/>
      <c r="Q230" s="138"/>
      <c r="T230" s="138"/>
      <c r="Y230" s="138"/>
      <c r="Z230" s="138"/>
      <c r="AA230" s="138"/>
      <c r="AG230" s="138"/>
      <c r="AH230" s="138"/>
      <c r="AI230" s="138"/>
      <c r="AJ230" s="138"/>
    </row>
    <row r="231" spans="4:36">
      <c r="D231" s="138"/>
      <c r="E231" s="138"/>
      <c r="F231" s="138"/>
      <c r="H231" s="138"/>
      <c r="I231" s="138"/>
      <c r="J231" s="138"/>
      <c r="P231" s="138"/>
      <c r="Q231" s="138"/>
      <c r="T231" s="138"/>
      <c r="Y231" s="138"/>
      <c r="Z231" s="138"/>
      <c r="AA231" s="138"/>
      <c r="AG231" s="138"/>
      <c r="AH231" s="138"/>
      <c r="AI231" s="138"/>
      <c r="AJ231" s="138"/>
    </row>
    <row r="232" spans="4:36">
      <c r="D232" s="138"/>
      <c r="E232" s="138"/>
      <c r="F232" s="138"/>
      <c r="H232" s="138"/>
      <c r="I232" s="138"/>
      <c r="J232" s="138"/>
      <c r="P232" s="138"/>
      <c r="Q232" s="138"/>
      <c r="T232" s="138"/>
      <c r="Y232" s="138"/>
      <c r="Z232" s="138"/>
      <c r="AA232" s="138"/>
      <c r="AG232" s="138"/>
      <c r="AH232" s="138"/>
      <c r="AI232" s="138"/>
      <c r="AJ232" s="138"/>
    </row>
    <row r="233" spans="4:36">
      <c r="D233" s="138"/>
      <c r="E233" s="138"/>
      <c r="F233" s="138"/>
      <c r="H233" s="138"/>
      <c r="I233" s="138"/>
      <c r="J233" s="138"/>
      <c r="P233" s="138"/>
      <c r="Q233" s="138"/>
      <c r="T233" s="138"/>
      <c r="Y233" s="138"/>
      <c r="Z233" s="138"/>
      <c r="AA233" s="138"/>
      <c r="AG233" s="138"/>
      <c r="AH233" s="138"/>
      <c r="AI233" s="138"/>
      <c r="AJ233" s="138"/>
    </row>
    <row r="234" spans="4:36">
      <c r="D234" s="138"/>
      <c r="E234" s="138"/>
      <c r="F234" s="138"/>
      <c r="H234" s="138"/>
      <c r="I234" s="138"/>
      <c r="J234" s="138"/>
      <c r="P234" s="138"/>
      <c r="Q234" s="138"/>
      <c r="T234" s="138"/>
      <c r="Y234" s="138"/>
      <c r="Z234" s="138"/>
      <c r="AA234" s="138"/>
      <c r="AG234" s="138"/>
      <c r="AH234" s="138"/>
      <c r="AI234" s="138"/>
      <c r="AJ234" s="138"/>
    </row>
    <row r="235" spans="4:36">
      <c r="D235" s="138"/>
      <c r="E235" s="138"/>
      <c r="F235" s="138"/>
      <c r="H235" s="138"/>
      <c r="I235" s="138"/>
      <c r="J235" s="138"/>
      <c r="P235" s="138"/>
      <c r="Q235" s="138"/>
      <c r="T235" s="138"/>
      <c r="Y235" s="138"/>
      <c r="Z235" s="138"/>
      <c r="AA235" s="138"/>
      <c r="AG235" s="138"/>
      <c r="AH235" s="138"/>
      <c r="AI235" s="138"/>
      <c r="AJ235" s="138"/>
    </row>
    <row r="236" spans="4:36">
      <c r="D236" s="138"/>
      <c r="E236" s="138"/>
      <c r="F236" s="138"/>
      <c r="H236" s="138"/>
      <c r="I236" s="138"/>
      <c r="J236" s="138"/>
      <c r="P236" s="138"/>
      <c r="Q236" s="138"/>
      <c r="T236" s="138"/>
      <c r="Y236" s="138"/>
      <c r="Z236" s="138"/>
      <c r="AA236" s="138"/>
      <c r="AG236" s="138"/>
      <c r="AH236" s="138"/>
      <c r="AI236" s="138"/>
      <c r="AJ236" s="138"/>
    </row>
    <row r="237" spans="4:36">
      <c r="D237" s="138"/>
      <c r="E237" s="138"/>
      <c r="F237" s="138"/>
      <c r="H237" s="138"/>
      <c r="I237" s="138"/>
      <c r="J237" s="138"/>
      <c r="P237" s="138"/>
      <c r="Q237" s="138"/>
      <c r="T237" s="138"/>
      <c r="Y237" s="138"/>
      <c r="Z237" s="138"/>
      <c r="AA237" s="138"/>
      <c r="AG237" s="138"/>
      <c r="AH237" s="138"/>
      <c r="AI237" s="138"/>
      <c r="AJ237" s="138"/>
    </row>
    <row r="238" spans="4:36">
      <c r="D238" s="138"/>
      <c r="E238" s="138"/>
      <c r="F238" s="138"/>
      <c r="H238" s="138"/>
      <c r="I238" s="138"/>
      <c r="J238" s="138"/>
      <c r="P238" s="138"/>
      <c r="Q238" s="138"/>
      <c r="T238" s="138"/>
      <c r="Y238" s="138"/>
      <c r="Z238" s="138"/>
      <c r="AA238" s="138"/>
      <c r="AG238" s="138"/>
      <c r="AH238" s="138"/>
      <c r="AI238" s="138"/>
      <c r="AJ238" s="138"/>
    </row>
    <row r="239" spans="4:36">
      <c r="D239" s="138"/>
      <c r="E239" s="138"/>
      <c r="F239" s="138"/>
      <c r="H239" s="138"/>
      <c r="I239" s="138"/>
      <c r="J239" s="138"/>
      <c r="P239" s="138"/>
      <c r="Q239" s="138"/>
      <c r="T239" s="138"/>
      <c r="Y239" s="138"/>
      <c r="Z239" s="138"/>
      <c r="AA239" s="138"/>
      <c r="AG239" s="138"/>
      <c r="AH239" s="138"/>
      <c r="AI239" s="138"/>
      <c r="AJ239" s="138"/>
    </row>
    <row r="240" spans="4:36">
      <c r="D240" s="138"/>
      <c r="E240" s="138"/>
      <c r="F240" s="138"/>
      <c r="H240" s="138"/>
      <c r="I240" s="138"/>
      <c r="J240" s="138"/>
      <c r="P240" s="138"/>
      <c r="Q240" s="138"/>
      <c r="T240" s="138"/>
      <c r="Y240" s="138"/>
      <c r="Z240" s="138"/>
      <c r="AA240" s="138"/>
      <c r="AG240" s="138"/>
      <c r="AH240" s="138"/>
      <c r="AI240" s="138"/>
      <c r="AJ240" s="138"/>
    </row>
    <row r="241" spans="4:36">
      <c r="D241" s="138"/>
      <c r="E241" s="138"/>
      <c r="F241" s="138"/>
      <c r="H241" s="138"/>
      <c r="I241" s="138"/>
      <c r="J241" s="138"/>
      <c r="P241" s="138"/>
      <c r="Q241" s="138"/>
      <c r="T241" s="138"/>
      <c r="Y241" s="138"/>
      <c r="Z241" s="138"/>
      <c r="AA241" s="138"/>
      <c r="AG241" s="138"/>
      <c r="AH241" s="138"/>
      <c r="AI241" s="138"/>
      <c r="AJ241" s="138"/>
    </row>
    <row r="242" spans="4:36">
      <c r="D242" s="138"/>
      <c r="E242" s="138"/>
      <c r="F242" s="138"/>
      <c r="H242" s="138"/>
      <c r="I242" s="138"/>
      <c r="J242" s="138"/>
      <c r="P242" s="138"/>
      <c r="Q242" s="138"/>
      <c r="T242" s="138"/>
      <c r="Y242" s="138"/>
      <c r="Z242" s="138"/>
      <c r="AA242" s="138"/>
      <c r="AG242" s="138"/>
      <c r="AH242" s="138"/>
      <c r="AI242" s="138"/>
      <c r="AJ242" s="138"/>
    </row>
    <row r="243" spans="4:36">
      <c r="D243" s="138"/>
      <c r="E243" s="138"/>
      <c r="F243" s="138"/>
      <c r="H243" s="138"/>
      <c r="I243" s="138"/>
      <c r="J243" s="138"/>
      <c r="P243" s="138"/>
      <c r="Q243" s="138"/>
      <c r="T243" s="138"/>
      <c r="Y243" s="138"/>
      <c r="Z243" s="138"/>
      <c r="AA243" s="138"/>
      <c r="AG243" s="138"/>
      <c r="AH243" s="138"/>
      <c r="AI243" s="138"/>
      <c r="AJ243" s="138"/>
    </row>
    <row r="244" spans="4:36">
      <c r="D244" s="138"/>
      <c r="E244" s="138"/>
      <c r="F244" s="138"/>
      <c r="H244" s="138"/>
      <c r="I244" s="138"/>
      <c r="J244" s="138"/>
      <c r="P244" s="138"/>
      <c r="Q244" s="138"/>
      <c r="T244" s="138"/>
      <c r="Y244" s="138"/>
      <c r="Z244" s="138"/>
      <c r="AA244" s="138"/>
      <c r="AG244" s="138"/>
      <c r="AH244" s="138"/>
      <c r="AI244" s="138"/>
      <c r="AJ244" s="138"/>
    </row>
    <row r="245" spans="4:36">
      <c r="D245" s="138"/>
      <c r="E245" s="138"/>
      <c r="F245" s="138"/>
      <c r="H245" s="138"/>
      <c r="I245" s="138"/>
      <c r="J245" s="138"/>
      <c r="P245" s="138"/>
      <c r="Q245" s="138"/>
      <c r="T245" s="138"/>
      <c r="Y245" s="138"/>
      <c r="Z245" s="138"/>
      <c r="AA245" s="138"/>
      <c r="AG245" s="138"/>
      <c r="AH245" s="138"/>
      <c r="AI245" s="138"/>
      <c r="AJ245" s="138"/>
    </row>
    <row r="246" spans="4:36">
      <c r="D246" s="138"/>
      <c r="E246" s="138"/>
      <c r="F246" s="138"/>
      <c r="H246" s="138"/>
      <c r="I246" s="138"/>
      <c r="J246" s="138"/>
      <c r="P246" s="138"/>
      <c r="Q246" s="138"/>
      <c r="T246" s="138"/>
      <c r="Y246" s="138"/>
      <c r="Z246" s="138"/>
      <c r="AA246" s="138"/>
      <c r="AG246" s="138"/>
      <c r="AH246" s="138"/>
      <c r="AI246" s="138"/>
      <c r="AJ246" s="138"/>
    </row>
    <row r="247" spans="4:36">
      <c r="D247" s="138"/>
      <c r="E247" s="138"/>
      <c r="F247" s="138"/>
      <c r="H247" s="138"/>
      <c r="I247" s="138"/>
      <c r="J247" s="138"/>
      <c r="P247" s="138"/>
      <c r="Q247" s="138"/>
      <c r="T247" s="138"/>
      <c r="Y247" s="138"/>
      <c r="Z247" s="138"/>
      <c r="AA247" s="138"/>
      <c r="AG247" s="138"/>
      <c r="AH247" s="138"/>
      <c r="AI247" s="138"/>
      <c r="AJ247" s="138"/>
    </row>
    <row r="248" spans="4:36">
      <c r="D248" s="138"/>
      <c r="E248" s="138"/>
      <c r="F248" s="138"/>
      <c r="H248" s="138"/>
      <c r="I248" s="138"/>
      <c r="J248" s="138"/>
      <c r="P248" s="138"/>
      <c r="Q248" s="138"/>
      <c r="T248" s="138"/>
      <c r="Y248" s="138"/>
      <c r="Z248" s="138"/>
      <c r="AA248" s="138"/>
      <c r="AG248" s="138"/>
      <c r="AH248" s="138"/>
      <c r="AI248" s="138"/>
      <c r="AJ248" s="138"/>
    </row>
    <row r="249" spans="4:36">
      <c r="D249" s="138"/>
      <c r="E249" s="138"/>
      <c r="F249" s="138"/>
      <c r="H249" s="138"/>
      <c r="I249" s="138"/>
      <c r="J249" s="138"/>
      <c r="P249" s="138"/>
      <c r="Q249" s="138"/>
      <c r="T249" s="138"/>
      <c r="Y249" s="138"/>
      <c r="Z249" s="138"/>
      <c r="AA249" s="138"/>
      <c r="AG249" s="138"/>
      <c r="AH249" s="138"/>
      <c r="AI249" s="138"/>
      <c r="AJ249" s="138"/>
    </row>
    <row r="250" spans="4:36">
      <c r="D250" s="138"/>
      <c r="E250" s="138"/>
      <c r="F250" s="138"/>
      <c r="H250" s="138"/>
      <c r="I250" s="138"/>
      <c r="J250" s="138"/>
      <c r="P250" s="138"/>
      <c r="Q250" s="138"/>
      <c r="T250" s="138"/>
      <c r="Y250" s="138"/>
      <c r="Z250" s="138"/>
      <c r="AA250" s="138"/>
      <c r="AG250" s="138"/>
      <c r="AH250" s="138"/>
      <c r="AI250" s="138"/>
      <c r="AJ250" s="138"/>
    </row>
    <row r="251" spans="4:36">
      <c r="D251" s="138"/>
      <c r="E251" s="138"/>
      <c r="F251" s="138"/>
      <c r="H251" s="138"/>
      <c r="I251" s="138"/>
      <c r="J251" s="138"/>
      <c r="P251" s="138"/>
      <c r="Q251" s="138"/>
      <c r="T251" s="138"/>
      <c r="Y251" s="138"/>
      <c r="Z251" s="138"/>
      <c r="AA251" s="138"/>
      <c r="AG251" s="138"/>
      <c r="AH251" s="138"/>
      <c r="AI251" s="138"/>
      <c r="AJ251" s="138"/>
    </row>
    <row r="252" spans="4:36">
      <c r="D252" s="138"/>
      <c r="E252" s="138"/>
      <c r="F252" s="138"/>
      <c r="H252" s="138"/>
      <c r="I252" s="138"/>
      <c r="J252" s="138"/>
      <c r="P252" s="138"/>
      <c r="Q252" s="138"/>
      <c r="T252" s="138"/>
      <c r="Y252" s="138"/>
      <c r="Z252" s="138"/>
      <c r="AA252" s="138"/>
      <c r="AG252" s="138"/>
      <c r="AH252" s="138"/>
      <c r="AI252" s="138"/>
      <c r="AJ252" s="138"/>
    </row>
    <row r="253" spans="4:36">
      <c r="D253" s="138"/>
      <c r="E253" s="138"/>
      <c r="F253" s="138"/>
      <c r="H253" s="138"/>
      <c r="I253" s="138"/>
      <c r="J253" s="138"/>
      <c r="P253" s="138"/>
      <c r="Q253" s="138"/>
      <c r="T253" s="138"/>
      <c r="Y253" s="138"/>
      <c r="Z253" s="138"/>
      <c r="AA253" s="138"/>
      <c r="AG253" s="138"/>
      <c r="AH253" s="138"/>
      <c r="AI253" s="138"/>
      <c r="AJ253" s="138"/>
    </row>
    <row r="254" spans="4:36">
      <c r="D254" s="138"/>
      <c r="E254" s="138"/>
      <c r="F254" s="138"/>
      <c r="H254" s="138"/>
      <c r="I254" s="138"/>
      <c r="J254" s="138"/>
      <c r="P254" s="138"/>
      <c r="Q254" s="138"/>
      <c r="T254" s="138"/>
      <c r="Y254" s="138"/>
      <c r="Z254" s="138"/>
      <c r="AA254" s="138"/>
      <c r="AG254" s="138"/>
      <c r="AH254" s="138"/>
      <c r="AI254" s="138"/>
      <c r="AJ254" s="138"/>
    </row>
    <row r="255" spans="4:36">
      <c r="D255" s="138"/>
      <c r="E255" s="138"/>
      <c r="F255" s="138"/>
      <c r="H255" s="138"/>
      <c r="I255" s="138"/>
      <c r="J255" s="138"/>
      <c r="P255" s="138"/>
      <c r="Q255" s="138"/>
      <c r="T255" s="138"/>
      <c r="Y255" s="138"/>
      <c r="Z255" s="138"/>
      <c r="AA255" s="138"/>
      <c r="AG255" s="138"/>
      <c r="AH255" s="138"/>
      <c r="AI255" s="138"/>
      <c r="AJ255" s="138"/>
    </row>
    <row r="256" spans="4:36">
      <c r="D256" s="138"/>
      <c r="E256" s="138"/>
      <c r="F256" s="138"/>
      <c r="H256" s="138"/>
      <c r="I256" s="138"/>
      <c r="J256" s="138"/>
      <c r="P256" s="138"/>
      <c r="Q256" s="138"/>
      <c r="T256" s="138"/>
      <c r="Y256" s="138"/>
      <c r="Z256" s="138"/>
      <c r="AA256" s="138"/>
      <c r="AG256" s="138"/>
      <c r="AH256" s="138"/>
      <c r="AI256" s="138"/>
      <c r="AJ256" s="138"/>
    </row>
    <row r="257" spans="4:36">
      <c r="D257" s="138"/>
      <c r="E257" s="138"/>
      <c r="F257" s="138"/>
      <c r="H257" s="138"/>
      <c r="I257" s="138"/>
      <c r="J257" s="138"/>
      <c r="P257" s="138"/>
      <c r="Q257" s="138"/>
      <c r="T257" s="138"/>
      <c r="Y257" s="138"/>
      <c r="Z257" s="138"/>
      <c r="AA257" s="138"/>
      <c r="AG257" s="138"/>
      <c r="AH257" s="138"/>
      <c r="AI257" s="138"/>
      <c r="AJ257" s="138"/>
    </row>
  </sheetData>
  <hyperlinks>
    <hyperlink ref="D5" r:id="rId1" xr:uid="{F479843B-3CC4-4737-A488-BE8AC341CA9B}"/>
    <hyperlink ref="T5" r:id="rId2" xr:uid="{F86944EA-6C13-4905-A23A-9F0F60717CE6}"/>
    <hyperlink ref="AI5" r:id="rId3" xr:uid="{229E1C4C-4C74-4B4B-A5C8-BB1D307307F2}"/>
    <hyperlink ref="AH5" r:id="rId4" xr:uid="{9F6951B5-194F-422C-9FDD-F290B3EF1488}"/>
    <hyperlink ref="AJ5" r:id="rId5" xr:uid="{9AD71B03-BD58-4195-A846-3ABA90E5DA23}"/>
    <hyperlink ref="Y5" r:id="rId6" xr:uid="{8D6C22A1-ECD7-4459-8792-C6F4F649A781}"/>
    <hyperlink ref="S5" r:id="rId7" xr:uid="{0D3D8EA5-D5DD-4C9A-ACBD-4DDEC6304AD5}"/>
    <hyperlink ref="X5" r:id="rId8" xr:uid="{C22C4C18-DC6D-48E1-8BAE-7D26CA8B2315}"/>
    <hyperlink ref="U5" r:id="rId9" xr:uid="{9CA72D0F-7530-41E3-AFE9-A3780B98A06C}"/>
    <hyperlink ref="E5" r:id="rId10" xr:uid="{125E2B14-2E87-44B6-B86D-CBAC406FE56F}"/>
    <hyperlink ref="E4" r:id="rId11" xr:uid="{6E326CB8-C444-4B07-BD2C-16CD039B3E41}"/>
    <hyperlink ref="E6" r:id="rId12" xr:uid="{5A092237-58F0-4FAC-B23B-3339E9013AE8}"/>
    <hyperlink ref="I5" r:id="rId13" xr:uid="{CCB6CBF9-701F-40DA-83CB-9BCE2D1AA811}"/>
  </hyperlinks>
  <pageMargins left="0.7" right="0.7" top="0.75" bottom="0.75" header="0.3" footer="0.3"/>
  <pageSetup paperSize="9" orientation="portrait" verticalDpi="300" r:id="rId14"/>
  <legacyDrawing r:id="rId1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F8E8-95BF-464D-976C-0A571478189F}">
  <sheetPr>
    <tabColor theme="7" tint="0.39997558519241921"/>
  </sheetPr>
  <dimension ref="B1:AJ241"/>
  <sheetViews>
    <sheetView zoomScale="85" zoomScaleNormal="85" workbookViewId="0">
      <selection activeCell="C78" sqref="C78"/>
    </sheetView>
  </sheetViews>
  <sheetFormatPr defaultRowHeight="12.75" outlineLevelRow="1"/>
  <cols>
    <col min="1" max="1" width="5" style="260" customWidth="1"/>
    <col min="2" max="2" width="49" style="260" customWidth="1"/>
    <col min="3" max="3" width="39" style="260" customWidth="1"/>
    <col min="4" max="5" width="39" style="74" customWidth="1"/>
    <col min="6" max="6" width="37.125" style="74" customWidth="1"/>
    <col min="7" max="7" width="9" style="76"/>
    <col min="8" max="8" width="39" style="74" customWidth="1"/>
    <col min="9" max="9" width="37.125" style="74" customWidth="1"/>
    <col min="10" max="10" width="29.25" style="74" customWidth="1"/>
    <col min="11" max="15" width="9" style="76"/>
    <col min="16" max="17" width="37.125" style="74" customWidth="1"/>
    <col min="18" max="18" width="9" style="76"/>
    <col min="19" max="19" width="37.125" style="260" customWidth="1"/>
    <col min="20" max="21" width="37.125" style="74" customWidth="1"/>
    <col min="22" max="23" width="9" style="260"/>
    <col min="24" max="24" width="36.625" style="260" customWidth="1"/>
    <col min="25" max="26" width="37.875" style="74" customWidth="1"/>
    <col min="27" max="27" width="37.875" style="74" customWidth="1" collapsed="1"/>
    <col min="28" max="32" width="9" style="260"/>
    <col min="33" max="36" width="37.875" style="74" customWidth="1"/>
    <col min="37" max="236" width="9" style="260"/>
    <col min="237" max="237" width="44" style="260" customWidth="1"/>
    <col min="238" max="238" width="24" style="260" customWidth="1"/>
    <col min="239" max="239" width="26.25" style="260" customWidth="1"/>
    <col min="240" max="240" width="25.375" style="260" customWidth="1"/>
    <col min="241" max="243" width="26" style="260" customWidth="1"/>
    <col min="244" max="244" width="9" style="260"/>
    <col min="245" max="246" width="26" style="260" customWidth="1"/>
    <col min="247" max="492" width="9" style="260"/>
    <col min="493" max="493" width="44" style="260" customWidth="1"/>
    <col min="494" max="494" width="24" style="260" customWidth="1"/>
    <col min="495" max="495" width="26.25" style="260" customWidth="1"/>
    <col min="496" max="496" width="25.375" style="260" customWidth="1"/>
    <col min="497" max="499" width="26" style="260" customWidth="1"/>
    <col min="500" max="500" width="9" style="260"/>
    <col min="501" max="502" width="26" style="260" customWidth="1"/>
    <col min="503" max="748" width="9" style="260"/>
    <col min="749" max="749" width="44" style="260" customWidth="1"/>
    <col min="750" max="750" width="24" style="260" customWidth="1"/>
    <col min="751" max="751" width="26.25" style="260" customWidth="1"/>
    <col min="752" max="752" width="25.375" style="260" customWidth="1"/>
    <col min="753" max="755" width="26" style="260" customWidth="1"/>
    <col min="756" max="756" width="9" style="260"/>
    <col min="757" max="758" width="26" style="260" customWidth="1"/>
    <col min="759" max="1004" width="9" style="260"/>
    <col min="1005" max="1005" width="44" style="260" customWidth="1"/>
    <col min="1006" max="1006" width="24" style="260" customWidth="1"/>
    <col min="1007" max="1007" width="26.25" style="260" customWidth="1"/>
    <col min="1008" max="1008" width="25.375" style="260" customWidth="1"/>
    <col min="1009" max="1011" width="26" style="260" customWidth="1"/>
    <col min="1012" max="1012" width="9" style="260"/>
    <col min="1013" max="1014" width="26" style="260" customWidth="1"/>
    <col min="1015" max="1260" width="9" style="260"/>
    <col min="1261" max="1261" width="44" style="260" customWidth="1"/>
    <col min="1262" max="1262" width="24" style="260" customWidth="1"/>
    <col min="1263" max="1263" width="26.25" style="260" customWidth="1"/>
    <col min="1264" max="1264" width="25.375" style="260" customWidth="1"/>
    <col min="1265" max="1267" width="26" style="260" customWidth="1"/>
    <col min="1268" max="1268" width="9" style="260"/>
    <col min="1269" max="1270" width="26" style="260" customWidth="1"/>
    <col min="1271" max="1516" width="9" style="260"/>
    <col min="1517" max="1517" width="44" style="260" customWidth="1"/>
    <col min="1518" max="1518" width="24" style="260" customWidth="1"/>
    <col min="1519" max="1519" width="26.25" style="260" customWidth="1"/>
    <col min="1520" max="1520" width="25.375" style="260" customWidth="1"/>
    <col min="1521" max="1523" width="26" style="260" customWidth="1"/>
    <col min="1524" max="1524" width="9" style="260"/>
    <col min="1525" max="1526" width="26" style="260" customWidth="1"/>
    <col min="1527" max="1772" width="9" style="260"/>
    <col min="1773" max="1773" width="44" style="260" customWidth="1"/>
    <col min="1774" max="1774" width="24" style="260" customWidth="1"/>
    <col min="1775" max="1775" width="26.25" style="260" customWidth="1"/>
    <col min="1776" max="1776" width="25.375" style="260" customWidth="1"/>
    <col min="1777" max="1779" width="26" style="260" customWidth="1"/>
    <col min="1780" max="1780" width="9" style="260"/>
    <col min="1781" max="1782" width="26" style="260" customWidth="1"/>
    <col min="1783" max="2028" width="9" style="260"/>
    <col min="2029" max="2029" width="44" style="260" customWidth="1"/>
    <col min="2030" max="2030" width="24" style="260" customWidth="1"/>
    <col min="2031" max="2031" width="26.25" style="260" customWidth="1"/>
    <col min="2032" max="2032" width="25.375" style="260" customWidth="1"/>
    <col min="2033" max="2035" width="26" style="260" customWidth="1"/>
    <col min="2036" max="2036" width="9" style="260"/>
    <col min="2037" max="2038" width="26" style="260" customWidth="1"/>
    <col min="2039" max="2284" width="9" style="260"/>
    <col min="2285" max="2285" width="44" style="260" customWidth="1"/>
    <col min="2286" max="2286" width="24" style="260" customWidth="1"/>
    <col min="2287" max="2287" width="26.25" style="260" customWidth="1"/>
    <col min="2288" max="2288" width="25.375" style="260" customWidth="1"/>
    <col min="2289" max="2291" width="26" style="260" customWidth="1"/>
    <col min="2292" max="2292" width="9" style="260"/>
    <col min="2293" max="2294" width="26" style="260" customWidth="1"/>
    <col min="2295" max="2540" width="9" style="260"/>
    <col min="2541" max="2541" width="44" style="260" customWidth="1"/>
    <col min="2542" max="2542" width="24" style="260" customWidth="1"/>
    <col min="2543" max="2543" width="26.25" style="260" customWidth="1"/>
    <col min="2544" max="2544" width="25.375" style="260" customWidth="1"/>
    <col min="2545" max="2547" width="26" style="260" customWidth="1"/>
    <col min="2548" max="2548" width="9" style="260"/>
    <col min="2549" max="2550" width="26" style="260" customWidth="1"/>
    <col min="2551" max="2796" width="9" style="260"/>
    <col min="2797" max="2797" width="44" style="260" customWidth="1"/>
    <col min="2798" max="2798" width="24" style="260" customWidth="1"/>
    <col min="2799" max="2799" width="26.25" style="260" customWidth="1"/>
    <col min="2800" max="2800" width="25.375" style="260" customWidth="1"/>
    <col min="2801" max="2803" width="26" style="260" customWidth="1"/>
    <col min="2804" max="2804" width="9" style="260"/>
    <col min="2805" max="2806" width="26" style="260" customWidth="1"/>
    <col min="2807" max="3052" width="9" style="260"/>
    <col min="3053" max="3053" width="44" style="260" customWidth="1"/>
    <col min="3054" max="3054" width="24" style="260" customWidth="1"/>
    <col min="3055" max="3055" width="26.25" style="260" customWidth="1"/>
    <col min="3056" max="3056" width="25.375" style="260" customWidth="1"/>
    <col min="3057" max="3059" width="26" style="260" customWidth="1"/>
    <col min="3060" max="3060" width="9" style="260"/>
    <col min="3061" max="3062" width="26" style="260" customWidth="1"/>
    <col min="3063" max="3308" width="9" style="260"/>
    <col min="3309" max="3309" width="44" style="260" customWidth="1"/>
    <col min="3310" max="3310" width="24" style="260" customWidth="1"/>
    <col min="3311" max="3311" width="26.25" style="260" customWidth="1"/>
    <col min="3312" max="3312" width="25.375" style="260" customWidth="1"/>
    <col min="3313" max="3315" width="26" style="260" customWidth="1"/>
    <col min="3316" max="3316" width="9" style="260"/>
    <col min="3317" max="3318" width="26" style="260" customWidth="1"/>
    <col min="3319" max="3564" width="9" style="260"/>
    <col min="3565" max="3565" width="44" style="260" customWidth="1"/>
    <col min="3566" max="3566" width="24" style="260" customWidth="1"/>
    <col min="3567" max="3567" width="26.25" style="260" customWidth="1"/>
    <col min="3568" max="3568" width="25.375" style="260" customWidth="1"/>
    <col min="3569" max="3571" width="26" style="260" customWidth="1"/>
    <col min="3572" max="3572" width="9" style="260"/>
    <col min="3573" max="3574" width="26" style="260" customWidth="1"/>
    <col min="3575" max="3820" width="9" style="260"/>
    <col min="3821" max="3821" width="44" style="260" customWidth="1"/>
    <col min="3822" max="3822" width="24" style="260" customWidth="1"/>
    <col min="3823" max="3823" width="26.25" style="260" customWidth="1"/>
    <col min="3824" max="3824" width="25.375" style="260" customWidth="1"/>
    <col min="3825" max="3827" width="26" style="260" customWidth="1"/>
    <col min="3828" max="3828" width="9" style="260"/>
    <col min="3829" max="3830" width="26" style="260" customWidth="1"/>
    <col min="3831" max="4076" width="9" style="260"/>
    <col min="4077" max="4077" width="44" style="260" customWidth="1"/>
    <col min="4078" max="4078" width="24" style="260" customWidth="1"/>
    <col min="4079" max="4079" width="26.25" style="260" customWidth="1"/>
    <col min="4080" max="4080" width="25.375" style="260" customWidth="1"/>
    <col min="4081" max="4083" width="26" style="260" customWidth="1"/>
    <col min="4084" max="4084" width="9" style="260"/>
    <col min="4085" max="4086" width="26" style="260" customWidth="1"/>
    <col min="4087" max="4332" width="9" style="260"/>
    <col min="4333" max="4333" width="44" style="260" customWidth="1"/>
    <col min="4334" max="4334" width="24" style="260" customWidth="1"/>
    <col min="4335" max="4335" width="26.25" style="260" customWidth="1"/>
    <col min="4336" max="4336" width="25.375" style="260" customWidth="1"/>
    <col min="4337" max="4339" width="26" style="260" customWidth="1"/>
    <col min="4340" max="4340" width="9" style="260"/>
    <col min="4341" max="4342" width="26" style="260" customWidth="1"/>
    <col min="4343" max="4588" width="9" style="260"/>
    <col min="4589" max="4589" width="44" style="260" customWidth="1"/>
    <col min="4590" max="4590" width="24" style="260" customWidth="1"/>
    <col min="4591" max="4591" width="26.25" style="260" customWidth="1"/>
    <col min="4592" max="4592" width="25.375" style="260" customWidth="1"/>
    <col min="4593" max="4595" width="26" style="260" customWidth="1"/>
    <col min="4596" max="4596" width="9" style="260"/>
    <col min="4597" max="4598" width="26" style="260" customWidth="1"/>
    <col min="4599" max="4844" width="9" style="260"/>
    <col min="4845" max="4845" width="44" style="260" customWidth="1"/>
    <col min="4846" max="4846" width="24" style="260" customWidth="1"/>
    <col min="4847" max="4847" width="26.25" style="260" customWidth="1"/>
    <col min="4848" max="4848" width="25.375" style="260" customWidth="1"/>
    <col min="4849" max="4851" width="26" style="260" customWidth="1"/>
    <col min="4852" max="4852" width="9" style="260"/>
    <col min="4853" max="4854" width="26" style="260" customWidth="1"/>
    <col min="4855" max="5100" width="9" style="260"/>
    <col min="5101" max="5101" width="44" style="260" customWidth="1"/>
    <col min="5102" max="5102" width="24" style="260" customWidth="1"/>
    <col min="5103" max="5103" width="26.25" style="260" customWidth="1"/>
    <col min="5104" max="5104" width="25.375" style="260" customWidth="1"/>
    <col min="5105" max="5107" width="26" style="260" customWidth="1"/>
    <col min="5108" max="5108" width="9" style="260"/>
    <col min="5109" max="5110" width="26" style="260" customWidth="1"/>
    <col min="5111" max="5356" width="9" style="260"/>
    <col min="5357" max="5357" width="44" style="260" customWidth="1"/>
    <col min="5358" max="5358" width="24" style="260" customWidth="1"/>
    <col min="5359" max="5359" width="26.25" style="260" customWidth="1"/>
    <col min="5360" max="5360" width="25.375" style="260" customWidth="1"/>
    <col min="5361" max="5363" width="26" style="260" customWidth="1"/>
    <col min="5364" max="5364" width="9" style="260"/>
    <col min="5365" max="5366" width="26" style="260" customWidth="1"/>
    <col min="5367" max="5612" width="9" style="260"/>
    <col min="5613" max="5613" width="44" style="260" customWidth="1"/>
    <col min="5614" max="5614" width="24" style="260" customWidth="1"/>
    <col min="5615" max="5615" width="26.25" style="260" customWidth="1"/>
    <col min="5616" max="5616" width="25.375" style="260" customWidth="1"/>
    <col min="5617" max="5619" width="26" style="260" customWidth="1"/>
    <col min="5620" max="5620" width="9" style="260"/>
    <col min="5621" max="5622" width="26" style="260" customWidth="1"/>
    <col min="5623" max="5868" width="9" style="260"/>
    <col min="5869" max="5869" width="44" style="260" customWidth="1"/>
    <col min="5870" max="5870" width="24" style="260" customWidth="1"/>
    <col min="5871" max="5871" width="26.25" style="260" customWidth="1"/>
    <col min="5872" max="5872" width="25.375" style="260" customWidth="1"/>
    <col min="5873" max="5875" width="26" style="260" customWidth="1"/>
    <col min="5876" max="5876" width="9" style="260"/>
    <col min="5877" max="5878" width="26" style="260" customWidth="1"/>
    <col min="5879" max="6124" width="9" style="260"/>
    <col min="6125" max="6125" width="44" style="260" customWidth="1"/>
    <col min="6126" max="6126" width="24" style="260" customWidth="1"/>
    <col min="6127" max="6127" width="26.25" style="260" customWidth="1"/>
    <col min="6128" max="6128" width="25.375" style="260" customWidth="1"/>
    <col min="6129" max="6131" width="26" style="260" customWidth="1"/>
    <col min="6132" max="6132" width="9" style="260"/>
    <col min="6133" max="6134" width="26" style="260" customWidth="1"/>
    <col min="6135" max="6380" width="9" style="260"/>
    <col min="6381" max="6381" width="44" style="260" customWidth="1"/>
    <col min="6382" max="6382" width="24" style="260" customWidth="1"/>
    <col min="6383" max="6383" width="26.25" style="260" customWidth="1"/>
    <col min="6384" max="6384" width="25.375" style="260" customWidth="1"/>
    <col min="6385" max="6387" width="26" style="260" customWidth="1"/>
    <col min="6388" max="6388" width="9" style="260"/>
    <col min="6389" max="6390" width="26" style="260" customWidth="1"/>
    <col min="6391" max="6636" width="9" style="260"/>
    <col min="6637" max="6637" width="44" style="260" customWidth="1"/>
    <col min="6638" max="6638" width="24" style="260" customWidth="1"/>
    <col min="6639" max="6639" width="26.25" style="260" customWidth="1"/>
    <col min="6640" max="6640" width="25.375" style="260" customWidth="1"/>
    <col min="6641" max="6643" width="26" style="260" customWidth="1"/>
    <col min="6644" max="6644" width="9" style="260"/>
    <col min="6645" max="6646" width="26" style="260" customWidth="1"/>
    <col min="6647" max="6892" width="9" style="260"/>
    <col min="6893" max="6893" width="44" style="260" customWidth="1"/>
    <col min="6894" max="6894" width="24" style="260" customWidth="1"/>
    <col min="6895" max="6895" width="26.25" style="260" customWidth="1"/>
    <col min="6896" max="6896" width="25.375" style="260" customWidth="1"/>
    <col min="6897" max="6899" width="26" style="260" customWidth="1"/>
    <col min="6900" max="6900" width="9" style="260"/>
    <col min="6901" max="6902" width="26" style="260" customWidth="1"/>
    <col min="6903" max="7148" width="9" style="260"/>
    <col min="7149" max="7149" width="44" style="260" customWidth="1"/>
    <col min="7150" max="7150" width="24" style="260" customWidth="1"/>
    <col min="7151" max="7151" width="26.25" style="260" customWidth="1"/>
    <col min="7152" max="7152" width="25.375" style="260" customWidth="1"/>
    <col min="7153" max="7155" width="26" style="260" customWidth="1"/>
    <col min="7156" max="7156" width="9" style="260"/>
    <col min="7157" max="7158" width="26" style="260" customWidth="1"/>
    <col min="7159" max="7404" width="9" style="260"/>
    <col min="7405" max="7405" width="44" style="260" customWidth="1"/>
    <col min="7406" max="7406" width="24" style="260" customWidth="1"/>
    <col min="7407" max="7407" width="26.25" style="260" customWidth="1"/>
    <col min="7408" max="7408" width="25.375" style="260" customWidth="1"/>
    <col min="7409" max="7411" width="26" style="260" customWidth="1"/>
    <col min="7412" max="7412" width="9" style="260"/>
    <col min="7413" max="7414" width="26" style="260" customWidth="1"/>
    <col min="7415" max="7660" width="9" style="260"/>
    <col min="7661" max="7661" width="44" style="260" customWidth="1"/>
    <col min="7662" max="7662" width="24" style="260" customWidth="1"/>
    <col min="7663" max="7663" width="26.25" style="260" customWidth="1"/>
    <col min="7664" max="7664" width="25.375" style="260" customWidth="1"/>
    <col min="7665" max="7667" width="26" style="260" customWidth="1"/>
    <col min="7668" max="7668" width="9" style="260"/>
    <col min="7669" max="7670" width="26" style="260" customWidth="1"/>
    <col min="7671" max="7916" width="9" style="260"/>
    <col min="7917" max="7917" width="44" style="260" customWidth="1"/>
    <col min="7918" max="7918" width="24" style="260" customWidth="1"/>
    <col min="7919" max="7919" width="26.25" style="260" customWidth="1"/>
    <col min="7920" max="7920" width="25.375" style="260" customWidth="1"/>
    <col min="7921" max="7923" width="26" style="260" customWidth="1"/>
    <col min="7924" max="7924" width="9" style="260"/>
    <col min="7925" max="7926" width="26" style="260" customWidth="1"/>
    <col min="7927" max="8172" width="9" style="260"/>
    <col min="8173" max="8173" width="44" style="260" customWidth="1"/>
    <col min="8174" max="8174" width="24" style="260" customWidth="1"/>
    <col min="8175" max="8175" width="26.25" style="260" customWidth="1"/>
    <col min="8176" max="8176" width="25.375" style="260" customWidth="1"/>
    <col min="8177" max="8179" width="26" style="260" customWidth="1"/>
    <col min="8180" max="8180" width="9" style="260"/>
    <col min="8181" max="8182" width="26" style="260" customWidth="1"/>
    <col min="8183" max="8428" width="9" style="260"/>
    <col min="8429" max="8429" width="44" style="260" customWidth="1"/>
    <col min="8430" max="8430" width="24" style="260" customWidth="1"/>
    <col min="8431" max="8431" width="26.25" style="260" customWidth="1"/>
    <col min="8432" max="8432" width="25.375" style="260" customWidth="1"/>
    <col min="8433" max="8435" width="26" style="260" customWidth="1"/>
    <col min="8436" max="8436" width="9" style="260"/>
    <col min="8437" max="8438" width="26" style="260" customWidth="1"/>
    <col min="8439" max="8684" width="9" style="260"/>
    <col min="8685" max="8685" width="44" style="260" customWidth="1"/>
    <col min="8686" max="8686" width="24" style="260" customWidth="1"/>
    <col min="8687" max="8687" width="26.25" style="260" customWidth="1"/>
    <col min="8688" max="8688" width="25.375" style="260" customWidth="1"/>
    <col min="8689" max="8691" width="26" style="260" customWidth="1"/>
    <col min="8692" max="8692" width="9" style="260"/>
    <col min="8693" max="8694" width="26" style="260" customWidth="1"/>
    <col min="8695" max="8940" width="9" style="260"/>
    <col min="8941" max="8941" width="44" style="260" customWidth="1"/>
    <col min="8942" max="8942" width="24" style="260" customWidth="1"/>
    <col min="8943" max="8943" width="26.25" style="260" customWidth="1"/>
    <col min="8944" max="8944" width="25.375" style="260" customWidth="1"/>
    <col min="8945" max="8947" width="26" style="260" customWidth="1"/>
    <col min="8948" max="8948" width="9" style="260"/>
    <col min="8949" max="8950" width="26" style="260" customWidth="1"/>
    <col min="8951" max="9196" width="9" style="260"/>
    <col min="9197" max="9197" width="44" style="260" customWidth="1"/>
    <col min="9198" max="9198" width="24" style="260" customWidth="1"/>
    <col min="9199" max="9199" width="26.25" style="260" customWidth="1"/>
    <col min="9200" max="9200" width="25.375" style="260" customWidth="1"/>
    <col min="9201" max="9203" width="26" style="260" customWidth="1"/>
    <col min="9204" max="9204" width="9" style="260"/>
    <col min="9205" max="9206" width="26" style="260" customWidth="1"/>
    <col min="9207" max="9452" width="9" style="260"/>
    <col min="9453" max="9453" width="44" style="260" customWidth="1"/>
    <col min="9454" max="9454" width="24" style="260" customWidth="1"/>
    <col min="9455" max="9455" width="26.25" style="260" customWidth="1"/>
    <col min="9456" max="9456" width="25.375" style="260" customWidth="1"/>
    <col min="9457" max="9459" width="26" style="260" customWidth="1"/>
    <col min="9460" max="9460" width="9" style="260"/>
    <col min="9461" max="9462" width="26" style="260" customWidth="1"/>
    <col min="9463" max="9708" width="9" style="260"/>
    <col min="9709" max="9709" width="44" style="260" customWidth="1"/>
    <col min="9710" max="9710" width="24" style="260" customWidth="1"/>
    <col min="9711" max="9711" width="26.25" style="260" customWidth="1"/>
    <col min="9712" max="9712" width="25.375" style="260" customWidth="1"/>
    <col min="9713" max="9715" width="26" style="260" customWidth="1"/>
    <col min="9716" max="9716" width="9" style="260"/>
    <col min="9717" max="9718" width="26" style="260" customWidth="1"/>
    <col min="9719" max="9964" width="9" style="260"/>
    <col min="9965" max="9965" width="44" style="260" customWidth="1"/>
    <col min="9966" max="9966" width="24" style="260" customWidth="1"/>
    <col min="9967" max="9967" width="26.25" style="260" customWidth="1"/>
    <col min="9968" max="9968" width="25.375" style="260" customWidth="1"/>
    <col min="9969" max="9971" width="26" style="260" customWidth="1"/>
    <col min="9972" max="9972" width="9" style="260"/>
    <col min="9973" max="9974" width="26" style="260" customWidth="1"/>
    <col min="9975" max="10220" width="9" style="260"/>
    <col min="10221" max="10221" width="44" style="260" customWidth="1"/>
    <col min="10222" max="10222" width="24" style="260" customWidth="1"/>
    <col min="10223" max="10223" width="26.25" style="260" customWidth="1"/>
    <col min="10224" max="10224" width="25.375" style="260" customWidth="1"/>
    <col min="10225" max="10227" width="26" style="260" customWidth="1"/>
    <col min="10228" max="10228" width="9" style="260"/>
    <col min="10229" max="10230" width="26" style="260" customWidth="1"/>
    <col min="10231" max="10476" width="9" style="260"/>
    <col min="10477" max="10477" width="44" style="260" customWidth="1"/>
    <col min="10478" max="10478" width="24" style="260" customWidth="1"/>
    <col min="10479" max="10479" width="26.25" style="260" customWidth="1"/>
    <col min="10480" max="10480" width="25.375" style="260" customWidth="1"/>
    <col min="10481" max="10483" width="26" style="260" customWidth="1"/>
    <col min="10484" max="10484" width="9" style="260"/>
    <col min="10485" max="10486" width="26" style="260" customWidth="1"/>
    <col min="10487" max="10732" width="9" style="260"/>
    <col min="10733" max="10733" width="44" style="260" customWidth="1"/>
    <col min="10734" max="10734" width="24" style="260" customWidth="1"/>
    <col min="10735" max="10735" width="26.25" style="260" customWidth="1"/>
    <col min="10736" max="10736" width="25.375" style="260" customWidth="1"/>
    <col min="10737" max="10739" width="26" style="260" customWidth="1"/>
    <col min="10740" max="10740" width="9" style="260"/>
    <col min="10741" max="10742" width="26" style="260" customWidth="1"/>
    <col min="10743" max="10988" width="9" style="260"/>
    <col min="10989" max="10989" width="44" style="260" customWidth="1"/>
    <col min="10990" max="10990" width="24" style="260" customWidth="1"/>
    <col min="10991" max="10991" width="26.25" style="260" customWidth="1"/>
    <col min="10992" max="10992" width="25.375" style="260" customWidth="1"/>
    <col min="10993" max="10995" width="26" style="260" customWidth="1"/>
    <col min="10996" max="10996" width="9" style="260"/>
    <col min="10997" max="10998" width="26" style="260" customWidth="1"/>
    <col min="10999" max="11244" width="9" style="260"/>
    <col min="11245" max="11245" width="44" style="260" customWidth="1"/>
    <col min="11246" max="11246" width="24" style="260" customWidth="1"/>
    <col min="11247" max="11247" width="26.25" style="260" customWidth="1"/>
    <col min="11248" max="11248" width="25.375" style="260" customWidth="1"/>
    <col min="11249" max="11251" width="26" style="260" customWidth="1"/>
    <col min="11252" max="11252" width="9" style="260"/>
    <col min="11253" max="11254" width="26" style="260" customWidth="1"/>
    <col min="11255" max="11500" width="9" style="260"/>
    <col min="11501" max="11501" width="44" style="260" customWidth="1"/>
    <col min="11502" max="11502" width="24" style="260" customWidth="1"/>
    <col min="11503" max="11503" width="26.25" style="260" customWidth="1"/>
    <col min="11504" max="11504" width="25.375" style="260" customWidth="1"/>
    <col min="11505" max="11507" width="26" style="260" customWidth="1"/>
    <col min="11508" max="11508" width="9" style="260"/>
    <col min="11509" max="11510" width="26" style="260" customWidth="1"/>
    <col min="11511" max="11756" width="9" style="260"/>
    <col min="11757" max="11757" width="44" style="260" customWidth="1"/>
    <col min="11758" max="11758" width="24" style="260" customWidth="1"/>
    <col min="11759" max="11759" width="26.25" style="260" customWidth="1"/>
    <col min="11760" max="11760" width="25.375" style="260" customWidth="1"/>
    <col min="11761" max="11763" width="26" style="260" customWidth="1"/>
    <col min="11764" max="11764" width="9" style="260"/>
    <col min="11765" max="11766" width="26" style="260" customWidth="1"/>
    <col min="11767" max="12012" width="9" style="260"/>
    <col min="12013" max="12013" width="44" style="260" customWidth="1"/>
    <col min="12014" max="12014" width="24" style="260" customWidth="1"/>
    <col min="12015" max="12015" width="26.25" style="260" customWidth="1"/>
    <col min="12016" max="12016" width="25.375" style="260" customWidth="1"/>
    <col min="12017" max="12019" width="26" style="260" customWidth="1"/>
    <col min="12020" max="12020" width="9" style="260"/>
    <col min="12021" max="12022" width="26" style="260" customWidth="1"/>
    <col min="12023" max="12268" width="9" style="260"/>
    <col min="12269" max="12269" width="44" style="260" customWidth="1"/>
    <col min="12270" max="12270" width="24" style="260" customWidth="1"/>
    <col min="12271" max="12271" width="26.25" style="260" customWidth="1"/>
    <col min="12272" max="12272" width="25.375" style="260" customWidth="1"/>
    <col min="12273" max="12275" width="26" style="260" customWidth="1"/>
    <col min="12276" max="12276" width="9" style="260"/>
    <col min="12277" max="12278" width="26" style="260" customWidth="1"/>
    <col min="12279" max="12524" width="9" style="260"/>
    <col min="12525" max="12525" width="44" style="260" customWidth="1"/>
    <col min="12526" max="12526" width="24" style="260" customWidth="1"/>
    <col min="12527" max="12527" width="26.25" style="260" customWidth="1"/>
    <col min="12528" max="12528" width="25.375" style="260" customWidth="1"/>
    <col min="12529" max="12531" width="26" style="260" customWidth="1"/>
    <col min="12532" max="12532" width="9" style="260"/>
    <col min="12533" max="12534" width="26" style="260" customWidth="1"/>
    <col min="12535" max="12780" width="9" style="260"/>
    <col min="12781" max="12781" width="44" style="260" customWidth="1"/>
    <col min="12782" max="12782" width="24" style="260" customWidth="1"/>
    <col min="12783" max="12783" width="26.25" style="260" customWidth="1"/>
    <col min="12784" max="12784" width="25.375" style="260" customWidth="1"/>
    <col min="12785" max="12787" width="26" style="260" customWidth="1"/>
    <col min="12788" max="12788" width="9" style="260"/>
    <col min="12789" max="12790" width="26" style="260" customWidth="1"/>
    <col min="12791" max="13036" width="9" style="260"/>
    <col min="13037" max="13037" width="44" style="260" customWidth="1"/>
    <col min="13038" max="13038" width="24" style="260" customWidth="1"/>
    <col min="13039" max="13039" width="26.25" style="260" customWidth="1"/>
    <col min="13040" max="13040" width="25.375" style="260" customWidth="1"/>
    <col min="13041" max="13043" width="26" style="260" customWidth="1"/>
    <col min="13044" max="13044" width="9" style="260"/>
    <col min="13045" max="13046" width="26" style="260" customWidth="1"/>
    <col min="13047" max="13292" width="9" style="260"/>
    <col min="13293" max="13293" width="44" style="260" customWidth="1"/>
    <col min="13294" max="13294" width="24" style="260" customWidth="1"/>
    <col min="13295" max="13295" width="26.25" style="260" customWidth="1"/>
    <col min="13296" max="13296" width="25.375" style="260" customWidth="1"/>
    <col min="13297" max="13299" width="26" style="260" customWidth="1"/>
    <col min="13300" max="13300" width="9" style="260"/>
    <col min="13301" max="13302" width="26" style="260" customWidth="1"/>
    <col min="13303" max="13548" width="9" style="260"/>
    <col min="13549" max="13549" width="44" style="260" customWidth="1"/>
    <col min="13550" max="13550" width="24" style="260" customWidth="1"/>
    <col min="13551" max="13551" width="26.25" style="260" customWidth="1"/>
    <col min="13552" max="13552" width="25.375" style="260" customWidth="1"/>
    <col min="13553" max="13555" width="26" style="260" customWidth="1"/>
    <col min="13556" max="13556" width="9" style="260"/>
    <col min="13557" max="13558" width="26" style="260" customWidth="1"/>
    <col min="13559" max="13804" width="9" style="260"/>
    <col min="13805" max="13805" width="44" style="260" customWidth="1"/>
    <col min="13806" max="13806" width="24" style="260" customWidth="1"/>
    <col min="13807" max="13807" width="26.25" style="260" customWidth="1"/>
    <col min="13808" max="13808" width="25.375" style="260" customWidth="1"/>
    <col min="13809" max="13811" width="26" style="260" customWidth="1"/>
    <col min="13812" max="13812" width="9" style="260"/>
    <col min="13813" max="13814" width="26" style="260" customWidth="1"/>
    <col min="13815" max="14060" width="9" style="260"/>
    <col min="14061" max="14061" width="44" style="260" customWidth="1"/>
    <col min="14062" max="14062" width="24" style="260" customWidth="1"/>
    <col min="14063" max="14063" width="26.25" style="260" customWidth="1"/>
    <col min="14064" max="14064" width="25.375" style="260" customWidth="1"/>
    <col min="14065" max="14067" width="26" style="260" customWidth="1"/>
    <col min="14068" max="14068" width="9" style="260"/>
    <col min="14069" max="14070" width="26" style="260" customWidth="1"/>
    <col min="14071" max="14316" width="9" style="260"/>
    <col min="14317" max="14317" width="44" style="260" customWidth="1"/>
    <col min="14318" max="14318" width="24" style="260" customWidth="1"/>
    <col min="14319" max="14319" width="26.25" style="260" customWidth="1"/>
    <col min="14320" max="14320" width="25.375" style="260" customWidth="1"/>
    <col min="14321" max="14323" width="26" style="260" customWidth="1"/>
    <col min="14324" max="14324" width="9" style="260"/>
    <col min="14325" max="14326" width="26" style="260" customWidth="1"/>
    <col min="14327" max="14572" width="9" style="260"/>
    <col min="14573" max="14573" width="44" style="260" customWidth="1"/>
    <col min="14574" max="14574" width="24" style="260" customWidth="1"/>
    <col min="14575" max="14575" width="26.25" style="260" customWidth="1"/>
    <col min="14576" max="14576" width="25.375" style="260" customWidth="1"/>
    <col min="14577" max="14579" width="26" style="260" customWidth="1"/>
    <col min="14580" max="14580" width="9" style="260"/>
    <col min="14581" max="14582" width="26" style="260" customWidth="1"/>
    <col min="14583" max="14828" width="9" style="260"/>
    <col min="14829" max="14829" width="44" style="260" customWidth="1"/>
    <col min="14830" max="14830" width="24" style="260" customWidth="1"/>
    <col min="14831" max="14831" width="26.25" style="260" customWidth="1"/>
    <col min="14832" max="14832" width="25.375" style="260" customWidth="1"/>
    <col min="14833" max="14835" width="26" style="260" customWidth="1"/>
    <col min="14836" max="14836" width="9" style="260"/>
    <col min="14837" max="14838" width="26" style="260" customWidth="1"/>
    <col min="14839" max="15084" width="9" style="260"/>
    <col min="15085" max="15085" width="44" style="260" customWidth="1"/>
    <col min="15086" max="15086" width="24" style="260" customWidth="1"/>
    <col min="15087" max="15087" width="26.25" style="260" customWidth="1"/>
    <col min="15088" max="15088" width="25.375" style="260" customWidth="1"/>
    <col min="15089" max="15091" width="26" style="260" customWidth="1"/>
    <col min="15092" max="15092" width="9" style="260"/>
    <col min="15093" max="15094" width="26" style="260" customWidth="1"/>
    <col min="15095" max="15340" width="9" style="260"/>
    <col min="15341" max="15341" width="44" style="260" customWidth="1"/>
    <col min="15342" max="15342" width="24" style="260" customWidth="1"/>
    <col min="15343" max="15343" width="26.25" style="260" customWidth="1"/>
    <col min="15344" max="15344" width="25.375" style="260" customWidth="1"/>
    <col min="15345" max="15347" width="26" style="260" customWidth="1"/>
    <col min="15348" max="15348" width="9" style="260"/>
    <col min="15349" max="15350" width="26" style="260" customWidth="1"/>
    <col min="15351" max="15596" width="9" style="260"/>
    <col min="15597" max="15597" width="44" style="260" customWidth="1"/>
    <col min="15598" max="15598" width="24" style="260" customWidth="1"/>
    <col min="15599" max="15599" width="26.25" style="260" customWidth="1"/>
    <col min="15600" max="15600" width="25.375" style="260" customWidth="1"/>
    <col min="15601" max="15603" width="26" style="260" customWidth="1"/>
    <col min="15604" max="15604" width="9" style="260"/>
    <col min="15605" max="15606" width="26" style="260" customWidth="1"/>
    <col min="15607" max="15852" width="9" style="260"/>
    <col min="15853" max="15853" width="44" style="260" customWidth="1"/>
    <col min="15854" max="15854" width="24" style="260" customWidth="1"/>
    <col min="15855" max="15855" width="26.25" style="260" customWidth="1"/>
    <col min="15856" max="15856" width="25.375" style="260" customWidth="1"/>
    <col min="15857" max="15859" width="26" style="260" customWidth="1"/>
    <col min="15860" max="15860" width="9" style="260"/>
    <col min="15861" max="15862" width="26" style="260" customWidth="1"/>
    <col min="15863" max="16108" width="9" style="260"/>
    <col min="16109" max="16109" width="44" style="260" customWidth="1"/>
    <col min="16110" max="16110" width="24" style="260" customWidth="1"/>
    <col min="16111" max="16111" width="26.25" style="260" customWidth="1"/>
    <col min="16112" max="16112" width="25.375" style="260" customWidth="1"/>
    <col min="16113" max="16115" width="26" style="260" customWidth="1"/>
    <col min="16116" max="16116" width="9" style="260"/>
    <col min="16117" max="16118" width="26" style="260" customWidth="1"/>
    <col min="16119" max="16384" width="9" style="260"/>
  </cols>
  <sheetData>
    <row r="1" spans="2:36">
      <c r="D1" s="74" t="s">
        <v>497</v>
      </c>
      <c r="E1" s="74" t="s">
        <v>497</v>
      </c>
      <c r="I1" s="74" t="s">
        <v>497</v>
      </c>
    </row>
    <row r="2" spans="2:36" ht="25.5">
      <c r="D2" s="348" t="s">
        <v>498</v>
      </c>
    </row>
    <row r="3" spans="2:36">
      <c r="D3" s="260" t="s">
        <v>123</v>
      </c>
      <c r="E3" s="260" t="s">
        <v>124</v>
      </c>
      <c r="F3" s="260" t="s">
        <v>127</v>
      </c>
      <c r="H3" s="260" t="s">
        <v>127</v>
      </c>
      <c r="I3" s="260" t="s">
        <v>499</v>
      </c>
      <c r="J3" s="260" t="s">
        <v>126</v>
      </c>
      <c r="P3" s="260" t="s">
        <v>127</v>
      </c>
      <c r="Q3" s="260" t="s">
        <v>127</v>
      </c>
      <c r="S3" s="260" t="s">
        <v>126</v>
      </c>
      <c r="T3" s="260" t="s">
        <v>124</v>
      </c>
      <c r="U3" s="260" t="s">
        <v>148</v>
      </c>
      <c r="X3" s="260" t="s">
        <v>128</v>
      </c>
      <c r="Y3" s="260" t="s">
        <v>150</v>
      </c>
      <c r="Z3" s="260" t="s">
        <v>149</v>
      </c>
      <c r="AA3" s="260" t="s">
        <v>303</v>
      </c>
      <c r="AG3" s="260"/>
      <c r="AH3" s="260"/>
      <c r="AI3" s="260"/>
      <c r="AJ3" s="260"/>
    </row>
    <row r="4" spans="2:36">
      <c r="D4" s="74" t="s">
        <v>500</v>
      </c>
      <c r="E4" s="80" t="s">
        <v>369</v>
      </c>
      <c r="F4" s="81"/>
      <c r="H4" s="75"/>
      <c r="I4" s="75" t="s">
        <v>501</v>
      </c>
      <c r="J4" s="75"/>
      <c r="P4" s="75"/>
      <c r="Q4" s="75"/>
      <c r="T4" s="81" t="s">
        <v>502</v>
      </c>
      <c r="Y4" s="81"/>
      <c r="Z4" s="81"/>
      <c r="AA4" s="81"/>
      <c r="AG4" s="81" t="s">
        <v>503</v>
      </c>
      <c r="AH4" s="81" t="s">
        <v>503</v>
      </c>
      <c r="AI4" s="81" t="s">
        <v>503</v>
      </c>
      <c r="AJ4" s="81" t="s">
        <v>503</v>
      </c>
    </row>
    <row r="5" spans="2:36">
      <c r="C5" s="349"/>
      <c r="D5" s="86" t="s">
        <v>504</v>
      </c>
      <c r="E5" s="78" t="s">
        <v>142</v>
      </c>
      <c r="F5" s="78" t="s">
        <v>505</v>
      </c>
      <c r="H5" s="84"/>
      <c r="I5" s="84" t="s">
        <v>151</v>
      </c>
      <c r="J5" s="84"/>
      <c r="P5" s="84"/>
      <c r="Q5" s="84"/>
      <c r="S5" s="78" t="s">
        <v>374</v>
      </c>
      <c r="T5" s="78" t="s">
        <v>506</v>
      </c>
      <c r="U5" s="86" t="s">
        <v>155</v>
      </c>
      <c r="X5" s="78" t="s">
        <v>374</v>
      </c>
      <c r="Y5" s="78" t="s">
        <v>507</v>
      </c>
      <c r="Z5" s="78" t="s">
        <v>508</v>
      </c>
      <c r="AA5" s="78" t="s">
        <v>509</v>
      </c>
      <c r="AG5" s="78" t="s">
        <v>510</v>
      </c>
      <c r="AH5" s="78" t="s">
        <v>511</v>
      </c>
      <c r="AI5" s="78" t="s">
        <v>512</v>
      </c>
      <c r="AJ5" s="78" t="s">
        <v>513</v>
      </c>
    </row>
    <row r="6" spans="2:36">
      <c r="C6" s="349"/>
      <c r="D6" s="86"/>
      <c r="E6" s="78" t="s">
        <v>157</v>
      </c>
      <c r="F6" s="78"/>
      <c r="H6" s="78" t="s">
        <v>514</v>
      </c>
      <c r="I6" s="78"/>
      <c r="J6" s="78" t="s">
        <v>515</v>
      </c>
      <c r="P6" s="78" t="s">
        <v>516</v>
      </c>
      <c r="Q6" s="78" t="s">
        <v>516</v>
      </c>
      <c r="S6" s="78"/>
      <c r="T6" s="78"/>
      <c r="U6" s="86"/>
      <c r="X6" s="78"/>
      <c r="Y6" s="78"/>
      <c r="Z6" s="78"/>
      <c r="AA6" s="78"/>
      <c r="AG6" s="78"/>
      <c r="AH6" s="78"/>
      <c r="AI6" s="78"/>
      <c r="AJ6" s="78"/>
    </row>
    <row r="7" spans="2:36">
      <c r="B7" s="87" t="s">
        <v>158</v>
      </c>
      <c r="C7" s="87" t="s">
        <v>159</v>
      </c>
      <c r="D7" s="87" t="s">
        <v>123</v>
      </c>
      <c r="E7" s="87" t="s">
        <v>124</v>
      </c>
      <c r="F7" s="87" t="s">
        <v>126</v>
      </c>
      <c r="H7" s="87" t="s">
        <v>126</v>
      </c>
      <c r="I7" s="87" t="s">
        <v>126</v>
      </c>
      <c r="J7" s="87" t="s">
        <v>126</v>
      </c>
      <c r="P7" s="87" t="s">
        <v>126</v>
      </c>
      <c r="Q7" s="87" t="s">
        <v>126</v>
      </c>
      <c r="S7" s="87" t="s">
        <v>124</v>
      </c>
      <c r="T7" s="87" t="s">
        <v>124</v>
      </c>
      <c r="U7" s="87" t="s">
        <v>123</v>
      </c>
      <c r="X7" s="87" t="s">
        <v>126</v>
      </c>
      <c r="Y7" s="87" t="s">
        <v>124</v>
      </c>
      <c r="Z7" s="87" t="s">
        <v>124</v>
      </c>
      <c r="AA7" s="87" t="s">
        <v>124</v>
      </c>
      <c r="AG7" s="87" t="s">
        <v>123</v>
      </c>
      <c r="AH7" s="87" t="s">
        <v>124</v>
      </c>
      <c r="AI7" s="87" t="s">
        <v>126</v>
      </c>
      <c r="AJ7" s="87" t="s">
        <v>127</v>
      </c>
    </row>
    <row r="8" spans="2:36">
      <c r="B8" s="88" t="s">
        <v>160</v>
      </c>
      <c r="C8" s="89" t="e">
        <f>дата_оц</f>
        <v>#NAME?</v>
      </c>
      <c r="D8" s="89" t="e">
        <f>дата_оц</f>
        <v>#NAME?</v>
      </c>
      <c r="E8" s="89" t="e">
        <f>дата_оц</f>
        <v>#NAME?</v>
      </c>
      <c r="F8" s="89" t="e">
        <f>дата_оц</f>
        <v>#NAME?</v>
      </c>
      <c r="H8" s="89" t="e">
        <f>дата_оц</f>
        <v>#NAME?</v>
      </c>
      <c r="I8" s="89" t="e">
        <f>дата_оц</f>
        <v>#NAME?</v>
      </c>
      <c r="J8" s="89" t="e">
        <f>дата_оц</f>
        <v>#NAME?</v>
      </c>
      <c r="P8" s="89" t="e">
        <f>дата_оц</f>
        <v>#NAME?</v>
      </c>
      <c r="Q8" s="89" t="e">
        <f>дата_оц</f>
        <v>#NAME?</v>
      </c>
      <c r="S8" s="89" t="e">
        <f>дата_оц</f>
        <v>#NAME?</v>
      </c>
      <c r="T8" s="89" t="e">
        <f>дата_оц</f>
        <v>#NAME?</v>
      </c>
      <c r="U8" s="89" t="e">
        <f>дата_оц</f>
        <v>#NAME?</v>
      </c>
      <c r="X8" s="89" t="e">
        <f>дата_оц</f>
        <v>#NAME?</v>
      </c>
      <c r="Y8" s="89" t="e">
        <f>дата_оц</f>
        <v>#NAME?</v>
      </c>
      <c r="Z8" s="89" t="e">
        <f>дата_оц</f>
        <v>#NAME?</v>
      </c>
      <c r="AA8" s="89" t="e">
        <f>дата_оц</f>
        <v>#NAME?</v>
      </c>
      <c r="AG8" s="89" t="e">
        <f>F8</f>
        <v>#NAME?</v>
      </c>
      <c r="AH8" s="89" t="e">
        <f>F8</f>
        <v>#NAME?</v>
      </c>
      <c r="AI8" s="89" t="e">
        <f>AH8</f>
        <v>#NAME?</v>
      </c>
      <c r="AJ8" s="89" t="e">
        <f>#REF!</f>
        <v>#REF!</v>
      </c>
    </row>
    <row r="9" spans="2:36">
      <c r="B9" s="88" t="s">
        <v>161</v>
      </c>
      <c r="C9" s="90"/>
      <c r="D9" s="93" t="s">
        <v>517</v>
      </c>
      <c r="E9" s="93" t="s">
        <v>385</v>
      </c>
      <c r="F9" s="93" t="s">
        <v>330</v>
      </c>
      <c r="H9" s="91" t="s">
        <v>518</v>
      </c>
      <c r="I9" s="91" t="s">
        <v>162</v>
      </c>
      <c r="J9" s="91" t="s">
        <v>519</v>
      </c>
      <c r="P9" s="91" t="s">
        <v>518</v>
      </c>
      <c r="Q9" s="91" t="s">
        <v>518</v>
      </c>
      <c r="S9" s="93" t="s">
        <v>387</v>
      </c>
      <c r="T9" s="93" t="s">
        <v>520</v>
      </c>
      <c r="U9" s="93" t="s">
        <v>166</v>
      </c>
      <c r="X9" s="91" t="s">
        <v>387</v>
      </c>
      <c r="Y9" s="97" t="s">
        <v>521</v>
      </c>
      <c r="Z9" s="97" t="s">
        <v>522</v>
      </c>
      <c r="AA9" s="97" t="s">
        <v>523</v>
      </c>
      <c r="AG9" s="97" t="s">
        <v>524</v>
      </c>
      <c r="AH9" s="97" t="s">
        <v>525</v>
      </c>
      <c r="AI9" s="97" t="s">
        <v>526</v>
      </c>
      <c r="AJ9" s="97" t="s">
        <v>527</v>
      </c>
    </row>
    <row r="10" spans="2:36" ht="25.5">
      <c r="B10" s="88"/>
      <c r="C10" s="94" t="s">
        <v>170</v>
      </c>
      <c r="D10" s="94" t="s">
        <v>170</v>
      </c>
      <c r="E10" s="94" t="s">
        <v>170</v>
      </c>
      <c r="F10" s="94" t="s">
        <v>170</v>
      </c>
      <c r="H10" s="95" t="s">
        <v>528</v>
      </c>
      <c r="I10" s="95" t="s">
        <v>170</v>
      </c>
      <c r="J10" s="95" t="s">
        <v>170</v>
      </c>
      <c r="P10" s="95" t="s">
        <v>170</v>
      </c>
      <c r="Q10" s="95" t="s">
        <v>170</v>
      </c>
      <c r="S10" s="94" t="s">
        <v>170</v>
      </c>
      <c r="T10" s="94" t="s">
        <v>170</v>
      </c>
      <c r="U10" s="94" t="s">
        <v>170</v>
      </c>
      <c r="X10" s="93" t="s">
        <v>170</v>
      </c>
      <c r="Y10" s="115" t="s">
        <v>529</v>
      </c>
      <c r="Z10" s="115" t="s">
        <v>530</v>
      </c>
      <c r="AA10" s="115" t="s">
        <v>170</v>
      </c>
      <c r="AG10" s="115" t="s">
        <v>170</v>
      </c>
      <c r="AH10" s="115" t="s">
        <v>170</v>
      </c>
      <c r="AI10" s="115" t="s">
        <v>170</v>
      </c>
      <c r="AJ10" s="115" t="s">
        <v>170</v>
      </c>
    </row>
    <row r="11" spans="2:36" ht="25.5">
      <c r="B11" s="88" t="s">
        <v>172</v>
      </c>
      <c r="C11" s="99" t="s">
        <v>496</v>
      </c>
      <c r="D11" s="99" t="s">
        <v>174</v>
      </c>
      <c r="E11" s="99" t="s">
        <v>179</v>
      </c>
      <c r="F11" s="99" t="s">
        <v>175</v>
      </c>
      <c r="H11" s="97" t="s">
        <v>531</v>
      </c>
      <c r="I11" s="97" t="s">
        <v>173</v>
      </c>
      <c r="J11" s="97" t="s">
        <v>532</v>
      </c>
      <c r="P11" s="97" t="s">
        <v>533</v>
      </c>
      <c r="Q11" s="97" t="s">
        <v>533</v>
      </c>
      <c r="S11" s="99" t="s">
        <v>404</v>
      </c>
      <c r="T11" s="99" t="s">
        <v>534</v>
      </c>
      <c r="U11" s="99" t="s">
        <v>332</v>
      </c>
      <c r="X11" s="98" t="s">
        <v>410</v>
      </c>
      <c r="Y11" s="97" t="s">
        <v>535</v>
      </c>
      <c r="Z11" s="97" t="s">
        <v>531</v>
      </c>
      <c r="AA11" s="97" t="s">
        <v>536</v>
      </c>
      <c r="AG11" s="97" t="s">
        <v>537</v>
      </c>
      <c r="AH11" s="97" t="s">
        <v>538</v>
      </c>
      <c r="AI11" s="97" t="s">
        <v>539</v>
      </c>
      <c r="AJ11" s="97" t="s">
        <v>540</v>
      </c>
    </row>
    <row r="12" spans="2:36">
      <c r="B12" s="88" t="s">
        <v>180</v>
      </c>
      <c r="C12" s="99" t="s">
        <v>584</v>
      </c>
      <c r="D12" s="99" t="s">
        <v>181</v>
      </c>
      <c r="E12" s="99" t="s">
        <v>185</v>
      </c>
      <c r="F12" s="99" t="s">
        <v>181</v>
      </c>
      <c r="H12" s="96" t="s">
        <v>541</v>
      </c>
      <c r="I12" s="101" t="s">
        <v>181</v>
      </c>
      <c r="J12" s="101" t="s">
        <v>542</v>
      </c>
      <c r="P12" s="289" t="s">
        <v>542</v>
      </c>
      <c r="Q12" s="289" t="s">
        <v>542</v>
      </c>
      <c r="S12" s="99" t="s">
        <v>181</v>
      </c>
      <c r="T12" s="99" t="s">
        <v>181</v>
      </c>
      <c r="U12" s="99" t="s">
        <v>181</v>
      </c>
      <c r="X12" s="286" t="s">
        <v>181</v>
      </c>
      <c r="Y12" s="286" t="s">
        <v>181</v>
      </c>
      <c r="Z12" s="286" t="s">
        <v>181</v>
      </c>
      <c r="AA12" s="286" t="s">
        <v>181</v>
      </c>
      <c r="AG12" s="286" t="s">
        <v>543</v>
      </c>
      <c r="AH12" s="286" t="s">
        <v>544</v>
      </c>
      <c r="AI12" s="286" t="s">
        <v>545</v>
      </c>
      <c r="AJ12" s="286" t="s">
        <v>546</v>
      </c>
    </row>
    <row r="13" spans="2:36" ht="20.25" customHeight="1">
      <c r="B13" s="88" t="s">
        <v>186</v>
      </c>
      <c r="C13" s="102" t="s">
        <v>585</v>
      </c>
      <c r="D13" s="102" t="s">
        <v>187</v>
      </c>
      <c r="E13" s="102" t="s">
        <v>187</v>
      </c>
      <c r="F13" s="102" t="s">
        <v>187</v>
      </c>
      <c r="H13" s="102" t="s">
        <v>187</v>
      </c>
      <c r="I13" s="94" t="s">
        <v>187</v>
      </c>
      <c r="J13" s="102" t="s">
        <v>187</v>
      </c>
      <c r="P13" s="208" t="s">
        <v>547</v>
      </c>
      <c r="Q13" s="208" t="s">
        <v>547</v>
      </c>
      <c r="S13" s="102" t="s">
        <v>431</v>
      </c>
      <c r="T13" s="102" t="s">
        <v>340</v>
      </c>
      <c r="U13" s="102" t="s">
        <v>188</v>
      </c>
      <c r="X13" s="94" t="s">
        <v>340</v>
      </c>
      <c r="Y13" s="94" t="s">
        <v>340</v>
      </c>
      <c r="Z13" s="94" t="s">
        <v>340</v>
      </c>
      <c r="AA13" s="94" t="s">
        <v>187</v>
      </c>
      <c r="AG13" s="94" t="s">
        <v>187</v>
      </c>
      <c r="AH13" s="94" t="s">
        <v>187</v>
      </c>
      <c r="AI13" s="94" t="s">
        <v>188</v>
      </c>
      <c r="AJ13" s="94" t="s">
        <v>188</v>
      </c>
    </row>
    <row r="14" spans="2:36" ht="20.25" customHeight="1">
      <c r="B14" s="88" t="s">
        <v>215</v>
      </c>
      <c r="C14" s="115" t="s">
        <v>217</v>
      </c>
      <c r="D14" s="115" t="s">
        <v>217</v>
      </c>
      <c r="E14" s="102" t="s">
        <v>219</v>
      </c>
      <c r="F14" s="115" t="s">
        <v>217</v>
      </c>
      <c r="H14" s="115" t="s">
        <v>217</v>
      </c>
      <c r="I14" s="94" t="s">
        <v>216</v>
      </c>
      <c r="J14" s="115" t="s">
        <v>217</v>
      </c>
      <c r="P14" s="121" t="s">
        <v>216</v>
      </c>
      <c r="Q14" s="121" t="s">
        <v>216</v>
      </c>
      <c r="S14" s="115" t="s">
        <v>457</v>
      </c>
      <c r="T14" s="115" t="s">
        <v>217</v>
      </c>
      <c r="U14" s="115" t="s">
        <v>216</v>
      </c>
      <c r="X14" s="94" t="s">
        <v>217</v>
      </c>
      <c r="Y14" s="115" t="s">
        <v>217</v>
      </c>
      <c r="Z14" s="115" t="s">
        <v>548</v>
      </c>
      <c r="AA14" s="115" t="s">
        <v>217</v>
      </c>
      <c r="AG14" s="115" t="s">
        <v>217</v>
      </c>
      <c r="AH14" s="115" t="s">
        <v>219</v>
      </c>
      <c r="AI14" s="115" t="s">
        <v>549</v>
      </c>
      <c r="AJ14" s="115" t="s">
        <v>216</v>
      </c>
    </row>
    <row r="15" spans="2:36" ht="15">
      <c r="B15" s="88" t="s">
        <v>341</v>
      </c>
      <c r="C15" s="104">
        <f>SUM(C16:C20)</f>
        <v>6505.32</v>
      </c>
      <c r="D15" s="104">
        <f t="shared" ref="D15" si="0">SUM(D16:D20)</f>
        <v>6996</v>
      </c>
      <c r="E15" s="104">
        <f>SUM(E16:E20)</f>
        <v>1800</v>
      </c>
      <c r="F15" s="104">
        <f>SUM(F16:F20)</f>
        <v>3337.7</v>
      </c>
      <c r="H15" s="104">
        <f>SUM(H16:H20)</f>
        <v>682.4</v>
      </c>
      <c r="I15" s="104">
        <f>SUM(I16:I20)</f>
        <v>1870</v>
      </c>
      <c r="J15" s="104">
        <f>SUM(J16:J20)</f>
        <v>2700</v>
      </c>
      <c r="P15" s="104">
        <f>SUM(P16:P20)</f>
        <v>1200</v>
      </c>
      <c r="Q15" s="104">
        <f>SUM(Q16:Q20)</f>
        <v>1800</v>
      </c>
      <c r="S15" s="104">
        <f>SUM(S16:S20)</f>
        <v>5015.6000000000004</v>
      </c>
      <c r="T15" s="104">
        <f>SUM(T16:T20)</f>
        <v>870.36</v>
      </c>
      <c r="U15" s="104">
        <f>SUM(U16:U19)</f>
        <v>1906</v>
      </c>
      <c r="X15" s="103">
        <f t="shared" ref="X15" si="1">SUM(X16:X20)</f>
        <v>1370</v>
      </c>
      <c r="Y15" s="103">
        <f>SUM(Y16:Y20)</f>
        <v>2030</v>
      </c>
      <c r="Z15" s="103">
        <f>SUM(Z16:Z20)</f>
        <v>233</v>
      </c>
      <c r="AA15" s="212">
        <f>SUM(AA16:AA20)</f>
        <v>2550</v>
      </c>
      <c r="AG15" s="103">
        <v>1000</v>
      </c>
      <c r="AH15" s="103">
        <f t="shared" ref="AH15:AJ15" si="2">SUM(AH16:AH19)</f>
        <v>376</v>
      </c>
      <c r="AI15" s="103">
        <f t="shared" si="2"/>
        <v>800</v>
      </c>
      <c r="AJ15" s="103">
        <f t="shared" si="2"/>
        <v>636</v>
      </c>
    </row>
    <row r="16" spans="2:36">
      <c r="B16" s="105" t="s">
        <v>550</v>
      </c>
      <c r="C16" s="350">
        <f>87.2+568.1</f>
        <v>655.30000000000007</v>
      </c>
      <c r="D16" s="108">
        <v>360</v>
      </c>
      <c r="E16" s="108">
        <v>23.1</v>
      </c>
      <c r="F16" s="108">
        <v>1390</v>
      </c>
      <c r="H16" s="106">
        <v>682.4</v>
      </c>
      <c r="I16" s="106">
        <v>110</v>
      </c>
      <c r="J16" s="106">
        <v>0</v>
      </c>
      <c r="P16" s="106">
        <v>1200</v>
      </c>
      <c r="Q16" s="106">
        <v>0</v>
      </c>
      <c r="S16" s="108">
        <v>0</v>
      </c>
      <c r="T16" s="108">
        <f>100+50+7+11</f>
        <v>168</v>
      </c>
      <c r="U16" s="108">
        <f>1200+60</f>
        <v>1260</v>
      </c>
      <c r="X16" s="106">
        <v>0</v>
      </c>
      <c r="Y16" s="106">
        <v>2030</v>
      </c>
      <c r="Z16" s="106">
        <v>0</v>
      </c>
      <c r="AA16" s="210">
        <v>200</v>
      </c>
      <c r="AG16" s="106">
        <v>0</v>
      </c>
      <c r="AH16" s="106">
        <v>0</v>
      </c>
      <c r="AI16" s="106">
        <v>0</v>
      </c>
      <c r="AJ16" s="106">
        <v>0</v>
      </c>
    </row>
    <row r="17" spans="2:36">
      <c r="B17" s="105" t="s">
        <v>192</v>
      </c>
      <c r="C17" s="351">
        <v>0</v>
      </c>
      <c r="D17" s="108">
        <v>5523.8</v>
      </c>
      <c r="E17" s="108">
        <v>800</v>
      </c>
      <c r="F17" s="108">
        <v>0</v>
      </c>
      <c r="H17" s="106">
        <v>0</v>
      </c>
      <c r="I17" s="106">
        <v>1300</v>
      </c>
      <c r="J17" s="106">
        <v>0</v>
      </c>
      <c r="P17" s="106">
        <v>0</v>
      </c>
      <c r="Q17" s="106">
        <v>0</v>
      </c>
      <c r="S17" s="108">
        <f>1486.3</f>
        <v>1486.3</v>
      </c>
      <c r="T17" s="108">
        <v>444.36</v>
      </c>
      <c r="U17" s="108">
        <v>0</v>
      </c>
      <c r="X17" s="106">
        <v>0</v>
      </c>
      <c r="Y17" s="106">
        <v>0</v>
      </c>
      <c r="Z17" s="106">
        <v>0</v>
      </c>
      <c r="AA17" s="210">
        <v>0</v>
      </c>
      <c r="AG17" s="106">
        <v>0</v>
      </c>
      <c r="AH17" s="106">
        <v>376</v>
      </c>
      <c r="AI17" s="106">
        <v>0</v>
      </c>
      <c r="AJ17" s="106">
        <v>0</v>
      </c>
    </row>
    <row r="18" spans="2:36">
      <c r="B18" s="105" t="s">
        <v>193</v>
      </c>
      <c r="C18" s="352">
        <v>5661.7</v>
      </c>
      <c r="D18" s="108">
        <v>1112.2</v>
      </c>
      <c r="E18" s="108">
        <f>1800-23.1-800</f>
        <v>976.90000000000009</v>
      </c>
      <c r="F18" s="108">
        <v>1947.7</v>
      </c>
      <c r="H18" s="108">
        <v>0</v>
      </c>
      <c r="I18" s="108">
        <v>0</v>
      </c>
      <c r="J18" s="108">
        <f>1150+1550</f>
        <v>2700</v>
      </c>
      <c r="P18" s="108">
        <v>0</v>
      </c>
      <c r="Q18" s="108">
        <v>1800</v>
      </c>
      <c r="S18" s="108">
        <f>2661.4+384.3+483.6</f>
        <v>3529.3</v>
      </c>
      <c r="T18" s="108">
        <v>30</v>
      </c>
      <c r="U18" s="108">
        <v>646</v>
      </c>
      <c r="X18" s="106">
        <v>1370</v>
      </c>
      <c r="Y18" s="106">
        <v>0</v>
      </c>
      <c r="Z18" s="106">
        <v>233</v>
      </c>
      <c r="AA18" s="210">
        <v>2350</v>
      </c>
      <c r="AG18" s="106">
        <v>1040</v>
      </c>
      <c r="AH18" s="106">
        <v>0</v>
      </c>
      <c r="AI18" s="106">
        <v>800</v>
      </c>
      <c r="AJ18" s="106">
        <v>636</v>
      </c>
    </row>
    <row r="19" spans="2:36">
      <c r="B19" s="105" t="s">
        <v>357</v>
      </c>
      <c r="C19" s="353">
        <v>0</v>
      </c>
      <c r="D19" s="108">
        <v>0</v>
      </c>
      <c r="E19" s="108">
        <v>0</v>
      </c>
      <c r="F19" s="108">
        <v>0</v>
      </c>
      <c r="H19" s="106">
        <v>0</v>
      </c>
      <c r="I19" s="106">
        <v>460</v>
      </c>
      <c r="J19" s="106">
        <v>0</v>
      </c>
      <c r="P19" s="106">
        <v>0</v>
      </c>
      <c r="Q19" s="106">
        <v>0</v>
      </c>
      <c r="S19" s="108">
        <v>0</v>
      </c>
      <c r="T19" s="108">
        <v>228</v>
      </c>
      <c r="U19" s="108">
        <v>0</v>
      </c>
      <c r="X19" s="106">
        <v>0</v>
      </c>
      <c r="Y19" s="106">
        <v>0</v>
      </c>
      <c r="Z19" s="106">
        <v>0</v>
      </c>
      <c r="AA19" s="210">
        <v>0</v>
      </c>
      <c r="AG19" s="106">
        <v>0</v>
      </c>
      <c r="AH19" s="106">
        <v>0</v>
      </c>
      <c r="AI19" s="106">
        <v>0</v>
      </c>
      <c r="AJ19" s="106">
        <v>0</v>
      </c>
    </row>
    <row r="20" spans="2:36">
      <c r="B20" s="105" t="s">
        <v>551</v>
      </c>
      <c r="C20" s="354">
        <v>188.32</v>
      </c>
      <c r="D20" s="108">
        <v>0</v>
      </c>
      <c r="E20" s="108">
        <v>0</v>
      </c>
      <c r="F20" s="108">
        <v>0</v>
      </c>
      <c r="H20" s="108">
        <v>0</v>
      </c>
      <c r="I20" s="108">
        <v>0</v>
      </c>
      <c r="J20" s="108">
        <v>0</v>
      </c>
      <c r="P20" s="108">
        <v>0</v>
      </c>
      <c r="Q20" s="108">
        <v>0</v>
      </c>
      <c r="S20" s="108">
        <v>0</v>
      </c>
      <c r="T20" s="108">
        <v>0</v>
      </c>
      <c r="U20" s="108">
        <v>0</v>
      </c>
      <c r="X20" s="94">
        <v>0</v>
      </c>
      <c r="Y20" s="103">
        <v>0</v>
      </c>
      <c r="Z20" s="103">
        <v>0</v>
      </c>
      <c r="AA20" s="212">
        <v>0</v>
      </c>
      <c r="AG20" s="103">
        <v>0</v>
      </c>
      <c r="AH20" s="103">
        <v>0</v>
      </c>
      <c r="AI20" s="103">
        <v>0</v>
      </c>
      <c r="AJ20" s="103">
        <v>0</v>
      </c>
    </row>
    <row r="21" spans="2:36" ht="25.5">
      <c r="B21" s="88" t="s">
        <v>202</v>
      </c>
      <c r="C21" s="115" t="s">
        <v>552</v>
      </c>
      <c r="D21" s="115" t="s">
        <v>205</v>
      </c>
      <c r="E21" s="115" t="s">
        <v>210</v>
      </c>
      <c r="F21" s="115" t="s">
        <v>206</v>
      </c>
      <c r="H21" s="115" t="s">
        <v>450</v>
      </c>
      <c r="I21" s="115" t="s">
        <v>553</v>
      </c>
      <c r="J21" s="115" t="s">
        <v>450</v>
      </c>
      <c r="P21" s="115" t="s">
        <v>450</v>
      </c>
      <c r="Q21" s="115" t="s">
        <v>450</v>
      </c>
      <c r="S21" s="115" t="s">
        <v>447</v>
      </c>
      <c r="T21" s="115" t="s">
        <v>448</v>
      </c>
      <c r="U21" s="115" t="s">
        <v>344</v>
      </c>
      <c r="X21" s="94" t="s">
        <v>449</v>
      </c>
      <c r="Y21" s="94" t="s">
        <v>554</v>
      </c>
      <c r="Z21" s="94" t="s">
        <v>448</v>
      </c>
      <c r="AA21" s="209" t="s">
        <v>206</v>
      </c>
      <c r="AG21" s="94" t="s">
        <v>555</v>
      </c>
      <c r="AH21" s="94" t="s">
        <v>555</v>
      </c>
      <c r="AI21" s="94" t="s">
        <v>555</v>
      </c>
      <c r="AJ21" s="94" t="s">
        <v>556</v>
      </c>
    </row>
    <row r="22" spans="2:36" ht="25.5">
      <c r="B22" s="88" t="s">
        <v>211</v>
      </c>
      <c r="C22" s="94" t="s">
        <v>214</v>
      </c>
      <c r="D22" s="94" t="s">
        <v>214</v>
      </c>
      <c r="E22" s="94" t="s">
        <v>214</v>
      </c>
      <c r="F22" s="94" t="s">
        <v>214</v>
      </c>
      <c r="H22" s="94" t="s">
        <v>214</v>
      </c>
      <c r="I22" s="94" t="s">
        <v>213</v>
      </c>
      <c r="J22" s="94" t="s">
        <v>557</v>
      </c>
      <c r="P22" s="94" t="s">
        <v>214</v>
      </c>
      <c r="Q22" s="94" t="s">
        <v>214</v>
      </c>
      <c r="S22" s="94" t="s">
        <v>214</v>
      </c>
      <c r="T22" s="94" t="s">
        <v>214</v>
      </c>
      <c r="U22" s="94" t="s">
        <v>212</v>
      </c>
      <c r="X22" s="94" t="s">
        <v>212</v>
      </c>
      <c r="Y22" s="94" t="s">
        <v>214</v>
      </c>
      <c r="Z22" s="94" t="s">
        <v>214</v>
      </c>
      <c r="AA22" s="209" t="s">
        <v>214</v>
      </c>
      <c r="AG22" s="94" t="s">
        <v>212</v>
      </c>
      <c r="AH22" s="94" t="s">
        <v>558</v>
      </c>
      <c r="AI22" s="94" t="s">
        <v>212</v>
      </c>
      <c r="AJ22" s="94" t="s">
        <v>212</v>
      </c>
    </row>
    <row r="23" spans="2:36">
      <c r="B23" s="88" t="s">
        <v>220</v>
      </c>
      <c r="C23" s="115" t="s">
        <v>221</v>
      </c>
      <c r="D23" s="115" t="s">
        <v>221</v>
      </c>
      <c r="E23" s="115" t="s">
        <v>221</v>
      </c>
      <c r="F23" s="115" t="s">
        <v>221</v>
      </c>
      <c r="H23" s="115" t="s">
        <v>221</v>
      </c>
      <c r="I23" s="115" t="s">
        <v>221</v>
      </c>
      <c r="J23" s="115" t="s">
        <v>221</v>
      </c>
      <c r="P23" s="115" t="s">
        <v>221</v>
      </c>
      <c r="Q23" s="115" t="s">
        <v>221</v>
      </c>
      <c r="S23" s="115" t="s">
        <v>221</v>
      </c>
      <c r="T23" s="115" t="s">
        <v>221</v>
      </c>
      <c r="U23" s="115" t="s">
        <v>221</v>
      </c>
      <c r="X23" s="94" t="s">
        <v>221</v>
      </c>
      <c r="Y23" s="94" t="s">
        <v>221</v>
      </c>
      <c r="Z23" s="94" t="s">
        <v>221</v>
      </c>
      <c r="AA23" s="209" t="s">
        <v>221</v>
      </c>
      <c r="AG23" s="94" t="s">
        <v>221</v>
      </c>
      <c r="AH23" s="94" t="s">
        <v>221</v>
      </c>
      <c r="AI23" s="94" t="s">
        <v>221</v>
      </c>
      <c r="AJ23" s="94" t="s">
        <v>221</v>
      </c>
    </row>
    <row r="24" spans="2:36" ht="15">
      <c r="B24" s="88" t="s">
        <v>350</v>
      </c>
      <c r="C24" s="104">
        <v>9410</v>
      </c>
      <c r="D24" s="104">
        <v>12620</v>
      </c>
      <c r="E24" s="104">
        <v>3200</v>
      </c>
      <c r="F24" s="115">
        <v>7800</v>
      </c>
      <c r="H24" s="104">
        <v>1230</v>
      </c>
      <c r="I24" s="104">
        <v>5480</v>
      </c>
      <c r="J24" s="104">
        <v>2300</v>
      </c>
      <c r="P24" s="104">
        <v>680</v>
      </c>
      <c r="Q24" s="104">
        <v>3710</v>
      </c>
      <c r="S24" s="115">
        <v>2200</v>
      </c>
      <c r="T24" s="115">
        <v>2423</v>
      </c>
      <c r="U24" s="115">
        <v>1300</v>
      </c>
      <c r="X24" s="103">
        <v>2200</v>
      </c>
      <c r="Y24" s="103">
        <v>700</v>
      </c>
      <c r="Z24" s="103">
        <v>430</v>
      </c>
      <c r="AA24" s="212">
        <v>16300</v>
      </c>
      <c r="AG24" s="103">
        <v>1037</v>
      </c>
      <c r="AH24" s="103">
        <v>500</v>
      </c>
      <c r="AI24" s="103">
        <v>800</v>
      </c>
      <c r="AJ24" s="103">
        <v>1149</v>
      </c>
    </row>
    <row r="25" spans="2:36">
      <c r="B25" s="88" t="s">
        <v>226</v>
      </c>
      <c r="C25" s="94" t="s">
        <v>227</v>
      </c>
      <c r="D25" s="94" t="s">
        <v>227</v>
      </c>
      <c r="E25" s="94" t="s">
        <v>227</v>
      </c>
      <c r="F25" s="94" t="s">
        <v>227</v>
      </c>
      <c r="H25" s="94" t="s">
        <v>227</v>
      </c>
      <c r="I25" s="94" t="s">
        <v>227</v>
      </c>
      <c r="J25" s="94" t="s">
        <v>461</v>
      </c>
      <c r="P25" s="94" t="s">
        <v>461</v>
      </c>
      <c r="Q25" s="94" t="s">
        <v>461</v>
      </c>
      <c r="S25" s="94" t="s">
        <v>461</v>
      </c>
      <c r="T25" s="94" t="s">
        <v>227</v>
      </c>
      <c r="U25" s="94" t="s">
        <v>227</v>
      </c>
      <c r="X25" s="94" t="s">
        <v>461</v>
      </c>
      <c r="Y25" s="94" t="s">
        <v>227</v>
      </c>
      <c r="Z25" s="94" t="s">
        <v>227</v>
      </c>
      <c r="AA25" s="209" t="s">
        <v>227</v>
      </c>
      <c r="AG25" s="94" t="s">
        <v>559</v>
      </c>
      <c r="AH25" s="94" t="s">
        <v>559</v>
      </c>
      <c r="AI25" s="94" t="s">
        <v>559</v>
      </c>
      <c r="AJ25" s="94" t="s">
        <v>559</v>
      </c>
    </row>
    <row r="26" spans="2:36" ht="25.5">
      <c r="B26" s="88" t="s">
        <v>230</v>
      </c>
      <c r="C26" s="116" t="s">
        <v>560</v>
      </c>
      <c r="D26" s="116" t="s">
        <v>232</v>
      </c>
      <c r="E26" s="116" t="s">
        <v>234</v>
      </c>
      <c r="F26" s="116" t="s">
        <v>463</v>
      </c>
      <c r="H26" s="116" t="s">
        <v>233</v>
      </c>
      <c r="I26" s="116" t="s">
        <v>231</v>
      </c>
      <c r="J26" s="116" t="s">
        <v>561</v>
      </c>
      <c r="P26" s="116" t="s">
        <v>561</v>
      </c>
      <c r="Q26" s="116" t="s">
        <v>561</v>
      </c>
      <c r="S26" s="116" t="s">
        <v>231</v>
      </c>
      <c r="T26" s="116" t="s">
        <v>562</v>
      </c>
      <c r="U26" s="116" t="s">
        <v>233</v>
      </c>
      <c r="X26" s="97" t="s">
        <v>233</v>
      </c>
      <c r="Y26" s="97" t="s">
        <v>563</v>
      </c>
      <c r="Z26" s="97" t="s">
        <v>233</v>
      </c>
      <c r="AA26" s="355" t="s">
        <v>564</v>
      </c>
      <c r="AG26" s="97" t="s">
        <v>565</v>
      </c>
      <c r="AH26" s="97" t="s">
        <v>565</v>
      </c>
      <c r="AI26" s="97" t="s">
        <v>565</v>
      </c>
      <c r="AJ26" s="97" t="s">
        <v>566</v>
      </c>
    </row>
    <row r="27" spans="2:36" ht="63.75">
      <c r="B27" s="88" t="s">
        <v>567</v>
      </c>
      <c r="C27" s="94" t="s">
        <v>568</v>
      </c>
      <c r="D27" s="115" t="s">
        <v>569</v>
      </c>
      <c r="E27" s="115" t="s">
        <v>569</v>
      </c>
      <c r="F27" s="94" t="s">
        <v>239</v>
      </c>
      <c r="H27" s="115" t="s">
        <v>238</v>
      </c>
      <c r="I27" s="115" t="s">
        <v>569</v>
      </c>
      <c r="J27" s="115" t="s">
        <v>469</v>
      </c>
      <c r="P27" s="121" t="s">
        <v>469</v>
      </c>
      <c r="Q27" s="121" t="s">
        <v>469</v>
      </c>
      <c r="S27" s="94" t="s">
        <v>467</v>
      </c>
      <c r="T27" s="94" t="s">
        <v>570</v>
      </c>
      <c r="U27" s="94" t="s">
        <v>239</v>
      </c>
      <c r="X27" s="94" t="s">
        <v>471</v>
      </c>
      <c r="Y27" s="94" t="s">
        <v>571</v>
      </c>
      <c r="Z27" s="94" t="s">
        <v>571</v>
      </c>
      <c r="AA27" s="209" t="s">
        <v>572</v>
      </c>
      <c r="AG27" s="94" t="s">
        <v>239</v>
      </c>
      <c r="AH27" s="94" t="s">
        <v>239</v>
      </c>
      <c r="AI27" s="94" t="s">
        <v>239</v>
      </c>
      <c r="AJ27" s="94" t="s">
        <v>239</v>
      </c>
    </row>
    <row r="28" spans="2:36">
      <c r="B28" s="88" t="s">
        <v>573</v>
      </c>
      <c r="C28" s="94" t="s">
        <v>586</v>
      </c>
      <c r="D28" s="94" t="s">
        <v>238</v>
      </c>
      <c r="E28" s="94" t="s">
        <v>238</v>
      </c>
      <c r="F28" s="94" t="s">
        <v>239</v>
      </c>
      <c r="H28" s="94" t="s">
        <v>238</v>
      </c>
      <c r="I28" s="94" t="s">
        <v>236</v>
      </c>
      <c r="J28" s="94" t="s">
        <v>238</v>
      </c>
      <c r="P28" s="205" t="s">
        <v>238</v>
      </c>
      <c r="Q28" s="205" t="s">
        <v>238</v>
      </c>
      <c r="S28" s="94" t="s">
        <v>574</v>
      </c>
      <c r="T28" s="94" t="s">
        <v>238</v>
      </c>
      <c r="U28" s="94" t="s">
        <v>238</v>
      </c>
      <c r="X28" s="94" t="s">
        <v>574</v>
      </c>
      <c r="Y28" s="94" t="s">
        <v>238</v>
      </c>
      <c r="Z28" s="94" t="s">
        <v>238</v>
      </c>
      <c r="AA28" s="94" t="s">
        <v>574</v>
      </c>
      <c r="AG28" s="94" t="s">
        <v>224</v>
      </c>
      <c r="AH28" s="94" t="s">
        <v>224</v>
      </c>
      <c r="AI28" s="94" t="s">
        <v>224</v>
      </c>
      <c r="AJ28" s="94" t="s">
        <v>224</v>
      </c>
    </row>
    <row r="29" spans="2:36">
      <c r="B29" s="88" t="s">
        <v>243</v>
      </c>
      <c r="C29" s="117"/>
      <c r="D29" s="94" t="s">
        <v>244</v>
      </c>
      <c r="E29" s="94" t="s">
        <v>244</v>
      </c>
      <c r="F29" s="94" t="s">
        <v>245</v>
      </c>
      <c r="H29" s="94" t="s">
        <v>482</v>
      </c>
      <c r="I29" s="94" t="s">
        <v>245</v>
      </c>
      <c r="J29" s="94" t="s">
        <v>244</v>
      </c>
      <c r="P29" s="205" t="s">
        <v>245</v>
      </c>
      <c r="Q29" s="205" t="s">
        <v>245</v>
      </c>
      <c r="S29" s="94" t="s">
        <v>245</v>
      </c>
      <c r="T29" s="94" t="s">
        <v>244</v>
      </c>
      <c r="U29" s="94" t="s">
        <v>244</v>
      </c>
      <c r="X29" s="101" t="s">
        <v>244</v>
      </c>
      <c r="Y29" s="94" t="s">
        <v>244</v>
      </c>
      <c r="Z29" s="94" t="s">
        <v>244</v>
      </c>
      <c r="AA29" s="94" t="s">
        <v>244</v>
      </c>
      <c r="AG29" s="94" t="s">
        <v>245</v>
      </c>
      <c r="AH29" s="94" t="s">
        <v>245</v>
      </c>
      <c r="AI29" s="94" t="s">
        <v>245</v>
      </c>
      <c r="AJ29" s="94" t="s">
        <v>245</v>
      </c>
    </row>
    <row r="30" spans="2:36">
      <c r="B30" s="88" t="s">
        <v>122</v>
      </c>
      <c r="C30" s="117"/>
      <c r="D30" s="94">
        <v>6000000</v>
      </c>
      <c r="E30" s="94">
        <v>1500000</v>
      </c>
      <c r="F30" s="94">
        <v>2600000</v>
      </c>
      <c r="H30" s="94">
        <v>700000</v>
      </c>
      <c r="I30" s="94">
        <v>1800000</v>
      </c>
      <c r="J30" s="94">
        <v>800000</v>
      </c>
      <c r="P30" s="94">
        <v>1500000</v>
      </c>
      <c r="Q30" s="94">
        <v>1500000</v>
      </c>
      <c r="S30" s="94">
        <v>2500000</v>
      </c>
      <c r="T30" s="94">
        <v>700000</v>
      </c>
      <c r="U30" s="94">
        <v>1200000</v>
      </c>
      <c r="X30" s="118">
        <v>760000</v>
      </c>
      <c r="Y30" s="118">
        <v>1600000</v>
      </c>
      <c r="Z30" s="118">
        <v>280000</v>
      </c>
      <c r="AA30" s="118">
        <v>5200000</v>
      </c>
      <c r="AG30" s="118">
        <f>700*AG15</f>
        <v>700000</v>
      </c>
      <c r="AH30" s="118">
        <v>320000</v>
      </c>
      <c r="AI30" s="118">
        <v>750000</v>
      </c>
      <c r="AJ30" s="118">
        <v>525000</v>
      </c>
    </row>
    <row r="31" spans="2:36">
      <c r="B31" s="88" t="s">
        <v>246</v>
      </c>
      <c r="C31" s="117"/>
      <c r="D31" s="94">
        <f>ROUND(D30*долл,-4)</f>
        <v>524700000</v>
      </c>
      <c r="E31" s="94">
        <f>ROUND(E30*долл,-4)</f>
        <v>131180000</v>
      </c>
      <c r="F31" s="94">
        <f>F30*долл</f>
        <v>227370000</v>
      </c>
      <c r="H31" s="94">
        <f>ROUND(H30*долл,-4)</f>
        <v>61220000</v>
      </c>
      <c r="I31" s="94">
        <f>ROUND(I30*долл,-3)</f>
        <v>157410000</v>
      </c>
      <c r="J31" s="94">
        <f>ROUND(J30*долл,-4)</f>
        <v>69960000</v>
      </c>
      <c r="P31" s="94">
        <f>ROUND(P30*долл,-4)</f>
        <v>131180000</v>
      </c>
      <c r="Q31" s="94">
        <f>ROUND(Q30*долл,-4)</f>
        <v>131180000</v>
      </c>
      <c r="S31" s="94">
        <f>S30*долл</f>
        <v>218625000</v>
      </c>
      <c r="T31" s="94">
        <f>T30*долл</f>
        <v>61215000</v>
      </c>
      <c r="U31" s="94">
        <f>ROUND(U30*долл,-3)</f>
        <v>104940000</v>
      </c>
      <c r="X31" s="115">
        <f>X30*долл</f>
        <v>66462000</v>
      </c>
      <c r="Y31" s="94">
        <f>Y30*долл</f>
        <v>139920000</v>
      </c>
      <c r="Z31" s="94">
        <f>Z30*долл</f>
        <v>24486000</v>
      </c>
      <c r="AA31" s="94">
        <f>AA30*долл</f>
        <v>454740000</v>
      </c>
      <c r="AG31" s="94">
        <f>ROUND(AG30*долл,-3)</f>
        <v>61215000</v>
      </c>
      <c r="AH31" s="94">
        <f>ROUND(AH30*долл,-3)</f>
        <v>27984000</v>
      </c>
      <c r="AI31" s="94">
        <f>ROUND(AI30*долл,-3)</f>
        <v>65588000</v>
      </c>
      <c r="AJ31" s="94">
        <f>ROUND(AJ30*долл,-3)</f>
        <v>45911000</v>
      </c>
    </row>
    <row r="32" spans="2:36" ht="15">
      <c r="B32" s="88" t="s">
        <v>247</v>
      </c>
      <c r="C32" s="115"/>
      <c r="D32" s="115">
        <f>D30/D15</f>
        <v>857.63293310463121</v>
      </c>
      <c r="E32" s="115">
        <f>E30/E15</f>
        <v>833.33333333333337</v>
      </c>
      <c r="F32" s="115">
        <f>F30/F15</f>
        <v>778.97953680678313</v>
      </c>
      <c r="H32" s="115">
        <f>H30/H15</f>
        <v>1025.7913247362251</v>
      </c>
      <c r="I32" s="115">
        <f t="shared" ref="I32" si="3">I30/I15</f>
        <v>962.56684491978615</v>
      </c>
      <c r="J32" s="115">
        <f>J30/J15</f>
        <v>296.2962962962963</v>
      </c>
      <c r="P32" s="115">
        <f>P30/P15</f>
        <v>1250</v>
      </c>
      <c r="Q32" s="115">
        <f>Q30/Q15</f>
        <v>833.33333333333337</v>
      </c>
      <c r="S32" s="115">
        <f>S30/S15</f>
        <v>498.44485206156787</v>
      </c>
      <c r="T32" s="115">
        <f>T30/T15</f>
        <v>804.26490187968193</v>
      </c>
      <c r="U32" s="115">
        <f>U30/U15</f>
        <v>629.59076600209869</v>
      </c>
      <c r="X32" s="115">
        <f>X30/X15</f>
        <v>554.74452554744528</v>
      </c>
      <c r="Y32" s="115">
        <f t="shared" ref="Y32:Z32" si="4">Y30/Y15</f>
        <v>788.17733990147781</v>
      </c>
      <c r="Z32" s="115">
        <f t="shared" si="4"/>
        <v>1201.716738197425</v>
      </c>
      <c r="AA32" s="115">
        <f>AA30/AA15</f>
        <v>2039.2156862745098</v>
      </c>
      <c r="AG32" s="115">
        <f>AG30/AG15</f>
        <v>700</v>
      </c>
      <c r="AH32" s="115">
        <f>AH30/AH15</f>
        <v>851.063829787234</v>
      </c>
      <c r="AI32" s="115">
        <f>AI30/AI15</f>
        <v>937.5</v>
      </c>
      <c r="AJ32" s="115">
        <f>AJ30/AJ15</f>
        <v>825.47169811320759</v>
      </c>
    </row>
    <row r="33" spans="2:36" ht="15">
      <c r="B33" s="88" t="s">
        <v>248</v>
      </c>
      <c r="C33" s="115"/>
      <c r="D33" s="115">
        <f>D32*долл</f>
        <v>75000</v>
      </c>
      <c r="E33" s="115">
        <f>E32*долл</f>
        <v>72875</v>
      </c>
      <c r="F33" s="115">
        <f>F32*долл</f>
        <v>68121.760493753187</v>
      </c>
      <c r="H33" s="115">
        <f>H32*долл</f>
        <v>89705.451348182891</v>
      </c>
      <c r="I33" s="115">
        <f>I32*долл</f>
        <v>84176.470588235301</v>
      </c>
      <c r="J33" s="115">
        <f>J32*долл</f>
        <v>25911.111111111113</v>
      </c>
      <c r="P33" s="115">
        <f>P32*долл</f>
        <v>109312.5</v>
      </c>
      <c r="Q33" s="115">
        <f>Q32*долл</f>
        <v>72875</v>
      </c>
      <c r="S33" s="115">
        <f>S32*долл</f>
        <v>43589.002312784112</v>
      </c>
      <c r="T33" s="115">
        <f>T32*долл</f>
        <v>70332.965669378187</v>
      </c>
      <c r="U33" s="115">
        <f>U31/U15</f>
        <v>55057.712486883524</v>
      </c>
      <c r="X33" s="115">
        <f>X32*долл</f>
        <v>48512.40875912409</v>
      </c>
      <c r="Y33" s="115">
        <f>Y32*долл</f>
        <v>68926.108374384232</v>
      </c>
      <c r="Z33" s="115">
        <f>Z32*долл</f>
        <v>105090.12875536481</v>
      </c>
      <c r="AA33" s="115">
        <f>AA32*долл</f>
        <v>178329.4117647059</v>
      </c>
      <c r="AG33" s="115">
        <f>AG31/AG15</f>
        <v>61215</v>
      </c>
      <c r="AH33" s="115">
        <f>AH31/AH15</f>
        <v>74425.531914893611</v>
      </c>
      <c r="AI33" s="115">
        <f>AI31/AI15</f>
        <v>81985</v>
      </c>
      <c r="AJ33" s="115">
        <f>AJ31/AJ15</f>
        <v>72187.106918238991</v>
      </c>
    </row>
    <row r="34" spans="2:36">
      <c r="B34" s="119" t="s">
        <v>249</v>
      </c>
      <c r="C34" s="87" t="s">
        <v>159</v>
      </c>
      <c r="D34" s="87" t="str">
        <f>D7</f>
        <v>Аналог 1</v>
      </c>
      <c r="E34" s="87" t="str">
        <f>E7</f>
        <v>Аналог 2</v>
      </c>
      <c r="F34" s="87" t="str">
        <f>F7</f>
        <v>Аналог 3</v>
      </c>
      <c r="H34" s="87" t="str">
        <f>H7</f>
        <v>Аналог 3</v>
      </c>
      <c r="I34" s="87" t="str">
        <f>I7</f>
        <v>Аналог 3</v>
      </c>
      <c r="J34" s="87" t="str">
        <f>J7</f>
        <v>Аналог 3</v>
      </c>
      <c r="P34" s="87" t="str">
        <f>P7</f>
        <v>Аналог 3</v>
      </c>
      <c r="Q34" s="87" t="str">
        <f>Q7</f>
        <v>Аналог 3</v>
      </c>
      <c r="S34" s="87" t="str">
        <f>S7</f>
        <v>Аналог 2</v>
      </c>
      <c r="T34" s="87" t="str">
        <f>T7</f>
        <v>Аналог 2</v>
      </c>
      <c r="U34" s="87" t="str">
        <f>U7</f>
        <v>Аналог 1</v>
      </c>
      <c r="X34" s="87" t="str">
        <f>X7</f>
        <v>Аналог 3</v>
      </c>
      <c r="Y34" s="87" t="str">
        <f>Y7</f>
        <v>Аналог 2</v>
      </c>
      <c r="Z34" s="87" t="str">
        <f>Z7</f>
        <v>Аналог 2</v>
      </c>
      <c r="AA34" s="87" t="str">
        <f>AA7</f>
        <v>Аналог 2</v>
      </c>
      <c r="AG34" s="87" t="str">
        <f>AG7</f>
        <v>Аналог 1</v>
      </c>
      <c r="AH34" s="87" t="str">
        <f>AH7</f>
        <v>Аналог 2</v>
      </c>
      <c r="AI34" s="87" t="str">
        <f>AI7</f>
        <v>Аналог 3</v>
      </c>
      <c r="AJ34" s="87" t="str">
        <f>AJ7</f>
        <v>Аналог 4</v>
      </c>
    </row>
    <row r="35" spans="2:36" hidden="1" outlineLevel="1">
      <c r="B35" s="120" t="s">
        <v>250</v>
      </c>
      <c r="C35" s="121"/>
      <c r="D35" s="356">
        <v>1</v>
      </c>
      <c r="E35" s="356">
        <v>1</v>
      </c>
      <c r="F35" s="356">
        <v>1</v>
      </c>
      <c r="H35" s="121">
        <v>1</v>
      </c>
      <c r="I35" s="121">
        <v>1</v>
      </c>
      <c r="J35" s="121">
        <v>1</v>
      </c>
      <c r="P35" s="121">
        <v>1</v>
      </c>
      <c r="Q35" s="121">
        <v>1</v>
      </c>
      <c r="S35" s="121">
        <v>1</v>
      </c>
      <c r="T35" s="121">
        <v>1</v>
      </c>
      <c r="U35" s="121">
        <v>1</v>
      </c>
      <c r="X35" s="122">
        <v>1</v>
      </c>
      <c r="Y35" s="122">
        <v>1</v>
      </c>
      <c r="Z35" s="122">
        <v>1</v>
      </c>
      <c r="AA35" s="122">
        <v>1</v>
      </c>
      <c r="AG35" s="122">
        <v>1</v>
      </c>
      <c r="AH35" s="122">
        <v>1</v>
      </c>
      <c r="AI35" s="122">
        <v>1</v>
      </c>
      <c r="AJ35" s="122">
        <v>1</v>
      </c>
    </row>
    <row r="36" spans="2:36" s="300" customFormat="1" ht="15" hidden="1" outlineLevel="1">
      <c r="B36" s="123" t="s">
        <v>352</v>
      </c>
      <c r="C36" s="124"/>
      <c r="D36" s="124">
        <f>D35*D33</f>
        <v>75000</v>
      </c>
      <c r="E36" s="124">
        <f>E35*E33</f>
        <v>72875</v>
      </c>
      <c r="F36" s="124">
        <f>F35*F33</f>
        <v>68121.760493753187</v>
      </c>
      <c r="H36" s="124">
        <f>H35*H33</f>
        <v>89705.451348182891</v>
      </c>
      <c r="I36" s="124">
        <f>I35*I33</f>
        <v>84176.470588235301</v>
      </c>
      <c r="J36" s="124">
        <f>J35*J33</f>
        <v>25911.111111111113</v>
      </c>
      <c r="P36" s="124">
        <f>P35*P33</f>
        <v>109312.5</v>
      </c>
      <c r="Q36" s="124">
        <f>Q35*Q33</f>
        <v>72875</v>
      </c>
      <c r="S36" s="124">
        <f>S35*S33</f>
        <v>43589.002312784112</v>
      </c>
      <c r="T36" s="124">
        <f>T35*T33</f>
        <v>70332.965669378187</v>
      </c>
      <c r="U36" s="124">
        <f>U35*U33</f>
        <v>55057.712486883524</v>
      </c>
      <c r="X36" s="124">
        <f>X35*X33</f>
        <v>48512.40875912409</v>
      </c>
      <c r="Y36" s="124">
        <f>Y35*Y33</f>
        <v>68926.108374384232</v>
      </c>
      <c r="Z36" s="124">
        <f>Z35*Z33</f>
        <v>105090.12875536481</v>
      </c>
      <c r="AA36" s="124">
        <f>AA35*AA33</f>
        <v>178329.4117647059</v>
      </c>
      <c r="AG36" s="124">
        <f>AG35*AG33</f>
        <v>61215</v>
      </c>
      <c r="AH36" s="124">
        <f>AH35*AH33</f>
        <v>74425.531914893611</v>
      </c>
      <c r="AI36" s="124">
        <f>AI35*AI33</f>
        <v>81985</v>
      </c>
      <c r="AJ36" s="124">
        <f>AJ35*AJ33</f>
        <v>72187.106918238991</v>
      </c>
    </row>
    <row r="37" spans="2:36" collapsed="1">
      <c r="B37" s="130" t="s">
        <v>252</v>
      </c>
      <c r="C37" s="115"/>
      <c r="D37" s="357">
        <v>0.95</v>
      </c>
      <c r="E37" s="357">
        <v>0.95</v>
      </c>
      <c r="F37" s="357">
        <v>0.9</v>
      </c>
      <c r="H37" s="357">
        <v>0.85</v>
      </c>
      <c r="I37" s="357">
        <v>0.9</v>
      </c>
      <c r="J37" s="357">
        <v>0.95</v>
      </c>
      <c r="P37" s="357">
        <v>0.9</v>
      </c>
      <c r="Q37" s="357">
        <v>0.9</v>
      </c>
      <c r="S37" s="357">
        <v>0.88</v>
      </c>
      <c r="T37" s="357">
        <v>0.95</v>
      </c>
      <c r="U37" s="357">
        <v>0.95</v>
      </c>
      <c r="X37" s="131">
        <v>0.95</v>
      </c>
      <c r="Y37" s="357">
        <v>0.95</v>
      </c>
      <c r="Z37" s="357">
        <v>0.95</v>
      </c>
      <c r="AA37" s="357">
        <v>0.95</v>
      </c>
      <c r="AG37" s="357">
        <v>1</v>
      </c>
      <c r="AH37" s="357">
        <v>1</v>
      </c>
      <c r="AI37" s="357">
        <v>1</v>
      </c>
      <c r="AJ37" s="357">
        <v>1</v>
      </c>
    </row>
    <row r="38" spans="2:36" ht="15">
      <c r="B38" s="132" t="s">
        <v>352</v>
      </c>
      <c r="C38" s="133"/>
      <c r="D38" s="133">
        <f>D37*D36</f>
        <v>71250</v>
      </c>
      <c r="E38" s="133">
        <f>E37*E36</f>
        <v>69231.25</v>
      </c>
      <c r="F38" s="133">
        <f>F37*F36</f>
        <v>61309.58444437787</v>
      </c>
      <c r="H38" s="133">
        <f>H37*H36</f>
        <v>76249.633645955459</v>
      </c>
      <c r="I38" s="133">
        <f>I37*I36</f>
        <v>75758.823529411777</v>
      </c>
      <c r="J38" s="133">
        <f>J37*J36</f>
        <v>24615.555555555555</v>
      </c>
      <c r="P38" s="133">
        <f>P37*P36</f>
        <v>98381.25</v>
      </c>
      <c r="Q38" s="133">
        <f>Q37*Q36</f>
        <v>65587.5</v>
      </c>
      <c r="S38" s="133">
        <f>S37*S36</f>
        <v>38358.322035250021</v>
      </c>
      <c r="T38" s="133">
        <f>T37*T36</f>
        <v>66816.317385909279</v>
      </c>
      <c r="U38" s="133">
        <f>U37*U36</f>
        <v>52304.826862539347</v>
      </c>
      <c r="X38" s="133">
        <f>X37*X36</f>
        <v>46086.788321167885</v>
      </c>
      <c r="Y38" s="133">
        <f>Y37*Y36</f>
        <v>65479.802955665014</v>
      </c>
      <c r="Z38" s="133">
        <f>Z37*Z36</f>
        <v>99835.622317596572</v>
      </c>
      <c r="AA38" s="133">
        <f>AA37*AA36</f>
        <v>169412.9411764706</v>
      </c>
      <c r="AG38" s="133">
        <f t="shared" ref="AG38:AJ38" si="5">AG37*AG36</f>
        <v>61215</v>
      </c>
      <c r="AH38" s="133">
        <f t="shared" si="5"/>
        <v>74425.531914893611</v>
      </c>
      <c r="AI38" s="133">
        <f t="shared" si="5"/>
        <v>81985</v>
      </c>
      <c r="AJ38" s="133">
        <f t="shared" si="5"/>
        <v>72187.106918238991</v>
      </c>
    </row>
    <row r="39" spans="2:36">
      <c r="B39" s="130" t="s">
        <v>253</v>
      </c>
      <c r="C39" s="115"/>
      <c r="D39" s="131">
        <v>1</v>
      </c>
      <c r="E39" s="131">
        <v>1</v>
      </c>
      <c r="F39" s="131">
        <v>1</v>
      </c>
      <c r="H39" s="131">
        <v>1.2</v>
      </c>
      <c r="I39" s="131">
        <v>1</v>
      </c>
      <c r="J39" s="131">
        <v>1</v>
      </c>
      <c r="P39" s="131">
        <v>1</v>
      </c>
      <c r="Q39" s="131">
        <v>1</v>
      </c>
      <c r="S39" s="131">
        <v>0.85</v>
      </c>
      <c r="T39" s="131">
        <v>0.85</v>
      </c>
      <c r="U39" s="131">
        <v>0.85</v>
      </c>
      <c r="X39" s="131">
        <v>0.85</v>
      </c>
      <c r="Y39" s="131">
        <v>0.85</v>
      </c>
      <c r="Z39" s="131">
        <v>0.85</v>
      </c>
      <c r="AA39" s="131">
        <v>0.85</v>
      </c>
      <c r="AG39" s="131">
        <v>1</v>
      </c>
      <c r="AH39" s="131">
        <v>1</v>
      </c>
      <c r="AI39" s="131">
        <v>1</v>
      </c>
      <c r="AJ39" s="131">
        <v>1</v>
      </c>
    </row>
    <row r="40" spans="2:36" ht="15">
      <c r="B40" s="132" t="s">
        <v>352</v>
      </c>
      <c r="C40" s="133"/>
      <c r="D40" s="133">
        <f>D39*D38</f>
        <v>71250</v>
      </c>
      <c r="E40" s="133">
        <f>E39*E38</f>
        <v>69231.25</v>
      </c>
      <c r="F40" s="133">
        <f>F39*F38</f>
        <v>61309.58444437787</v>
      </c>
      <c r="H40" s="133">
        <f>H39*H38</f>
        <v>91499.560375146553</v>
      </c>
      <c r="I40" s="133">
        <f t="shared" ref="I40" si="6">I39*I38</f>
        <v>75758.823529411777</v>
      </c>
      <c r="J40" s="133">
        <f>J39*J38</f>
        <v>24615.555555555555</v>
      </c>
      <c r="P40" s="133">
        <f>P39*P38</f>
        <v>98381.25</v>
      </c>
      <c r="Q40" s="133">
        <f>Q39*Q38</f>
        <v>65587.5</v>
      </c>
      <c r="S40" s="133">
        <f>S39*S38</f>
        <v>32604.573729962518</v>
      </c>
      <c r="T40" s="133">
        <f>T39*T38</f>
        <v>56793.869778022883</v>
      </c>
      <c r="U40" s="133">
        <f>U39*U38</f>
        <v>44459.102833158446</v>
      </c>
      <c r="X40" s="133">
        <f>X39*X38</f>
        <v>39173.770072992702</v>
      </c>
      <c r="Y40" s="133">
        <f t="shared" ref="Y40:Z40" si="7">Y39*Y38</f>
        <v>55657.832512315261</v>
      </c>
      <c r="Z40" s="133">
        <f t="shared" si="7"/>
        <v>84860.278969957086</v>
      </c>
      <c r="AA40" s="133">
        <f>AA39*AA38</f>
        <v>144001</v>
      </c>
      <c r="AG40" s="133">
        <f>AG39*AG38</f>
        <v>61215</v>
      </c>
      <c r="AH40" s="133">
        <f t="shared" ref="AH40:AJ40" si="8">AH39*AH38</f>
        <v>74425.531914893611</v>
      </c>
      <c r="AI40" s="133">
        <f t="shared" si="8"/>
        <v>81985</v>
      </c>
      <c r="AJ40" s="133">
        <f t="shared" si="8"/>
        <v>72187.106918238991</v>
      </c>
    </row>
    <row r="41" spans="2:36">
      <c r="B41" s="130" t="s">
        <v>254</v>
      </c>
      <c r="C41" s="115"/>
      <c r="D41" s="131">
        <v>0.8</v>
      </c>
      <c r="E41" s="131">
        <v>1.05</v>
      </c>
      <c r="F41" s="131">
        <v>1.05</v>
      </c>
      <c r="H41" s="131">
        <v>1</v>
      </c>
      <c r="I41" s="131">
        <v>1</v>
      </c>
      <c r="J41" s="131">
        <v>1</v>
      </c>
      <c r="P41" s="131">
        <v>1</v>
      </c>
      <c r="Q41" s="131">
        <v>1</v>
      </c>
      <c r="S41" s="131">
        <v>1</v>
      </c>
      <c r="T41" s="131">
        <v>1.1499999999999999</v>
      </c>
      <c r="U41" s="131">
        <v>1</v>
      </c>
      <c r="X41" s="131">
        <v>1</v>
      </c>
      <c r="Y41" s="131">
        <v>1</v>
      </c>
      <c r="Z41" s="131">
        <v>1</v>
      </c>
      <c r="AA41" s="131">
        <v>1</v>
      </c>
      <c r="AG41" s="131">
        <v>1</v>
      </c>
      <c r="AH41" s="131">
        <v>1</v>
      </c>
      <c r="AI41" s="131">
        <v>1</v>
      </c>
      <c r="AJ41" s="131">
        <v>1</v>
      </c>
    </row>
    <row r="42" spans="2:36" ht="15">
      <c r="B42" s="132" t="s">
        <v>352</v>
      </c>
      <c r="C42" s="133"/>
      <c r="D42" s="133">
        <f>D41*D40</f>
        <v>57000</v>
      </c>
      <c r="E42" s="133">
        <f>E41*E40</f>
        <v>72692.8125</v>
      </c>
      <c r="F42" s="133">
        <f>F41*F40</f>
        <v>64375.063666596769</v>
      </c>
      <c r="H42" s="133">
        <f>H41*H40</f>
        <v>91499.560375146553</v>
      </c>
      <c r="I42" s="133">
        <f t="shared" ref="I42" si="9">I41*I40</f>
        <v>75758.823529411777</v>
      </c>
      <c r="J42" s="133">
        <f>J41*J40</f>
        <v>24615.555555555555</v>
      </c>
      <c r="P42" s="133">
        <f>P41*P40</f>
        <v>98381.25</v>
      </c>
      <c r="Q42" s="133">
        <f>Q41*Q40</f>
        <v>65587.5</v>
      </c>
      <c r="S42" s="133">
        <f>S41*S40</f>
        <v>32604.573729962518</v>
      </c>
      <c r="T42" s="133">
        <f>T41*T40</f>
        <v>65312.950244726308</v>
      </c>
      <c r="U42" s="133">
        <f>U41*U40</f>
        <v>44459.102833158446</v>
      </c>
      <c r="X42" s="133">
        <f>X41*X40</f>
        <v>39173.770072992702</v>
      </c>
      <c r="Y42" s="133">
        <f t="shared" ref="Y42:Z42" si="10">Y41*Y40</f>
        <v>55657.832512315261</v>
      </c>
      <c r="Z42" s="133">
        <f t="shared" si="10"/>
        <v>84860.278969957086</v>
      </c>
      <c r="AA42" s="133">
        <f>AA41*AA40</f>
        <v>144001</v>
      </c>
      <c r="AG42" s="133">
        <f>AG41*AG40</f>
        <v>61215</v>
      </c>
      <c r="AH42" s="133">
        <f t="shared" ref="AH42:AJ42" si="11">AH41*AH40</f>
        <v>74425.531914893611</v>
      </c>
      <c r="AI42" s="133">
        <f t="shared" si="11"/>
        <v>81985</v>
      </c>
      <c r="AJ42" s="133">
        <f t="shared" si="11"/>
        <v>72187.106918238991</v>
      </c>
    </row>
    <row r="43" spans="2:36">
      <c r="B43" s="130" t="s">
        <v>255</v>
      </c>
      <c r="C43" s="115"/>
      <c r="D43" s="131">
        <v>0.95</v>
      </c>
      <c r="E43" s="131">
        <v>0.8</v>
      </c>
      <c r="F43" s="131">
        <v>0.95</v>
      </c>
      <c r="H43" s="131">
        <v>0.95</v>
      </c>
      <c r="I43" s="131">
        <v>0.95</v>
      </c>
      <c r="J43" s="131">
        <v>0.95</v>
      </c>
      <c r="P43" s="131">
        <v>0.95</v>
      </c>
      <c r="Q43" s="131">
        <v>0.95</v>
      </c>
      <c r="S43" s="131">
        <v>1</v>
      </c>
      <c r="T43" s="131">
        <v>1.2</v>
      </c>
      <c r="U43" s="131">
        <v>1.2</v>
      </c>
      <c r="X43" s="122">
        <v>1.1499999999999999</v>
      </c>
      <c r="Y43" s="131">
        <v>1.1499999999999999</v>
      </c>
      <c r="Z43" s="131">
        <v>1.1499999999999999</v>
      </c>
      <c r="AA43" s="131">
        <v>1.1499999999999999</v>
      </c>
      <c r="AG43" s="131">
        <v>1</v>
      </c>
      <c r="AH43" s="131">
        <v>1</v>
      </c>
      <c r="AI43" s="131">
        <v>1</v>
      </c>
      <c r="AJ43" s="131">
        <v>1</v>
      </c>
    </row>
    <row r="44" spans="2:36" ht="15">
      <c r="B44" s="132" t="s">
        <v>352</v>
      </c>
      <c r="C44" s="133"/>
      <c r="D44" s="301">
        <f>D43*D42</f>
        <v>54150</v>
      </c>
      <c r="E44" s="301">
        <f>E43*E42</f>
        <v>58154.25</v>
      </c>
      <c r="F44" s="301">
        <f>F43*F42</f>
        <v>61156.310483266927</v>
      </c>
      <c r="H44" s="301">
        <f>H43*H42</f>
        <v>86924.582356389219</v>
      </c>
      <c r="I44" s="301">
        <f t="shared" ref="I44" si="12">I43*I42</f>
        <v>71970.882352941189</v>
      </c>
      <c r="J44" s="301">
        <f>J43*J42</f>
        <v>23384.777777777777</v>
      </c>
      <c r="P44" s="301">
        <f>P43*P42</f>
        <v>93462.1875</v>
      </c>
      <c r="Q44" s="301">
        <f>Q43*Q42</f>
        <v>62308.125</v>
      </c>
      <c r="S44" s="301">
        <f>S43*S42</f>
        <v>32604.573729962518</v>
      </c>
      <c r="T44" s="301">
        <f>T43*T42</f>
        <v>78375.540293671569</v>
      </c>
      <c r="U44" s="301">
        <f>U43*U42</f>
        <v>53350.923399790132</v>
      </c>
      <c r="X44" s="301">
        <f>X43*X42</f>
        <v>45049.835583941604</v>
      </c>
      <c r="Y44" s="301">
        <f t="shared" ref="Y44:Z44" si="13">Y43*Y42</f>
        <v>64006.507389162543</v>
      </c>
      <c r="Z44" s="301">
        <f t="shared" si="13"/>
        <v>97589.320815450643</v>
      </c>
      <c r="AA44" s="301">
        <f>AA43*AA42</f>
        <v>165601.15</v>
      </c>
      <c r="AG44" s="301">
        <f>AG43*AG42</f>
        <v>61215</v>
      </c>
      <c r="AH44" s="301">
        <f t="shared" ref="AH44:AJ44" si="14">AH43*AH42</f>
        <v>74425.531914893611</v>
      </c>
      <c r="AI44" s="301">
        <f t="shared" si="14"/>
        <v>81985</v>
      </c>
      <c r="AJ44" s="301">
        <f t="shared" si="14"/>
        <v>72187.106918238991</v>
      </c>
    </row>
    <row r="45" spans="2:36">
      <c r="B45" s="130" t="s">
        <v>256</v>
      </c>
      <c r="C45" s="133"/>
      <c r="D45" s="131">
        <v>1</v>
      </c>
      <c r="E45" s="131">
        <v>1</v>
      </c>
      <c r="F45" s="131">
        <v>1</v>
      </c>
      <c r="H45" s="131">
        <v>1</v>
      </c>
      <c r="I45" s="131">
        <v>1</v>
      </c>
      <c r="J45" s="131">
        <v>1</v>
      </c>
      <c r="P45" s="131">
        <v>1</v>
      </c>
      <c r="Q45" s="131">
        <v>1</v>
      </c>
      <c r="S45" s="131">
        <v>1</v>
      </c>
      <c r="T45" s="131">
        <v>1</v>
      </c>
      <c r="U45" s="131">
        <v>1</v>
      </c>
      <c r="X45" s="131">
        <v>1</v>
      </c>
      <c r="Y45" s="131">
        <v>1</v>
      </c>
      <c r="Z45" s="131">
        <v>1</v>
      </c>
      <c r="AA45" s="131">
        <v>1</v>
      </c>
      <c r="AG45" s="131">
        <v>1</v>
      </c>
      <c r="AH45" s="131">
        <v>1</v>
      </c>
      <c r="AI45" s="131">
        <v>1</v>
      </c>
      <c r="AJ45" s="131">
        <v>1</v>
      </c>
    </row>
    <row r="46" spans="2:36" ht="15">
      <c r="B46" s="132" t="s">
        <v>352</v>
      </c>
      <c r="C46" s="133"/>
      <c r="D46" s="301">
        <f>D45*D44</f>
        <v>54150</v>
      </c>
      <c r="E46" s="301">
        <f>E45*E44</f>
        <v>58154.25</v>
      </c>
      <c r="F46" s="301">
        <f>F45*F44</f>
        <v>61156.310483266927</v>
      </c>
      <c r="H46" s="301">
        <f>H45*H44</f>
        <v>86924.582356389219</v>
      </c>
      <c r="I46" s="301">
        <f t="shared" ref="I46" si="15">I45*I44</f>
        <v>71970.882352941189</v>
      </c>
      <c r="J46" s="301">
        <f>J45*J44</f>
        <v>23384.777777777777</v>
      </c>
      <c r="P46" s="301">
        <f>P45*P44</f>
        <v>93462.1875</v>
      </c>
      <c r="Q46" s="301">
        <f>Q45*Q44</f>
        <v>62308.125</v>
      </c>
      <c r="S46" s="301">
        <f>S45*S44</f>
        <v>32604.573729962518</v>
      </c>
      <c r="T46" s="301">
        <f>T45*T44</f>
        <v>78375.540293671569</v>
      </c>
      <c r="U46" s="301">
        <f>U45*U44</f>
        <v>53350.923399790132</v>
      </c>
      <c r="X46" s="301">
        <f>X45*X44</f>
        <v>45049.835583941604</v>
      </c>
      <c r="Y46" s="301">
        <f t="shared" ref="Y46:Z46" si="16">Y45*Y44</f>
        <v>64006.507389162543</v>
      </c>
      <c r="Z46" s="301">
        <f t="shared" si="16"/>
        <v>97589.320815450643</v>
      </c>
      <c r="AA46" s="301">
        <f>AA45*AA44</f>
        <v>165601.15</v>
      </c>
      <c r="AG46" s="301">
        <f>AG45*AG44</f>
        <v>61215</v>
      </c>
      <c r="AH46" s="301">
        <f t="shared" ref="AH46:AJ46" si="17">AH45*AH44</f>
        <v>74425.531914893611</v>
      </c>
      <c r="AI46" s="301">
        <f t="shared" si="17"/>
        <v>81985</v>
      </c>
      <c r="AJ46" s="301">
        <f t="shared" si="17"/>
        <v>72187.106918238991</v>
      </c>
    </row>
    <row r="47" spans="2:36">
      <c r="B47" s="130" t="s">
        <v>257</v>
      </c>
      <c r="C47" s="115"/>
      <c r="D47" s="131">
        <v>1</v>
      </c>
      <c r="E47" s="131">
        <v>0.95</v>
      </c>
      <c r="F47" s="131">
        <v>1</v>
      </c>
      <c r="H47" s="131">
        <v>1</v>
      </c>
      <c r="I47" s="131">
        <v>0.95</v>
      </c>
      <c r="J47" s="131">
        <v>1</v>
      </c>
      <c r="P47" s="131">
        <v>1</v>
      </c>
      <c r="Q47" s="131">
        <v>1</v>
      </c>
      <c r="S47" s="131">
        <v>1.02</v>
      </c>
      <c r="T47" s="131">
        <v>1.05</v>
      </c>
      <c r="U47" s="131">
        <v>1</v>
      </c>
      <c r="X47" s="131">
        <v>1.05</v>
      </c>
      <c r="Y47" s="131">
        <v>1.05</v>
      </c>
      <c r="Z47" s="131">
        <v>1</v>
      </c>
      <c r="AA47" s="131">
        <v>1.05</v>
      </c>
      <c r="AG47" s="131">
        <v>1</v>
      </c>
      <c r="AH47" s="131">
        <v>1</v>
      </c>
      <c r="AI47" s="131">
        <v>1</v>
      </c>
      <c r="AJ47" s="131">
        <v>1</v>
      </c>
    </row>
    <row r="48" spans="2:36" ht="15">
      <c r="B48" s="132" t="s">
        <v>352</v>
      </c>
      <c r="C48" s="133"/>
      <c r="D48" s="301">
        <f>D47*D46</f>
        <v>54150</v>
      </c>
      <c r="E48" s="301">
        <f>E47*E46</f>
        <v>55246.537499999999</v>
      </c>
      <c r="F48" s="301">
        <f>F47*F46</f>
        <v>61156.310483266927</v>
      </c>
      <c r="H48" s="301">
        <f>H47*H46</f>
        <v>86924.582356389219</v>
      </c>
      <c r="I48" s="301">
        <f t="shared" ref="I48" si="18">I47*I46</f>
        <v>68372.338235294126</v>
      </c>
      <c r="J48" s="301">
        <f>J47*J46</f>
        <v>23384.777777777777</v>
      </c>
      <c r="P48" s="301">
        <f>P47*P46</f>
        <v>93462.1875</v>
      </c>
      <c r="Q48" s="301">
        <f>Q47*Q46</f>
        <v>62308.125</v>
      </c>
      <c r="S48" s="301">
        <f>S47*S46</f>
        <v>33256.665204561767</v>
      </c>
      <c r="T48" s="301">
        <f>T47*T46</f>
        <v>82294.317308355152</v>
      </c>
      <c r="U48" s="301">
        <f>U47*U46</f>
        <v>53350.923399790132</v>
      </c>
      <c r="X48" s="301">
        <f>X47*X46</f>
        <v>47302.327363138684</v>
      </c>
      <c r="Y48" s="301">
        <f t="shared" ref="Y48:Z48" si="19">Y47*Y46</f>
        <v>67206.832758620672</v>
      </c>
      <c r="Z48" s="301">
        <f t="shared" si="19"/>
        <v>97589.320815450643</v>
      </c>
      <c r="AA48" s="301">
        <f>AA47*AA46</f>
        <v>173881.20749999999</v>
      </c>
      <c r="AG48" s="301">
        <f>AG47*AG46</f>
        <v>61215</v>
      </c>
      <c r="AH48" s="301">
        <f t="shared" ref="AH48:AJ48" si="20">AH47*AH46</f>
        <v>74425.531914893611</v>
      </c>
      <c r="AI48" s="301">
        <f t="shared" si="20"/>
        <v>81985</v>
      </c>
      <c r="AJ48" s="301">
        <f t="shared" si="20"/>
        <v>72187.106918238991</v>
      </c>
    </row>
    <row r="49" spans="2:36">
      <c r="B49" s="130" t="s">
        <v>258</v>
      </c>
      <c r="C49" s="133"/>
      <c r="D49" s="131">
        <f>MROUND(D113,0.02)</f>
        <v>0.9</v>
      </c>
      <c r="E49" s="131">
        <f>MROUND(E113,0.02)</f>
        <v>0.94000000000000006</v>
      </c>
      <c r="F49" s="131">
        <f>MROUND(F113,0.02)</f>
        <v>0.96</v>
      </c>
      <c r="H49" s="131">
        <f>MROUND(H113,0.02)</f>
        <v>0.82000000000000006</v>
      </c>
      <c r="I49" s="131">
        <f>MROUND(I113,0.02)</f>
        <v>0.98</v>
      </c>
      <c r="J49" s="131">
        <f>MROUND(J113,0.02)</f>
        <v>1</v>
      </c>
      <c r="P49" s="131">
        <f>MROUND(P113,0.02)</f>
        <v>0.74</v>
      </c>
      <c r="Q49" s="131">
        <f>MROUND(Q113,0.02)</f>
        <v>1</v>
      </c>
      <c r="S49" s="131">
        <f>MROUND(S113,0.02)</f>
        <v>0.96</v>
      </c>
      <c r="T49" s="131">
        <f>MROUND(T113,0.02)</f>
        <v>0.98</v>
      </c>
      <c r="U49" s="131">
        <f>MROUND(U113,0.02)</f>
        <v>0.84</v>
      </c>
      <c r="X49" s="131">
        <f>MROUND(X113,0.02)</f>
        <v>1</v>
      </c>
      <c r="Y49" s="131">
        <f t="shared" ref="Y49:Z49" si="21">MROUND(Y113,0.02)</f>
        <v>0.74</v>
      </c>
      <c r="Z49" s="131">
        <f t="shared" si="21"/>
        <v>1.02</v>
      </c>
      <c r="AA49" s="131">
        <f>MROUND(AA113,0.02)</f>
        <v>1</v>
      </c>
      <c r="AG49" s="131">
        <f t="shared" ref="AG49:AJ49" si="22">MROUND(AG113,0.02)</f>
        <v>1.02</v>
      </c>
      <c r="AH49" s="131">
        <f t="shared" si="22"/>
        <v>0.86</v>
      </c>
      <c r="AI49" s="131">
        <f t="shared" si="22"/>
        <v>1.02</v>
      </c>
      <c r="AJ49" s="131">
        <f t="shared" si="22"/>
        <v>1</v>
      </c>
    </row>
    <row r="50" spans="2:36" ht="13.5" customHeight="1">
      <c r="B50" s="132" t="s">
        <v>352</v>
      </c>
      <c r="C50" s="133"/>
      <c r="D50" s="301">
        <f>D49*D48</f>
        <v>48735</v>
      </c>
      <c r="E50" s="301">
        <f>E49*E48</f>
        <v>51931.74525</v>
      </c>
      <c r="F50" s="301">
        <f>F49*F48</f>
        <v>58710.058063936245</v>
      </c>
      <c r="H50" s="301">
        <f>H49*H48</f>
        <v>71278.157532239158</v>
      </c>
      <c r="I50" s="301">
        <f t="shared" ref="I50" si="23">I49*I48</f>
        <v>67004.891470588249</v>
      </c>
      <c r="J50" s="301">
        <f>J49*J48</f>
        <v>23384.777777777777</v>
      </c>
      <c r="P50" s="301">
        <f>P49*P48</f>
        <v>69162.018750000003</v>
      </c>
      <c r="Q50" s="301">
        <f>Q49*Q48</f>
        <v>62308.125</v>
      </c>
      <c r="S50" s="301">
        <f>S49*S48</f>
        <v>31926.398596379295</v>
      </c>
      <c r="T50" s="301">
        <f>T49*T48</f>
        <v>80648.430962188053</v>
      </c>
      <c r="U50" s="301">
        <f>U49*U48</f>
        <v>44814.775655823709</v>
      </c>
      <c r="X50" s="133">
        <f>X49*X48</f>
        <v>47302.327363138684</v>
      </c>
      <c r="Y50" s="301">
        <f t="shared" ref="Y50:Z50" si="24">Y49*Y48</f>
        <v>49733.056241379294</v>
      </c>
      <c r="Z50" s="301">
        <f t="shared" si="24"/>
        <v>99541.107231759655</v>
      </c>
      <c r="AA50" s="301">
        <f>AA49*AA48</f>
        <v>173881.20749999999</v>
      </c>
      <c r="AG50" s="301">
        <f>AG49*AG48</f>
        <v>62439.3</v>
      </c>
      <c r="AH50" s="301">
        <f t="shared" ref="AH50:AJ50" si="25">AH49*AH48</f>
        <v>64005.957446808505</v>
      </c>
      <c r="AI50" s="301">
        <f t="shared" si="25"/>
        <v>83624.7</v>
      </c>
      <c r="AJ50" s="301">
        <f t="shared" si="25"/>
        <v>72187.106918238991</v>
      </c>
    </row>
    <row r="51" spans="2:36">
      <c r="B51" s="130" t="s">
        <v>260</v>
      </c>
      <c r="C51" s="133"/>
      <c r="D51" s="131">
        <v>0.95</v>
      </c>
      <c r="E51" s="131">
        <v>0.95</v>
      </c>
      <c r="F51" s="131">
        <v>0.95</v>
      </c>
      <c r="H51" s="131">
        <v>0.9</v>
      </c>
      <c r="I51" s="131">
        <v>1.1499999999999999</v>
      </c>
      <c r="J51" s="122">
        <v>0.9</v>
      </c>
      <c r="P51" s="131">
        <v>0.95</v>
      </c>
      <c r="Q51" s="131">
        <v>0.95</v>
      </c>
      <c r="S51" s="131">
        <v>0.98</v>
      </c>
      <c r="T51" s="131">
        <v>0.95</v>
      </c>
      <c r="U51" s="131">
        <v>1.05</v>
      </c>
      <c r="X51" s="131">
        <v>1.1499999999999999</v>
      </c>
      <c r="Y51" s="131">
        <v>1.05</v>
      </c>
      <c r="Z51" s="122">
        <v>0.9</v>
      </c>
      <c r="AA51" s="122">
        <v>1</v>
      </c>
      <c r="AG51" s="131">
        <v>1</v>
      </c>
      <c r="AH51" s="131">
        <v>1</v>
      </c>
      <c r="AI51" s="131">
        <v>1</v>
      </c>
      <c r="AJ51" s="131">
        <v>1</v>
      </c>
    </row>
    <row r="52" spans="2:36" ht="15">
      <c r="B52" s="132" t="s">
        <v>352</v>
      </c>
      <c r="C52" s="133"/>
      <c r="D52" s="301">
        <f>D51*D50</f>
        <v>46298.25</v>
      </c>
      <c r="E52" s="301">
        <f>E51*E50</f>
        <v>49335.157987499995</v>
      </c>
      <c r="F52" s="301">
        <f>F51*F50</f>
        <v>55774.55516073943</v>
      </c>
      <c r="H52" s="301">
        <f>H51*H50</f>
        <v>64150.341779015245</v>
      </c>
      <c r="I52" s="301">
        <f t="shared" ref="I52" si="26">I51*I50</f>
        <v>77055.625191176485</v>
      </c>
      <c r="J52" s="301">
        <f>J51*J50</f>
        <v>21046.3</v>
      </c>
      <c r="P52" s="301">
        <f>P51*P50</f>
        <v>65703.917812500003</v>
      </c>
      <c r="Q52" s="301">
        <f>Q51*Q50</f>
        <v>59192.71875</v>
      </c>
      <c r="S52" s="301">
        <f>S51*S50</f>
        <v>31287.870624451709</v>
      </c>
      <c r="T52" s="301">
        <f>T51*T50</f>
        <v>76616.009414078653</v>
      </c>
      <c r="U52" s="301">
        <f>U51*U50</f>
        <v>47055.514438614897</v>
      </c>
      <c r="X52" s="301">
        <f>X51*X50</f>
        <v>54397.676467609483</v>
      </c>
      <c r="Y52" s="301">
        <f t="shared" ref="Y52:Z52" si="27">Y51*Y50</f>
        <v>52219.709053448263</v>
      </c>
      <c r="Z52" s="301">
        <f t="shared" si="27"/>
        <v>89586.996508583688</v>
      </c>
      <c r="AA52" s="301">
        <f>AA51*AA50</f>
        <v>173881.20749999999</v>
      </c>
      <c r="AG52" s="301">
        <f>AG51*AG50</f>
        <v>62439.3</v>
      </c>
      <c r="AH52" s="301">
        <f t="shared" ref="AH52:AJ52" si="28">AH51*AH50</f>
        <v>64005.957446808505</v>
      </c>
      <c r="AI52" s="301">
        <f t="shared" si="28"/>
        <v>83624.7</v>
      </c>
      <c r="AJ52" s="301">
        <f t="shared" si="28"/>
        <v>72187.106918238991</v>
      </c>
    </row>
    <row r="53" spans="2:36">
      <c r="B53" s="130" t="s">
        <v>261</v>
      </c>
      <c r="C53" s="133"/>
      <c r="D53" s="131">
        <v>1</v>
      </c>
      <c r="E53" s="131">
        <v>1</v>
      </c>
      <c r="F53" s="131">
        <v>1</v>
      </c>
      <c r="H53" s="131">
        <v>1</v>
      </c>
      <c r="I53" s="131">
        <v>0.9</v>
      </c>
      <c r="J53" s="122">
        <v>1.1000000000000001</v>
      </c>
      <c r="P53" s="131">
        <v>1</v>
      </c>
      <c r="Q53" s="131">
        <v>1</v>
      </c>
      <c r="S53" s="131">
        <v>0.95</v>
      </c>
      <c r="T53" s="131">
        <v>1.05</v>
      </c>
      <c r="U53" s="131">
        <v>1</v>
      </c>
      <c r="X53" s="131">
        <v>1</v>
      </c>
      <c r="Y53" s="131">
        <v>1.05</v>
      </c>
      <c r="Z53" s="131">
        <v>1.05</v>
      </c>
      <c r="AA53" s="122">
        <v>1</v>
      </c>
      <c r="AG53" s="131">
        <v>1</v>
      </c>
      <c r="AH53" s="131">
        <v>1</v>
      </c>
      <c r="AI53" s="131">
        <v>1</v>
      </c>
      <c r="AJ53" s="131">
        <v>1</v>
      </c>
    </row>
    <row r="54" spans="2:36" s="300" customFormat="1" ht="15" hidden="1" outlineLevel="1">
      <c r="B54" s="123" t="s">
        <v>352</v>
      </c>
      <c r="C54" s="124"/>
      <c r="D54" s="301">
        <f>D53*D52</f>
        <v>46298.25</v>
      </c>
      <c r="E54" s="301">
        <f>E53*E52</f>
        <v>49335.157987499995</v>
      </c>
      <c r="F54" s="301">
        <f>F53*F52</f>
        <v>55774.55516073943</v>
      </c>
      <c r="H54" s="301">
        <f>H53*H52</f>
        <v>64150.341779015245</v>
      </c>
      <c r="I54" s="302">
        <f t="shared" ref="I54" si="29">I53*I52</f>
        <v>69350.062672058833</v>
      </c>
      <c r="J54" s="302">
        <f>J53*J52</f>
        <v>23150.93</v>
      </c>
      <c r="P54" s="302">
        <f>P53*P52</f>
        <v>65703.917812500003</v>
      </c>
      <c r="Q54" s="302">
        <f>Q53*Q52</f>
        <v>59192.71875</v>
      </c>
      <c r="S54" s="302">
        <f>S53*S52</f>
        <v>29723.477093229121</v>
      </c>
      <c r="T54" s="302">
        <f>T53*T52</f>
        <v>80446.80988478259</v>
      </c>
      <c r="U54" s="302">
        <f>U53*U52</f>
        <v>47055.514438614897</v>
      </c>
      <c r="X54" s="302">
        <f>X53*X52</f>
        <v>54397.676467609483</v>
      </c>
      <c r="Y54" s="302">
        <f t="shared" ref="Y54:Z54" si="30">Y53*Y52</f>
        <v>54830.694506120679</v>
      </c>
      <c r="Z54" s="302">
        <f t="shared" si="30"/>
        <v>94066.34633401288</v>
      </c>
      <c r="AA54" s="302">
        <f>AA53*AA52</f>
        <v>173881.20749999999</v>
      </c>
      <c r="AG54" s="302">
        <f>AG53*AG52</f>
        <v>62439.3</v>
      </c>
      <c r="AH54" s="302">
        <f t="shared" ref="AH54:AJ54" si="31">AH53*AH52</f>
        <v>64005.957446808505</v>
      </c>
      <c r="AI54" s="302">
        <f t="shared" si="31"/>
        <v>83624.7</v>
      </c>
      <c r="AJ54" s="302">
        <f t="shared" si="31"/>
        <v>72187.106918238991</v>
      </c>
    </row>
    <row r="55" spans="2:36" s="300" customFormat="1" hidden="1" outlineLevel="1">
      <c r="B55" s="120" t="s">
        <v>575</v>
      </c>
      <c r="C55" s="124"/>
      <c r="D55" s="131">
        <v>1</v>
      </c>
      <c r="E55" s="131">
        <v>1</v>
      </c>
      <c r="F55" s="131">
        <v>1</v>
      </c>
      <c r="H55" s="131">
        <v>1</v>
      </c>
      <c r="I55" s="122">
        <v>1</v>
      </c>
      <c r="J55" s="122">
        <v>1</v>
      </c>
      <c r="P55" s="122">
        <v>1</v>
      </c>
      <c r="Q55" s="122">
        <v>1</v>
      </c>
      <c r="S55" s="122">
        <v>1</v>
      </c>
      <c r="T55" s="122">
        <v>1</v>
      </c>
      <c r="U55" s="122">
        <v>1</v>
      </c>
      <c r="X55" s="122">
        <v>1</v>
      </c>
      <c r="Y55" s="122">
        <v>1</v>
      </c>
      <c r="Z55" s="122">
        <v>1</v>
      </c>
      <c r="AA55" s="122">
        <v>1</v>
      </c>
      <c r="AG55" s="122">
        <v>1</v>
      </c>
      <c r="AH55" s="122">
        <v>1</v>
      </c>
      <c r="AI55" s="122">
        <v>1</v>
      </c>
      <c r="AJ55" s="122">
        <v>1</v>
      </c>
    </row>
    <row r="56" spans="2:36" ht="15" collapsed="1">
      <c r="B56" s="132" t="s">
        <v>352</v>
      </c>
      <c r="C56" s="133"/>
      <c r="D56" s="301">
        <f>D55*D54</f>
        <v>46298.25</v>
      </c>
      <c r="E56" s="301">
        <f>E55*E54</f>
        <v>49335.157987499995</v>
      </c>
      <c r="F56" s="301">
        <f>F55*F54</f>
        <v>55774.55516073943</v>
      </c>
      <c r="H56" s="301">
        <f>H55*H54</f>
        <v>64150.341779015245</v>
      </c>
      <c r="I56" s="301">
        <f t="shared" ref="I56" si="32">I55*I54</f>
        <v>69350.062672058833</v>
      </c>
      <c r="J56" s="301">
        <f>J55*J54</f>
        <v>23150.93</v>
      </c>
      <c r="P56" s="301">
        <f>P55*P54</f>
        <v>65703.917812500003</v>
      </c>
      <c r="Q56" s="301">
        <f>Q55*Q54</f>
        <v>59192.71875</v>
      </c>
      <c r="S56" s="301">
        <f>S55*S54</f>
        <v>29723.477093229121</v>
      </c>
      <c r="T56" s="301">
        <f>T55*T54</f>
        <v>80446.80988478259</v>
      </c>
      <c r="U56" s="301">
        <f>U55*U54</f>
        <v>47055.514438614897</v>
      </c>
      <c r="X56" s="301">
        <f>X55*X54</f>
        <v>54397.676467609483</v>
      </c>
      <c r="Y56" s="301">
        <f t="shared" ref="Y56:Z56" si="33">Y55*Y54</f>
        <v>54830.694506120679</v>
      </c>
      <c r="Z56" s="301">
        <f t="shared" si="33"/>
        <v>94066.34633401288</v>
      </c>
      <c r="AA56" s="301">
        <f>AA55*AA54</f>
        <v>173881.20749999999</v>
      </c>
      <c r="AG56" s="301">
        <f>AG55*AG54</f>
        <v>62439.3</v>
      </c>
      <c r="AH56" s="301">
        <f t="shared" ref="AH56:AJ56" si="34">AH55*AH54</f>
        <v>64005.957446808505</v>
      </c>
      <c r="AI56" s="301">
        <f t="shared" si="34"/>
        <v>83624.7</v>
      </c>
      <c r="AJ56" s="301">
        <f t="shared" si="34"/>
        <v>72187.106918238991</v>
      </c>
    </row>
    <row r="57" spans="2:36">
      <c r="B57" s="130" t="s">
        <v>262</v>
      </c>
      <c r="C57" s="115"/>
      <c r="D57" s="131">
        <v>1</v>
      </c>
      <c r="E57" s="131">
        <v>1</v>
      </c>
      <c r="F57" s="131">
        <v>1</v>
      </c>
      <c r="H57" s="131">
        <v>1</v>
      </c>
      <c r="I57" s="131">
        <v>1</v>
      </c>
      <c r="J57" s="131">
        <v>1.02</v>
      </c>
      <c r="P57" s="131">
        <v>1</v>
      </c>
      <c r="Q57" s="131">
        <v>1</v>
      </c>
      <c r="S57" s="131">
        <v>0.98</v>
      </c>
      <c r="T57" s="131">
        <v>1</v>
      </c>
      <c r="U57" s="131">
        <v>1</v>
      </c>
      <c r="X57" s="131">
        <v>0.95</v>
      </c>
      <c r="Y57" s="131">
        <v>1</v>
      </c>
      <c r="Z57" s="131">
        <v>1</v>
      </c>
      <c r="AA57" s="122">
        <v>1</v>
      </c>
      <c r="AG57" s="131">
        <v>1</v>
      </c>
      <c r="AH57" s="131">
        <v>1</v>
      </c>
      <c r="AI57" s="131">
        <v>1</v>
      </c>
      <c r="AJ57" s="131">
        <v>1</v>
      </c>
    </row>
    <row r="58" spans="2:36" ht="15">
      <c r="B58" s="132" t="s">
        <v>352</v>
      </c>
      <c r="C58" s="133"/>
      <c r="D58" s="301">
        <f>D57*D56</f>
        <v>46298.25</v>
      </c>
      <c r="E58" s="301">
        <f>E57*E56</f>
        <v>49335.157987499995</v>
      </c>
      <c r="F58" s="301">
        <f>F57*F56</f>
        <v>55774.55516073943</v>
      </c>
      <c r="H58" s="301">
        <f>H57*H56</f>
        <v>64150.341779015245</v>
      </c>
      <c r="I58" s="301">
        <f t="shared" ref="I58" si="35">I57*I56</f>
        <v>69350.062672058833</v>
      </c>
      <c r="J58" s="301">
        <f>J57*J56</f>
        <v>23613.9486</v>
      </c>
      <c r="P58" s="301">
        <f>P57*P56</f>
        <v>65703.917812500003</v>
      </c>
      <c r="Q58" s="301">
        <f>Q57*Q56</f>
        <v>59192.71875</v>
      </c>
      <c r="S58" s="301">
        <f>S57*S56</f>
        <v>29129.007551364539</v>
      </c>
      <c r="T58" s="301">
        <f>T57*T56</f>
        <v>80446.80988478259</v>
      </c>
      <c r="U58" s="301">
        <f>U57*U56</f>
        <v>47055.514438614897</v>
      </c>
      <c r="X58" s="301">
        <f>X57*X56</f>
        <v>51677.792644229005</v>
      </c>
      <c r="Y58" s="301">
        <f t="shared" ref="Y58:Z58" si="36">Y57*Y56</f>
        <v>54830.694506120679</v>
      </c>
      <c r="Z58" s="301">
        <f t="shared" si="36"/>
        <v>94066.34633401288</v>
      </c>
      <c r="AA58" s="301">
        <f>AA57*AA56</f>
        <v>173881.20749999999</v>
      </c>
      <c r="AG58" s="301">
        <f>AG57*AG56</f>
        <v>62439.3</v>
      </c>
      <c r="AH58" s="301">
        <f t="shared" ref="AH58:AJ58" si="37">AH57*AH56</f>
        <v>64005.957446808505</v>
      </c>
      <c r="AI58" s="301">
        <f t="shared" si="37"/>
        <v>83624.7</v>
      </c>
      <c r="AJ58" s="301">
        <f t="shared" si="37"/>
        <v>72187.106918238991</v>
      </c>
    </row>
    <row r="59" spans="2:36">
      <c r="B59" s="130" t="s">
        <v>265</v>
      </c>
      <c r="C59" s="115"/>
      <c r="D59" s="131">
        <v>0.98</v>
      </c>
      <c r="E59" s="131">
        <v>1</v>
      </c>
      <c r="F59" s="131">
        <v>0.98</v>
      </c>
      <c r="H59" s="131">
        <v>1.02</v>
      </c>
      <c r="I59" s="131">
        <v>1</v>
      </c>
      <c r="J59" s="131">
        <v>0.98</v>
      </c>
      <c r="P59" s="131">
        <v>0.95</v>
      </c>
      <c r="Q59" s="131">
        <v>0.95</v>
      </c>
      <c r="S59" s="131">
        <v>1.02</v>
      </c>
      <c r="T59" s="131">
        <v>1.1200000000000001</v>
      </c>
      <c r="U59" s="131">
        <v>1.1000000000000001</v>
      </c>
      <c r="X59" s="131">
        <v>1.1000000000000001</v>
      </c>
      <c r="Y59" s="131">
        <v>1.05</v>
      </c>
      <c r="Z59" s="131">
        <v>1.1000000000000001</v>
      </c>
      <c r="AA59" s="131">
        <v>1</v>
      </c>
      <c r="AG59" s="131">
        <v>1</v>
      </c>
      <c r="AH59" s="131">
        <v>1</v>
      </c>
      <c r="AI59" s="131">
        <v>1</v>
      </c>
      <c r="AJ59" s="131">
        <v>1</v>
      </c>
    </row>
    <row r="60" spans="2:36" ht="15">
      <c r="B60" s="132" t="s">
        <v>352</v>
      </c>
      <c r="C60" s="133"/>
      <c r="D60" s="301">
        <f>D59*D58</f>
        <v>45372.284999999996</v>
      </c>
      <c r="E60" s="301">
        <f>E59*E58</f>
        <v>49335.157987499995</v>
      </c>
      <c r="F60" s="301">
        <f>F59*F58</f>
        <v>54659.064057524643</v>
      </c>
      <c r="H60" s="301">
        <f>H59*H58</f>
        <v>65433.348614595554</v>
      </c>
      <c r="I60" s="301">
        <f t="shared" ref="I60" si="38">I59*I58</f>
        <v>69350.062672058833</v>
      </c>
      <c r="J60" s="301">
        <f>J59*J58</f>
        <v>23141.669628</v>
      </c>
      <c r="P60" s="301">
        <f>P59*P58</f>
        <v>62418.721921875003</v>
      </c>
      <c r="Q60" s="301">
        <f>Q59*Q58</f>
        <v>56233.082812499997</v>
      </c>
      <c r="S60" s="301">
        <f>S59*S58</f>
        <v>29711.587702391829</v>
      </c>
      <c r="T60" s="301">
        <f>T59*T58</f>
        <v>90100.427070956503</v>
      </c>
      <c r="U60" s="301">
        <f>U59*U58</f>
        <v>51761.065882476389</v>
      </c>
      <c r="X60" s="301">
        <f>X59*X58</f>
        <v>56845.571908651909</v>
      </c>
      <c r="Y60" s="301">
        <f t="shared" ref="Y60:Z60" si="39">Y59*Y58</f>
        <v>57572.229231426718</v>
      </c>
      <c r="Z60" s="301">
        <f t="shared" si="39"/>
        <v>103472.98096741417</v>
      </c>
      <c r="AA60" s="301">
        <f>AA59*AA58</f>
        <v>173881.20749999999</v>
      </c>
      <c r="AG60" s="301">
        <f>AG59*AG58</f>
        <v>62439.3</v>
      </c>
      <c r="AH60" s="301">
        <f t="shared" ref="AH60:AJ60" si="40">AH59*AH58</f>
        <v>64005.957446808505</v>
      </c>
      <c r="AI60" s="301">
        <f t="shared" si="40"/>
        <v>83624.7</v>
      </c>
      <c r="AJ60" s="301">
        <f t="shared" si="40"/>
        <v>72187.106918238991</v>
      </c>
    </row>
    <row r="61" spans="2:36">
      <c r="B61" s="130" t="s">
        <v>266</v>
      </c>
      <c r="C61" s="115"/>
      <c r="D61" s="131">
        <f>D124</f>
        <v>0.92</v>
      </c>
      <c r="E61" s="131">
        <f>E124</f>
        <v>0.94000000000000006</v>
      </c>
      <c r="F61" s="131">
        <f>F124</f>
        <v>0.82000000000000006</v>
      </c>
      <c r="H61" s="131">
        <f>H124</f>
        <v>0.94000000000000006</v>
      </c>
      <c r="I61" s="131">
        <f>I124</f>
        <v>0.76</v>
      </c>
      <c r="J61" s="131">
        <f>J124</f>
        <v>1.22</v>
      </c>
      <c r="P61" s="131">
        <f>P124</f>
        <v>1.1200000000000001</v>
      </c>
      <c r="Q61" s="131">
        <f>Q124</f>
        <v>0.88</v>
      </c>
      <c r="S61" s="131">
        <f>S124</f>
        <v>1.28</v>
      </c>
      <c r="T61" s="131">
        <f>T124</f>
        <v>0.84</v>
      </c>
      <c r="U61" s="131">
        <f>U124</f>
        <v>1.1400000000000001</v>
      </c>
      <c r="X61" s="131">
        <f>X124</f>
        <v>0.98</v>
      </c>
      <c r="Y61" s="131">
        <f t="shared" ref="Y61:Z61" si="41">Y124</f>
        <v>1.18</v>
      </c>
      <c r="Z61" s="131">
        <f t="shared" si="41"/>
        <v>0.96</v>
      </c>
      <c r="AA61" s="131">
        <f>AA124</f>
        <v>0.66</v>
      </c>
      <c r="AG61" s="131">
        <f t="shared" ref="AG61:AJ61" si="42">AG124</f>
        <v>1.06</v>
      </c>
      <c r="AH61" s="131">
        <f t="shared" si="42"/>
        <v>1.02</v>
      </c>
      <c r="AI61" s="131">
        <f t="shared" si="42"/>
        <v>1.06</v>
      </c>
      <c r="AJ61" s="131">
        <f t="shared" si="42"/>
        <v>0.96</v>
      </c>
    </row>
    <row r="62" spans="2:36" ht="15">
      <c r="B62" s="132" t="s">
        <v>352</v>
      </c>
      <c r="C62" s="133"/>
      <c r="D62" s="301">
        <f>D61*D60</f>
        <v>41742.502199999995</v>
      </c>
      <c r="E62" s="301">
        <f>E61*E60</f>
        <v>46375.048508250002</v>
      </c>
      <c r="F62" s="301">
        <f>F61*F60</f>
        <v>44820.432527170211</v>
      </c>
      <c r="H62" s="301">
        <f>H61*H60</f>
        <v>61507.347697719822</v>
      </c>
      <c r="I62" s="301">
        <f t="shared" ref="I62" si="43">I61*I60</f>
        <v>52706.047630764711</v>
      </c>
      <c r="J62" s="301">
        <f>J61*J60</f>
        <v>28232.836946159998</v>
      </c>
      <c r="P62" s="301">
        <f>P61*P60</f>
        <v>69908.96855250001</v>
      </c>
      <c r="Q62" s="301">
        <f>Q61*Q60</f>
        <v>49485.112874999999</v>
      </c>
      <c r="S62" s="301">
        <f>S61*S60</f>
        <v>38030.832259061543</v>
      </c>
      <c r="T62" s="301">
        <f>T61*T60</f>
        <v>75684.358739603456</v>
      </c>
      <c r="U62" s="301">
        <f>U61*U60</f>
        <v>59007.615106023091</v>
      </c>
      <c r="X62" s="301">
        <f>X61*X60</f>
        <v>55708.66047047887</v>
      </c>
      <c r="Y62" s="301">
        <f t="shared" ref="Y62:Z62" si="44">Y61*Y60</f>
        <v>67935.230493083523</v>
      </c>
      <c r="Z62" s="301">
        <f t="shared" si="44"/>
        <v>99334.061728717599</v>
      </c>
      <c r="AA62" s="301">
        <f>AA61*AA60</f>
        <v>114761.59694999999</v>
      </c>
      <c r="AG62" s="301">
        <f>AG61*AG60</f>
        <v>66185.65800000001</v>
      </c>
      <c r="AH62" s="301">
        <f t="shared" ref="AH62:AJ62" si="45">AH61*AH60</f>
        <v>65286.076595744678</v>
      </c>
      <c r="AI62" s="301">
        <f t="shared" si="45"/>
        <v>88642.182000000001</v>
      </c>
      <c r="AJ62" s="301">
        <f t="shared" si="45"/>
        <v>69299.622641509428</v>
      </c>
    </row>
    <row r="63" spans="2:36">
      <c r="B63" s="130" t="s">
        <v>267</v>
      </c>
      <c r="C63" s="115"/>
      <c r="D63" s="131">
        <v>1</v>
      </c>
      <c r="E63" s="131">
        <v>0.85</v>
      </c>
      <c r="F63" s="131">
        <v>0.95</v>
      </c>
      <c r="H63" s="131">
        <v>0.8</v>
      </c>
      <c r="I63" s="131">
        <v>0.85</v>
      </c>
      <c r="J63" s="131">
        <v>0.95</v>
      </c>
      <c r="P63" s="131">
        <v>0.98</v>
      </c>
      <c r="Q63" s="131">
        <v>0.98</v>
      </c>
      <c r="S63" s="131">
        <v>0.85</v>
      </c>
      <c r="T63" s="131">
        <v>0.9</v>
      </c>
      <c r="U63" s="131">
        <v>0.9</v>
      </c>
      <c r="X63" s="122">
        <v>0.9</v>
      </c>
      <c r="Y63" s="131">
        <v>0.9</v>
      </c>
      <c r="Z63" s="131">
        <v>0.85</v>
      </c>
      <c r="AA63" s="131">
        <v>0.92</v>
      </c>
      <c r="AG63" s="131">
        <v>1</v>
      </c>
      <c r="AH63" s="131">
        <v>1</v>
      </c>
      <c r="AI63" s="131">
        <v>1</v>
      </c>
      <c r="AJ63" s="131">
        <v>1</v>
      </c>
    </row>
    <row r="64" spans="2:36" ht="15">
      <c r="B64" s="132" t="s">
        <v>352</v>
      </c>
      <c r="C64" s="134"/>
      <c r="D64" s="301">
        <f>D63*D62</f>
        <v>41742.502199999995</v>
      </c>
      <c r="E64" s="301">
        <f>E63*E62</f>
        <v>39418.791232012503</v>
      </c>
      <c r="F64" s="301">
        <f>F63*F62</f>
        <v>42579.410900811701</v>
      </c>
      <c r="H64" s="301">
        <f>H63*H62</f>
        <v>49205.878158175859</v>
      </c>
      <c r="I64" s="301">
        <f t="shared" ref="I64" si="46">I63*I62</f>
        <v>44800.140486150005</v>
      </c>
      <c r="J64" s="301">
        <f>J63*J62</f>
        <v>26821.195098851997</v>
      </c>
      <c r="P64" s="301">
        <f>P63*P62</f>
        <v>68510.789181450004</v>
      </c>
      <c r="Q64" s="301">
        <f>Q63*Q62</f>
        <v>48495.410617499998</v>
      </c>
      <c r="S64" s="301">
        <f>S63*S62</f>
        <v>32326.20742020231</v>
      </c>
      <c r="T64" s="301">
        <f>T63*T62</f>
        <v>68115.922865643108</v>
      </c>
      <c r="U64" s="301">
        <f>U63*U62</f>
        <v>53106.853595420784</v>
      </c>
      <c r="X64" s="301">
        <f>X63*X62</f>
        <v>50137.794423430983</v>
      </c>
      <c r="Y64" s="301">
        <f t="shared" ref="Y64:Z64" si="47">Y63*Y62</f>
        <v>61141.707443775173</v>
      </c>
      <c r="Z64" s="301">
        <f t="shared" si="47"/>
        <v>84433.952469409953</v>
      </c>
      <c r="AA64" s="301">
        <f>AA63*AA62</f>
        <v>105580.669194</v>
      </c>
      <c r="AG64" s="301">
        <f>AG63*AG62</f>
        <v>66185.65800000001</v>
      </c>
      <c r="AH64" s="301">
        <f t="shared" ref="AH64:AJ64" si="48">AH63*AH62</f>
        <v>65286.076595744678</v>
      </c>
      <c r="AI64" s="301">
        <f t="shared" si="48"/>
        <v>88642.182000000001</v>
      </c>
      <c r="AJ64" s="301">
        <f t="shared" si="48"/>
        <v>69299.622641509428</v>
      </c>
    </row>
    <row r="65" spans="2:36">
      <c r="B65" s="130" t="s">
        <v>576</v>
      </c>
      <c r="C65" s="134"/>
      <c r="D65" s="131">
        <v>1</v>
      </c>
      <c r="E65" s="131">
        <v>1</v>
      </c>
      <c r="F65" s="131">
        <v>1</v>
      </c>
      <c r="H65" s="131">
        <v>1</v>
      </c>
      <c r="I65" s="131">
        <v>1</v>
      </c>
      <c r="J65" s="131">
        <v>1</v>
      </c>
      <c r="P65" s="131">
        <v>1</v>
      </c>
      <c r="Q65" s="131">
        <v>1</v>
      </c>
      <c r="S65" s="131">
        <v>1</v>
      </c>
      <c r="T65" s="131">
        <v>1</v>
      </c>
      <c r="U65" s="131">
        <v>1</v>
      </c>
      <c r="X65" s="131">
        <v>1</v>
      </c>
      <c r="Y65" s="131">
        <v>1</v>
      </c>
      <c r="Z65" s="131">
        <v>1</v>
      </c>
      <c r="AA65" s="131">
        <v>1</v>
      </c>
      <c r="AG65" s="131">
        <v>1</v>
      </c>
      <c r="AH65" s="131">
        <v>1</v>
      </c>
      <c r="AI65" s="131">
        <v>1</v>
      </c>
      <c r="AJ65" s="131">
        <v>1</v>
      </c>
    </row>
    <row r="66" spans="2:36" s="300" customFormat="1" ht="15" hidden="1" outlineLevel="1">
      <c r="B66" s="123" t="s">
        <v>352</v>
      </c>
      <c r="C66" s="358"/>
      <c r="D66" s="301">
        <f>D65*D64</f>
        <v>41742.502199999995</v>
      </c>
      <c r="E66" s="301">
        <f>E65*E64</f>
        <v>39418.791232012503</v>
      </c>
      <c r="F66" s="301">
        <f>F65*F64</f>
        <v>42579.410900811701</v>
      </c>
      <c r="H66" s="301">
        <f>H65*H64</f>
        <v>49205.878158175859</v>
      </c>
      <c r="I66" s="302">
        <f t="shared" ref="I66" si="49">I65*I64</f>
        <v>44800.140486150005</v>
      </c>
      <c r="J66" s="302">
        <f>J65*J64</f>
        <v>26821.195098851997</v>
      </c>
      <c r="P66" s="302">
        <f>P65*P64</f>
        <v>68510.789181450004</v>
      </c>
      <c r="Q66" s="302">
        <f>Q65*Q64</f>
        <v>48495.410617499998</v>
      </c>
      <c r="S66" s="302">
        <f>S65*S64</f>
        <v>32326.20742020231</v>
      </c>
      <c r="T66" s="302">
        <f>T65*T64</f>
        <v>68115.922865643108</v>
      </c>
      <c r="U66" s="302">
        <f>U65*U64</f>
        <v>53106.853595420784</v>
      </c>
      <c r="X66" s="302">
        <f>X65*X64</f>
        <v>50137.794423430983</v>
      </c>
      <c r="Y66" s="302">
        <f t="shared" ref="Y66:Z66" si="50">Y65*Y64</f>
        <v>61141.707443775173</v>
      </c>
      <c r="Z66" s="302">
        <f t="shared" si="50"/>
        <v>84433.952469409953</v>
      </c>
      <c r="AA66" s="302">
        <f>AA65*AA64</f>
        <v>105580.669194</v>
      </c>
      <c r="AG66" s="302">
        <f>AG65*AG64</f>
        <v>66185.65800000001</v>
      </c>
      <c r="AH66" s="302">
        <f t="shared" ref="AH66:AJ66" si="51">AH65*AH64</f>
        <v>65286.076595744678</v>
      </c>
      <c r="AI66" s="302">
        <f t="shared" si="51"/>
        <v>88642.182000000001</v>
      </c>
      <c r="AJ66" s="302">
        <f t="shared" si="51"/>
        <v>69299.622641509428</v>
      </c>
    </row>
    <row r="67" spans="2:36" s="300" customFormat="1" hidden="1" outlineLevel="1">
      <c r="B67" s="120" t="s">
        <v>577</v>
      </c>
      <c r="C67" s="358"/>
      <c r="D67" s="131">
        <v>1</v>
      </c>
      <c r="E67" s="131">
        <v>1</v>
      </c>
      <c r="F67" s="131">
        <v>1</v>
      </c>
      <c r="H67" s="131">
        <v>1</v>
      </c>
      <c r="I67" s="122">
        <v>1</v>
      </c>
      <c r="J67" s="122">
        <v>1</v>
      </c>
      <c r="P67" s="122">
        <v>1</v>
      </c>
      <c r="Q67" s="122">
        <v>1</v>
      </c>
      <c r="S67" s="122">
        <v>1</v>
      </c>
      <c r="T67" s="122">
        <v>1</v>
      </c>
      <c r="U67" s="122">
        <v>1</v>
      </c>
      <c r="X67" s="122">
        <v>1</v>
      </c>
      <c r="Y67" s="122">
        <v>1</v>
      </c>
      <c r="Z67" s="122">
        <v>1</v>
      </c>
      <c r="AA67" s="122">
        <v>1</v>
      </c>
      <c r="AG67" s="122">
        <v>1</v>
      </c>
      <c r="AH67" s="122">
        <v>1</v>
      </c>
      <c r="AI67" s="122">
        <v>1</v>
      </c>
      <c r="AJ67" s="122">
        <v>1</v>
      </c>
    </row>
    <row r="68" spans="2:36" ht="15" collapsed="1">
      <c r="B68" s="132" t="s">
        <v>352</v>
      </c>
      <c r="C68" s="134"/>
      <c r="D68" s="301">
        <f>D67*D66</f>
        <v>41742.502199999995</v>
      </c>
      <c r="E68" s="301">
        <f>E67*E66</f>
        <v>39418.791232012503</v>
      </c>
      <c r="F68" s="301">
        <f>F67*F66</f>
        <v>42579.410900811701</v>
      </c>
      <c r="H68" s="301">
        <f>H67*H66</f>
        <v>49205.878158175859</v>
      </c>
      <c r="I68" s="301">
        <f t="shared" ref="I68" si="52">I67*I66</f>
        <v>44800.140486150005</v>
      </c>
      <c r="J68" s="301">
        <f>J67*J66</f>
        <v>26821.195098851997</v>
      </c>
      <c r="P68" s="301">
        <f>P67*P66</f>
        <v>68510.789181450004</v>
      </c>
      <c r="Q68" s="301">
        <f>Q67*Q66</f>
        <v>48495.410617499998</v>
      </c>
      <c r="S68" s="301">
        <f>S67*S66</f>
        <v>32326.20742020231</v>
      </c>
      <c r="T68" s="301">
        <f>T67*T66</f>
        <v>68115.922865643108</v>
      </c>
      <c r="U68" s="301">
        <f>U67*U66</f>
        <v>53106.853595420784</v>
      </c>
      <c r="X68" s="301">
        <f>X67*X66</f>
        <v>50137.794423430983</v>
      </c>
      <c r="Y68" s="301">
        <f t="shared" ref="Y68:Z68" si="53">Y67*Y66</f>
        <v>61141.707443775173</v>
      </c>
      <c r="Z68" s="301">
        <f t="shared" si="53"/>
        <v>84433.952469409953</v>
      </c>
      <c r="AA68" s="301">
        <f>AA67*AA66</f>
        <v>105580.669194</v>
      </c>
      <c r="AG68" s="301">
        <f>AG67*AG66</f>
        <v>66185.65800000001</v>
      </c>
      <c r="AH68" s="301">
        <f t="shared" ref="AH68:AJ68" si="54">AH67*AH66</f>
        <v>65286.076595744678</v>
      </c>
      <c r="AI68" s="301">
        <f t="shared" si="54"/>
        <v>88642.182000000001</v>
      </c>
      <c r="AJ68" s="301">
        <f t="shared" si="54"/>
        <v>69299.622641509428</v>
      </c>
    </row>
    <row r="69" spans="2:36">
      <c r="B69" s="130" t="s">
        <v>578</v>
      </c>
      <c r="C69" s="134"/>
      <c r="D69" s="131">
        <v>1.1499999999999999</v>
      </c>
      <c r="E69" s="131">
        <v>1.1499999999999999</v>
      </c>
      <c r="F69" s="131">
        <v>1.1499999999999999</v>
      </c>
      <c r="H69" s="131">
        <v>1.1499999999999999</v>
      </c>
      <c r="I69" s="131">
        <v>1.1000000000000001</v>
      </c>
      <c r="J69" s="131">
        <v>1.1499999999999999</v>
      </c>
      <c r="P69" s="131">
        <v>1.02</v>
      </c>
      <c r="Q69" s="131">
        <v>1.02</v>
      </c>
      <c r="S69" s="131">
        <v>1.05</v>
      </c>
      <c r="T69" s="131">
        <v>1</v>
      </c>
      <c r="U69" s="131">
        <v>1</v>
      </c>
      <c r="X69" s="131">
        <v>0.95</v>
      </c>
      <c r="Y69" s="131">
        <v>1</v>
      </c>
      <c r="Z69" s="131">
        <v>1</v>
      </c>
      <c r="AA69" s="131">
        <v>0.95</v>
      </c>
      <c r="AG69" s="131">
        <v>1</v>
      </c>
      <c r="AH69" s="131">
        <v>1</v>
      </c>
      <c r="AI69" s="131">
        <v>1</v>
      </c>
      <c r="AJ69" s="131">
        <v>1</v>
      </c>
    </row>
    <row r="70" spans="2:36" ht="15">
      <c r="B70" s="132" t="s">
        <v>352</v>
      </c>
      <c r="C70" s="134"/>
      <c r="D70" s="301">
        <f>D69*D68</f>
        <v>48003.877529999991</v>
      </c>
      <c r="E70" s="301">
        <f>E69*E68</f>
        <v>45331.609916814377</v>
      </c>
      <c r="F70" s="301">
        <f>F69*F68</f>
        <v>48966.322535933454</v>
      </c>
      <c r="H70" s="301">
        <f>H69*H68</f>
        <v>56586.759881902231</v>
      </c>
      <c r="I70" s="301">
        <f t="shared" ref="I70" si="55">I69*I68</f>
        <v>49280.15453476501</v>
      </c>
      <c r="J70" s="301">
        <f>J69*J68</f>
        <v>30844.374363679795</v>
      </c>
      <c r="P70" s="301">
        <f>P69*P68</f>
        <v>69881.004965079002</v>
      </c>
      <c r="Q70" s="301">
        <f>Q69*Q68</f>
        <v>49465.318829849995</v>
      </c>
      <c r="S70" s="301">
        <f>S69*S68</f>
        <v>33942.517791212427</v>
      </c>
      <c r="T70" s="301">
        <f>T69*T68</f>
        <v>68115.922865643108</v>
      </c>
      <c r="U70" s="301">
        <f>U69*U68</f>
        <v>53106.853595420784</v>
      </c>
      <c r="X70" s="301">
        <f>X69*X68</f>
        <v>47630.904702259431</v>
      </c>
      <c r="Y70" s="301">
        <f t="shared" ref="Y70:Z70" si="56">Y69*Y68</f>
        <v>61141.707443775173</v>
      </c>
      <c r="Z70" s="301">
        <f t="shared" si="56"/>
        <v>84433.952469409953</v>
      </c>
      <c r="AA70" s="301">
        <f>AA69*AA68</f>
        <v>100301.6357343</v>
      </c>
      <c r="AG70" s="301">
        <f>AG69*AG68</f>
        <v>66185.65800000001</v>
      </c>
      <c r="AH70" s="301">
        <f t="shared" ref="AH70:AJ70" si="57">AH69*AH68</f>
        <v>65286.076595744678</v>
      </c>
      <c r="AI70" s="301">
        <f t="shared" si="57"/>
        <v>88642.182000000001</v>
      </c>
      <c r="AJ70" s="301">
        <f t="shared" si="57"/>
        <v>69299.622641509428</v>
      </c>
    </row>
    <row r="71" spans="2:36">
      <c r="B71" s="130" t="s">
        <v>579</v>
      </c>
      <c r="C71" s="134"/>
      <c r="D71" s="131">
        <v>1.1000000000000001</v>
      </c>
      <c r="E71" s="131">
        <v>1.1000000000000001</v>
      </c>
      <c r="F71" s="131">
        <v>1.1200000000000001</v>
      </c>
      <c r="H71" s="131">
        <v>1.1200000000000001</v>
      </c>
      <c r="I71" s="131">
        <v>1.1000000000000001</v>
      </c>
      <c r="J71" s="131">
        <v>1.1000000000000001</v>
      </c>
      <c r="P71" s="131">
        <v>1</v>
      </c>
      <c r="Q71" s="131">
        <v>1</v>
      </c>
      <c r="S71" s="131">
        <v>0.98</v>
      </c>
      <c r="T71" s="131">
        <v>1</v>
      </c>
      <c r="U71" s="131">
        <v>1.05</v>
      </c>
      <c r="X71" s="131">
        <v>1.05</v>
      </c>
      <c r="Y71" s="131">
        <v>1.05</v>
      </c>
      <c r="Z71" s="131">
        <v>1.05</v>
      </c>
      <c r="AA71" s="131">
        <v>1.05</v>
      </c>
      <c r="AG71" s="131">
        <v>1.1000000000000001</v>
      </c>
      <c r="AH71" s="131">
        <v>1.1499999999999999</v>
      </c>
      <c r="AI71" s="131">
        <v>1.2</v>
      </c>
      <c r="AJ71" s="131">
        <v>1.25</v>
      </c>
    </row>
    <row r="72" spans="2:36" ht="15">
      <c r="B72" s="132" t="s">
        <v>352</v>
      </c>
      <c r="C72" s="134"/>
      <c r="D72" s="133">
        <f>D70*D71</f>
        <v>52804.265282999993</v>
      </c>
      <c r="E72" s="133">
        <f>E70*E71</f>
        <v>49864.770908495819</v>
      </c>
      <c r="F72" s="133">
        <f>F70*F71</f>
        <v>54842.281240245473</v>
      </c>
      <c r="H72" s="133">
        <f>H70*H71</f>
        <v>63377.171067730502</v>
      </c>
      <c r="I72" s="133">
        <f>I70*I71</f>
        <v>54208.169988241512</v>
      </c>
      <c r="J72" s="133">
        <f>J70*J71</f>
        <v>33928.811800047777</v>
      </c>
      <c r="P72" s="133">
        <f>P70*P71</f>
        <v>69881.004965079002</v>
      </c>
      <c r="Q72" s="133">
        <f>Q70*Q71</f>
        <v>49465.318829849995</v>
      </c>
      <c r="S72" s="133">
        <f>S71*S70</f>
        <v>33263.667435388175</v>
      </c>
      <c r="T72" s="133">
        <f>T70*T71</f>
        <v>68115.922865643108</v>
      </c>
      <c r="U72" s="133">
        <f>U70*U71</f>
        <v>55762.196275191825</v>
      </c>
      <c r="X72" s="301">
        <f>X71*X70</f>
        <v>50012.449937372403</v>
      </c>
      <c r="Y72" s="133">
        <f>Y70*Y71</f>
        <v>64198.792815963934</v>
      </c>
      <c r="Z72" s="133">
        <f>Z70*Z71</f>
        <v>88655.65009288046</v>
      </c>
      <c r="AA72" s="133">
        <f>AA70*AA71</f>
        <v>105316.717521015</v>
      </c>
      <c r="AG72" s="133">
        <f t="shared" ref="AG72" si="58">AG71*AG70</f>
        <v>72804.223800000022</v>
      </c>
      <c r="AH72" s="133">
        <f t="shared" ref="AH72" si="59">AH70*AH71</f>
        <v>75078.988085106379</v>
      </c>
      <c r="AI72" s="133">
        <f t="shared" ref="AI72" si="60">AI71*AI70</f>
        <v>106370.61839999999</v>
      </c>
      <c r="AJ72" s="133">
        <f t="shared" ref="AJ72" si="61">AJ70*AJ71</f>
        <v>86624.528301886778</v>
      </c>
    </row>
    <row r="73" spans="2:36" ht="15">
      <c r="B73" s="132" t="s">
        <v>270</v>
      </c>
      <c r="C73" s="133"/>
      <c r="D73" s="301">
        <f>D72/долл</f>
        <v>603.82235886792444</v>
      </c>
      <c r="E73" s="301">
        <f>E72/долл</f>
        <v>570.20892977125004</v>
      </c>
      <c r="F73" s="301">
        <f>F72/долл</f>
        <v>627.12728690961092</v>
      </c>
      <c r="H73" s="301">
        <f>H72/долл</f>
        <v>724.72465486255578</v>
      </c>
      <c r="I73" s="301">
        <f>I72/долл</f>
        <v>619.87615767000011</v>
      </c>
      <c r="J73" s="301">
        <f>J72/долл</f>
        <v>387.97955174439994</v>
      </c>
      <c r="P73" s="301">
        <f>P72/долл</f>
        <v>799.09668341999998</v>
      </c>
      <c r="Q73" s="301">
        <f>Q72/долл</f>
        <v>565.64115299999992</v>
      </c>
      <c r="S73" s="359">
        <f>S72/долл</f>
        <v>380.37355557905289</v>
      </c>
      <c r="T73" s="359">
        <f>T72/долл</f>
        <v>778.91278291187086</v>
      </c>
      <c r="U73" s="359">
        <f>U72/долл</f>
        <v>637.64661263798541</v>
      </c>
      <c r="X73" s="359">
        <f>X72/долл</f>
        <v>571.897655087163</v>
      </c>
      <c r="Y73" s="359">
        <f>Y72/долл</f>
        <v>734.1199864604223</v>
      </c>
      <c r="Z73" s="359">
        <f>Z72/долл</f>
        <v>1013.7867363393991</v>
      </c>
      <c r="AA73" s="359">
        <f>AA72/долл</f>
        <v>1204.3078046999999</v>
      </c>
      <c r="AG73" s="359">
        <f>AG72/долл</f>
        <v>832.52400000000023</v>
      </c>
      <c r="AH73" s="359">
        <f>AH72/долл</f>
        <v>858.53617021276591</v>
      </c>
      <c r="AI73" s="359">
        <f>AI72/долл</f>
        <v>1216.3592727272726</v>
      </c>
      <c r="AJ73" s="359">
        <f>AJ72/долл</f>
        <v>990.5606438180306</v>
      </c>
    </row>
    <row r="74" spans="2:36">
      <c r="B74" s="119" t="s">
        <v>271</v>
      </c>
      <c r="C74" s="87" t="s">
        <v>159</v>
      </c>
      <c r="D74" s="135"/>
      <c r="E74" s="135"/>
      <c r="F74" s="135"/>
      <c r="H74" s="135"/>
      <c r="I74" s="135"/>
      <c r="J74" s="135"/>
      <c r="P74" s="135"/>
      <c r="Q74" s="135"/>
      <c r="S74" s="135"/>
      <c r="T74" s="135"/>
      <c r="U74" s="360"/>
      <c r="X74" s="135"/>
      <c r="Y74" s="135"/>
      <c r="Z74" s="135"/>
      <c r="AA74" s="135"/>
      <c r="AG74" s="135"/>
      <c r="AH74" s="135"/>
      <c r="AI74" s="135"/>
      <c r="AJ74" s="135"/>
    </row>
    <row r="75" spans="2:36" ht="15">
      <c r="B75" s="136" t="s">
        <v>272</v>
      </c>
      <c r="C75" s="115">
        <f>ROUND(AVERAGE(D72:F72),-2)</f>
        <v>52500</v>
      </c>
      <c r="D75" s="104"/>
      <c r="E75" s="104"/>
      <c r="F75" s="104"/>
      <c r="H75" s="104"/>
      <c r="I75" s="104"/>
      <c r="J75" s="104"/>
      <c r="P75" s="104"/>
      <c r="Q75" s="104"/>
      <c r="S75" s="104"/>
      <c r="T75" s="104"/>
      <c r="U75" s="104"/>
      <c r="X75" s="104"/>
      <c r="Y75" s="104"/>
      <c r="Z75" s="104"/>
      <c r="AA75" s="104"/>
      <c r="AG75" s="104"/>
      <c r="AH75" s="104"/>
      <c r="AI75" s="104"/>
      <c r="AJ75" s="104"/>
    </row>
    <row r="76" spans="2:36" ht="15">
      <c r="B76" s="136" t="s">
        <v>273</v>
      </c>
      <c r="C76" s="115">
        <f>ROUND(C75/долл,2)</f>
        <v>600.34</v>
      </c>
      <c r="D76" s="104"/>
      <c r="E76" s="104"/>
      <c r="F76" s="104"/>
      <c r="H76" s="104"/>
      <c r="I76" s="104"/>
      <c r="J76" s="104"/>
      <c r="P76" s="104"/>
      <c r="Q76" s="104"/>
      <c r="S76" s="104"/>
      <c r="T76" s="104"/>
      <c r="U76" s="104"/>
      <c r="X76" s="104"/>
      <c r="Y76" s="104"/>
      <c r="Z76" s="104"/>
      <c r="AA76" s="104"/>
      <c r="AG76" s="104"/>
      <c r="AH76" s="104"/>
      <c r="AI76" s="104"/>
      <c r="AJ76" s="104"/>
    </row>
    <row r="77" spans="2:36">
      <c r="B77" s="132" t="s">
        <v>274</v>
      </c>
      <c r="C77" s="133">
        <f>ROUND(C75*C15,-3)</f>
        <v>341529000</v>
      </c>
      <c r="D77" s="104"/>
      <c r="E77" s="104"/>
      <c r="F77" s="104"/>
      <c r="H77" s="104"/>
      <c r="I77" s="104"/>
      <c r="J77" s="104"/>
      <c r="P77" s="104"/>
      <c r="Q77" s="104"/>
      <c r="S77" s="104"/>
      <c r="T77" s="104"/>
      <c r="U77" s="104"/>
      <c r="X77" s="104"/>
      <c r="Y77" s="104"/>
      <c r="Z77" s="104"/>
      <c r="AA77" s="104"/>
      <c r="AG77" s="104"/>
      <c r="AH77" s="104"/>
      <c r="AI77" s="104"/>
      <c r="AJ77" s="104"/>
    </row>
    <row r="78" spans="2:36">
      <c r="B78" s="132" t="s">
        <v>275</v>
      </c>
      <c r="C78" s="133">
        <f>ROUND(C77/долл,-2)</f>
        <v>3905400</v>
      </c>
      <c r="D78" s="133"/>
      <c r="E78" s="133"/>
      <c r="F78" s="133"/>
      <c r="H78" s="133"/>
      <c r="I78" s="133"/>
      <c r="J78" s="133"/>
      <c r="P78" s="133"/>
      <c r="Q78" s="133"/>
      <c r="S78" s="303"/>
      <c r="T78" s="133"/>
      <c r="U78" s="133"/>
      <c r="X78" s="303"/>
      <c r="Y78" s="133"/>
      <c r="Z78" s="133"/>
      <c r="AA78" s="133"/>
      <c r="AG78" s="133"/>
      <c r="AH78" s="133"/>
      <c r="AI78" s="133"/>
      <c r="AJ78" s="133"/>
    </row>
    <row r="79" spans="2:36">
      <c r="B79" s="137"/>
      <c r="C79" s="138"/>
      <c r="D79" s="138">
        <f>D30/D24</f>
        <v>475.43581616481777</v>
      </c>
      <c r="E79" s="138">
        <f t="shared" ref="E79" si="62">E30/E24</f>
        <v>468.75</v>
      </c>
      <c r="F79" s="138">
        <f>F30/F24</f>
        <v>333.33333333333331</v>
      </c>
      <c r="H79" s="138">
        <f>H30/H24</f>
        <v>569.10569105691059</v>
      </c>
      <c r="I79" s="138"/>
      <c r="J79" s="138">
        <f>J30/J24</f>
        <v>347.82608695652175</v>
      </c>
      <c r="P79" s="138">
        <f>P30/P24</f>
        <v>2205.8823529411766</v>
      </c>
      <c r="Q79" s="138">
        <f>Q30/Q24</f>
        <v>404.31266846361189</v>
      </c>
      <c r="S79" s="304"/>
      <c r="T79" s="138"/>
      <c r="U79" s="138"/>
      <c r="X79" s="304"/>
      <c r="Y79" s="138"/>
      <c r="Z79" s="138"/>
      <c r="AA79" s="138"/>
      <c r="AG79" s="138"/>
      <c r="AH79" s="138"/>
      <c r="AI79" s="138"/>
      <c r="AJ79" s="138"/>
    </row>
    <row r="80" spans="2:36">
      <c r="B80" s="361"/>
      <c r="C80" s="362"/>
      <c r="D80" s="138"/>
      <c r="E80" s="138"/>
      <c r="F80" s="138"/>
      <c r="H80" s="138"/>
      <c r="I80" s="138"/>
      <c r="J80" s="138"/>
      <c r="P80" s="138"/>
      <c r="Q80" s="138"/>
      <c r="S80" s="304"/>
      <c r="T80" s="138"/>
      <c r="U80" s="138"/>
      <c r="X80" s="304"/>
      <c r="Y80" s="138"/>
      <c r="Z80" s="138"/>
      <c r="AA80" s="138"/>
      <c r="AG80" s="138"/>
      <c r="AH80" s="138"/>
      <c r="AI80" s="138"/>
      <c r="AJ80" s="138"/>
    </row>
    <row r="81" spans="2:36">
      <c r="B81" s="363"/>
      <c r="C81" s="364"/>
      <c r="D81" s="138"/>
      <c r="E81" s="138"/>
      <c r="F81" s="138"/>
      <c r="H81" s="138"/>
      <c r="I81" s="138"/>
      <c r="J81" s="138"/>
      <c r="P81" s="138"/>
      <c r="Q81" s="138"/>
      <c r="S81" s="304"/>
      <c r="T81" s="138"/>
      <c r="U81" s="138"/>
      <c r="X81" s="304"/>
      <c r="Y81" s="138"/>
      <c r="Z81" s="138"/>
      <c r="AA81" s="138"/>
      <c r="AG81" s="138"/>
      <c r="AH81" s="138"/>
      <c r="AI81" s="138"/>
      <c r="AJ81" s="138"/>
    </row>
    <row r="82" spans="2:36">
      <c r="B82" s="363"/>
      <c r="C82" s="365"/>
      <c r="D82" s="138"/>
      <c r="E82" s="138"/>
      <c r="F82" s="138"/>
      <c r="H82" s="138"/>
      <c r="I82" s="138"/>
      <c r="J82" s="138"/>
      <c r="P82" s="138"/>
      <c r="Q82" s="138"/>
      <c r="S82" s="304"/>
      <c r="T82" s="138"/>
      <c r="U82" s="138"/>
      <c r="X82" s="304"/>
      <c r="Y82" s="138"/>
      <c r="Z82" s="138"/>
      <c r="AA82" s="138"/>
      <c r="AG82" s="138"/>
      <c r="AH82" s="138"/>
      <c r="AI82" s="138"/>
      <c r="AJ82" s="138"/>
    </row>
    <row r="83" spans="2:36">
      <c r="B83" s="363"/>
      <c r="C83" s="364"/>
      <c r="D83" s="138"/>
      <c r="E83" s="138"/>
      <c r="F83" s="138"/>
      <c r="H83" s="138"/>
      <c r="I83" s="138"/>
      <c r="J83" s="138"/>
      <c r="P83" s="138"/>
      <c r="Q83" s="138"/>
      <c r="S83" s="304"/>
      <c r="T83" s="138"/>
      <c r="U83" s="138"/>
      <c r="X83" s="304"/>
      <c r="Y83" s="138"/>
      <c r="Z83" s="138"/>
      <c r="AA83" s="138"/>
      <c r="AG83" s="138"/>
      <c r="AH83" s="138"/>
      <c r="AI83" s="138"/>
      <c r="AJ83" s="138"/>
    </row>
    <row r="84" spans="2:36">
      <c r="B84" s="363"/>
      <c r="C84" s="364"/>
      <c r="D84" s="138"/>
      <c r="E84" s="138"/>
      <c r="F84" s="138"/>
      <c r="H84" s="138"/>
      <c r="I84" s="138"/>
      <c r="J84" s="138"/>
      <c r="P84" s="138"/>
      <c r="Q84" s="138"/>
      <c r="S84" s="304"/>
      <c r="T84" s="138"/>
      <c r="U84" s="138"/>
      <c r="X84" s="304"/>
      <c r="Y84" s="138"/>
      <c r="Z84" s="138"/>
      <c r="AA84" s="138"/>
      <c r="AG84" s="138"/>
      <c r="AH84" s="138"/>
      <c r="AI84" s="138"/>
      <c r="AJ84" s="138"/>
    </row>
    <row r="85" spans="2:36">
      <c r="D85" s="138"/>
      <c r="E85" s="138"/>
      <c r="F85" s="138"/>
      <c r="H85" s="138"/>
      <c r="I85" s="138"/>
      <c r="J85" s="138"/>
      <c r="P85" s="138"/>
      <c r="Q85" s="138"/>
      <c r="S85" s="304"/>
      <c r="T85" s="138"/>
      <c r="U85" s="138"/>
      <c r="X85" s="304"/>
      <c r="Y85" s="138"/>
      <c r="Z85" s="138"/>
      <c r="AA85" s="138"/>
      <c r="AG85" s="138"/>
      <c r="AH85" s="138"/>
      <c r="AI85" s="138"/>
      <c r="AJ85" s="138"/>
    </row>
    <row r="86" spans="2:36">
      <c r="D86" s="138"/>
      <c r="E86" s="138"/>
      <c r="F86" s="138"/>
      <c r="H86" s="138"/>
      <c r="I86" s="138"/>
      <c r="J86" s="138"/>
      <c r="P86" s="138"/>
      <c r="Q86" s="138"/>
      <c r="S86" s="304"/>
      <c r="T86" s="138"/>
      <c r="U86" s="138"/>
      <c r="X86" s="304"/>
      <c r="Y86" s="138"/>
      <c r="Z86" s="138"/>
      <c r="AA86" s="138"/>
      <c r="AG86" s="138"/>
      <c r="AH86" s="138"/>
      <c r="AI86" s="138"/>
      <c r="AJ86" s="138"/>
    </row>
    <row r="87" spans="2:36">
      <c r="B87" s="366" t="s">
        <v>276</v>
      </c>
      <c r="C87" s="314">
        <f>SUM(C88:C92)</f>
        <v>6505.32</v>
      </c>
      <c r="D87" s="314">
        <f>SUM(D88:D92)</f>
        <v>6996</v>
      </c>
      <c r="E87" s="314">
        <f>SUM(E88:E92)</f>
        <v>1800</v>
      </c>
      <c r="F87" s="314">
        <f>SUM(F88:F92)</f>
        <v>3337.7</v>
      </c>
      <c r="H87" s="314">
        <f>SUM(H88:H92)</f>
        <v>682.4</v>
      </c>
      <c r="I87" s="314">
        <f t="shared" ref="I87" si="63">SUM(I88:I92)</f>
        <v>1870</v>
      </c>
      <c r="J87" s="314">
        <f>SUM(J88:J92)</f>
        <v>2700</v>
      </c>
      <c r="P87" s="314">
        <f>SUM(P88:P92)</f>
        <v>1200</v>
      </c>
      <c r="Q87" s="314">
        <f>SUM(Q88:Q92)</f>
        <v>1800</v>
      </c>
      <c r="S87" s="314">
        <f>SUM(S88:S92)</f>
        <v>5015.6000000000004</v>
      </c>
      <c r="T87" s="314">
        <f>SUM(T88:T92)</f>
        <v>870.36</v>
      </c>
      <c r="U87" s="314">
        <f>SUM(U88:U92)</f>
        <v>1906</v>
      </c>
      <c r="X87" s="314">
        <f>SUM(X88:X92)</f>
        <v>1370</v>
      </c>
      <c r="Y87" s="314">
        <f t="shared" ref="Y87:Z87" si="64">SUM(Y88:Y92)</f>
        <v>2030</v>
      </c>
      <c r="Z87" s="314">
        <f t="shared" si="64"/>
        <v>233</v>
      </c>
      <c r="AA87" s="314">
        <f>SUM(AA88:AA92)</f>
        <v>2550</v>
      </c>
      <c r="AG87" s="314">
        <f t="shared" ref="AG87:AJ87" si="65">SUM(AG88:AG92)</f>
        <v>1040</v>
      </c>
      <c r="AH87" s="314">
        <f t="shared" si="65"/>
        <v>376</v>
      </c>
      <c r="AI87" s="314">
        <f t="shared" si="65"/>
        <v>800</v>
      </c>
      <c r="AJ87" s="314">
        <f t="shared" si="65"/>
        <v>636</v>
      </c>
    </row>
    <row r="88" spans="2:36">
      <c r="B88" s="367" t="str">
        <f t="shared" ref="B88:E92" si="66">B16</f>
        <v xml:space="preserve">   Административные и коммерческие помещения</v>
      </c>
      <c r="C88" s="368">
        <f t="shared" si="66"/>
        <v>655.30000000000007</v>
      </c>
      <c r="D88" s="368">
        <f t="shared" si="66"/>
        <v>360</v>
      </c>
      <c r="E88" s="368">
        <f t="shared" si="66"/>
        <v>23.1</v>
      </c>
      <c r="F88" s="368">
        <f>F16</f>
        <v>1390</v>
      </c>
      <c r="H88" s="368">
        <f t="shared" ref="H88:J92" si="67">H16</f>
        <v>682.4</v>
      </c>
      <c r="I88" s="368">
        <f t="shared" si="67"/>
        <v>110</v>
      </c>
      <c r="J88" s="368">
        <f t="shared" si="67"/>
        <v>0</v>
      </c>
      <c r="P88" s="368">
        <f>P16</f>
        <v>1200</v>
      </c>
      <c r="Q88" s="368">
        <f t="shared" ref="Q88:Q92" si="68">Q16</f>
        <v>0</v>
      </c>
      <c r="S88" s="368">
        <f t="shared" ref="S88:U92" si="69">S16</f>
        <v>0</v>
      </c>
      <c r="T88" s="368">
        <f t="shared" si="69"/>
        <v>168</v>
      </c>
      <c r="U88" s="368">
        <f t="shared" si="69"/>
        <v>1260</v>
      </c>
      <c r="X88" s="368">
        <f t="shared" ref="X88:AA92" si="70">X16</f>
        <v>0</v>
      </c>
      <c r="Y88" s="368">
        <f t="shared" si="70"/>
        <v>2030</v>
      </c>
      <c r="Z88" s="368">
        <f t="shared" si="70"/>
        <v>0</v>
      </c>
      <c r="AA88" s="368">
        <f t="shared" si="70"/>
        <v>200</v>
      </c>
      <c r="AG88" s="368">
        <f t="shared" ref="AG88:AJ92" si="71">AG16</f>
        <v>0</v>
      </c>
      <c r="AH88" s="368">
        <f t="shared" si="71"/>
        <v>0</v>
      </c>
      <c r="AI88" s="368">
        <f t="shared" si="71"/>
        <v>0</v>
      </c>
      <c r="AJ88" s="368">
        <f t="shared" si="71"/>
        <v>0</v>
      </c>
    </row>
    <row r="89" spans="2:36">
      <c r="B89" s="367" t="str">
        <f t="shared" si="66"/>
        <v>Производственно-складские помещения большой высоты</v>
      </c>
      <c r="C89" s="368">
        <f t="shared" si="66"/>
        <v>0</v>
      </c>
      <c r="D89" s="368">
        <f t="shared" si="66"/>
        <v>5523.8</v>
      </c>
      <c r="E89" s="368">
        <f t="shared" si="66"/>
        <v>800</v>
      </c>
      <c r="F89" s="368">
        <f>F17</f>
        <v>0</v>
      </c>
      <c r="H89" s="368">
        <f t="shared" si="67"/>
        <v>0</v>
      </c>
      <c r="I89" s="368">
        <f t="shared" si="67"/>
        <v>1300</v>
      </c>
      <c r="J89" s="368">
        <f t="shared" si="67"/>
        <v>0</v>
      </c>
      <c r="P89" s="368">
        <f>P17</f>
        <v>0</v>
      </c>
      <c r="Q89" s="368">
        <f t="shared" si="68"/>
        <v>0</v>
      </c>
      <c r="S89" s="368">
        <f t="shared" si="69"/>
        <v>1486.3</v>
      </c>
      <c r="T89" s="368">
        <f t="shared" si="69"/>
        <v>444.36</v>
      </c>
      <c r="U89" s="368">
        <f t="shared" si="69"/>
        <v>0</v>
      </c>
      <c r="X89" s="368">
        <f t="shared" si="70"/>
        <v>0</v>
      </c>
      <c r="Y89" s="368">
        <f t="shared" si="70"/>
        <v>0</v>
      </c>
      <c r="Z89" s="368">
        <f t="shared" si="70"/>
        <v>0</v>
      </c>
      <c r="AA89" s="368">
        <f t="shared" si="70"/>
        <v>0</v>
      </c>
      <c r="AG89" s="368">
        <f t="shared" si="71"/>
        <v>0</v>
      </c>
      <c r="AH89" s="368">
        <f t="shared" si="71"/>
        <v>376</v>
      </c>
      <c r="AI89" s="368">
        <f t="shared" si="71"/>
        <v>0</v>
      </c>
      <c r="AJ89" s="368">
        <f t="shared" si="71"/>
        <v>0</v>
      </c>
    </row>
    <row r="90" spans="2:36">
      <c r="B90" s="367" t="str">
        <f t="shared" si="66"/>
        <v>Производственно-складские помещения средней высоты</v>
      </c>
      <c r="C90" s="368">
        <f t="shared" si="66"/>
        <v>5661.7</v>
      </c>
      <c r="D90" s="368">
        <f t="shared" si="66"/>
        <v>1112.2</v>
      </c>
      <c r="E90" s="368">
        <f t="shared" si="66"/>
        <v>976.90000000000009</v>
      </c>
      <c r="F90" s="368">
        <f>F18</f>
        <v>1947.7</v>
      </c>
      <c r="H90" s="368">
        <f t="shared" si="67"/>
        <v>0</v>
      </c>
      <c r="I90" s="368">
        <f t="shared" si="67"/>
        <v>0</v>
      </c>
      <c r="J90" s="368">
        <f t="shared" si="67"/>
        <v>2700</v>
      </c>
      <c r="P90" s="368">
        <f>P18</f>
        <v>0</v>
      </c>
      <c r="Q90" s="368">
        <f t="shared" si="68"/>
        <v>1800</v>
      </c>
      <c r="S90" s="368">
        <f t="shared" si="69"/>
        <v>3529.3</v>
      </c>
      <c r="T90" s="368">
        <f t="shared" si="69"/>
        <v>30</v>
      </c>
      <c r="U90" s="368">
        <f t="shared" si="69"/>
        <v>646</v>
      </c>
      <c r="X90" s="368">
        <f t="shared" si="70"/>
        <v>1370</v>
      </c>
      <c r="Y90" s="368">
        <f t="shared" si="70"/>
        <v>0</v>
      </c>
      <c r="Z90" s="368">
        <f t="shared" si="70"/>
        <v>233</v>
      </c>
      <c r="AA90" s="368">
        <f t="shared" si="70"/>
        <v>2350</v>
      </c>
      <c r="AG90" s="368">
        <f t="shared" si="71"/>
        <v>1040</v>
      </c>
      <c r="AH90" s="368">
        <f t="shared" si="71"/>
        <v>0</v>
      </c>
      <c r="AI90" s="368">
        <f t="shared" si="71"/>
        <v>800</v>
      </c>
      <c r="AJ90" s="368">
        <f t="shared" si="71"/>
        <v>636</v>
      </c>
    </row>
    <row r="91" spans="2:36">
      <c r="B91" s="367" t="str">
        <f t="shared" si="66"/>
        <v xml:space="preserve">  Некапитальные производственно-складские помещения </v>
      </c>
      <c r="C91" s="368">
        <f t="shared" si="66"/>
        <v>0</v>
      </c>
      <c r="D91" s="368">
        <f t="shared" si="66"/>
        <v>0</v>
      </c>
      <c r="E91" s="368">
        <f t="shared" si="66"/>
        <v>0</v>
      </c>
      <c r="F91" s="368">
        <f>F19</f>
        <v>0</v>
      </c>
      <c r="H91" s="368">
        <f t="shared" si="67"/>
        <v>0</v>
      </c>
      <c r="I91" s="368">
        <f t="shared" si="67"/>
        <v>460</v>
      </c>
      <c r="J91" s="368">
        <f t="shared" si="67"/>
        <v>0</v>
      </c>
      <c r="P91" s="368">
        <f>P19</f>
        <v>0</v>
      </c>
      <c r="Q91" s="368">
        <f t="shared" si="68"/>
        <v>0</v>
      </c>
      <c r="S91" s="368">
        <f t="shared" si="69"/>
        <v>0</v>
      </c>
      <c r="T91" s="368">
        <f t="shared" si="69"/>
        <v>228</v>
      </c>
      <c r="U91" s="368">
        <f t="shared" si="69"/>
        <v>0</v>
      </c>
      <c r="X91" s="368">
        <f t="shared" si="70"/>
        <v>0</v>
      </c>
      <c r="Y91" s="368">
        <f t="shared" si="70"/>
        <v>0</v>
      </c>
      <c r="Z91" s="368">
        <f t="shared" si="70"/>
        <v>0</v>
      </c>
      <c r="AA91" s="368">
        <f t="shared" si="70"/>
        <v>0</v>
      </c>
      <c r="AG91" s="368">
        <f t="shared" si="71"/>
        <v>0</v>
      </c>
      <c r="AH91" s="368">
        <f t="shared" si="71"/>
        <v>0</v>
      </c>
      <c r="AI91" s="368">
        <f t="shared" si="71"/>
        <v>0</v>
      </c>
      <c r="AJ91" s="368">
        <f t="shared" si="71"/>
        <v>0</v>
      </c>
    </row>
    <row r="92" spans="2:36">
      <c r="B92" s="367" t="str">
        <f t="shared" si="66"/>
        <v xml:space="preserve">  Прочие некапитальные строения</v>
      </c>
      <c r="C92" s="368">
        <f t="shared" si="66"/>
        <v>188.32</v>
      </c>
      <c r="D92" s="368">
        <f t="shared" si="66"/>
        <v>0</v>
      </c>
      <c r="E92" s="368">
        <f t="shared" si="66"/>
        <v>0</v>
      </c>
      <c r="F92" s="368">
        <f>F20</f>
        <v>0</v>
      </c>
      <c r="H92" s="368">
        <f t="shared" si="67"/>
        <v>0</v>
      </c>
      <c r="I92" s="368">
        <f t="shared" si="67"/>
        <v>0</v>
      </c>
      <c r="J92" s="368">
        <f t="shared" si="67"/>
        <v>0</v>
      </c>
      <c r="P92" s="368">
        <f>P20</f>
        <v>0</v>
      </c>
      <c r="Q92" s="368">
        <f t="shared" si="68"/>
        <v>0</v>
      </c>
      <c r="S92" s="368">
        <f t="shared" si="69"/>
        <v>0</v>
      </c>
      <c r="T92" s="368">
        <f t="shared" si="69"/>
        <v>0</v>
      </c>
      <c r="U92" s="368">
        <f t="shared" si="69"/>
        <v>0</v>
      </c>
      <c r="X92" s="368">
        <f t="shared" si="70"/>
        <v>0</v>
      </c>
      <c r="Y92" s="368">
        <f t="shared" si="70"/>
        <v>0</v>
      </c>
      <c r="Z92" s="368">
        <f t="shared" si="70"/>
        <v>0</v>
      </c>
      <c r="AA92" s="368">
        <f t="shared" si="70"/>
        <v>0</v>
      </c>
      <c r="AG92" s="368">
        <f t="shared" si="71"/>
        <v>0</v>
      </c>
      <c r="AH92" s="368">
        <f t="shared" si="71"/>
        <v>0</v>
      </c>
      <c r="AI92" s="368">
        <f t="shared" si="71"/>
        <v>0</v>
      </c>
      <c r="AJ92" s="368">
        <f t="shared" si="71"/>
        <v>0</v>
      </c>
    </row>
    <row r="93" spans="2:36">
      <c r="B93" s="278"/>
      <c r="C93" s="278"/>
      <c r="D93" s="278"/>
      <c r="E93" s="278"/>
      <c r="F93" s="278"/>
      <c r="H93" s="278"/>
      <c r="I93" s="278"/>
      <c r="J93" s="278"/>
      <c r="P93" s="278"/>
      <c r="Q93" s="278"/>
      <c r="S93" s="278"/>
      <c r="T93" s="278"/>
      <c r="U93" s="278"/>
      <c r="X93" s="278"/>
      <c r="Y93" s="278"/>
      <c r="Z93" s="278"/>
      <c r="AA93" s="278"/>
      <c r="AG93" s="278"/>
      <c r="AH93" s="278"/>
      <c r="AI93" s="278"/>
      <c r="AJ93" s="278"/>
    </row>
    <row r="94" spans="2:36">
      <c r="B94" s="278"/>
      <c r="C94" s="278"/>
      <c r="D94" s="278"/>
      <c r="E94" s="278"/>
      <c r="F94" s="278"/>
      <c r="H94" s="278"/>
      <c r="I94" s="278"/>
      <c r="J94" s="278"/>
      <c r="P94" s="278"/>
      <c r="Q94" s="278"/>
      <c r="S94" s="278"/>
      <c r="T94" s="278"/>
      <c r="U94" s="278"/>
      <c r="X94" s="278"/>
      <c r="Y94" s="278"/>
      <c r="Z94" s="278"/>
      <c r="AA94" s="278"/>
      <c r="AG94" s="278"/>
      <c r="AH94" s="278"/>
      <c r="AI94" s="278"/>
      <c r="AJ94" s="278"/>
    </row>
    <row r="95" spans="2:36">
      <c r="C95" s="278"/>
      <c r="D95" s="278"/>
      <c r="E95" s="278"/>
      <c r="F95" s="278"/>
      <c r="H95" s="278"/>
      <c r="I95" s="278"/>
      <c r="J95" s="278"/>
      <c r="P95" s="278"/>
      <c r="Q95" s="278"/>
      <c r="S95" s="278"/>
      <c r="T95" s="278"/>
      <c r="U95" s="278"/>
      <c r="X95" s="278"/>
      <c r="Y95" s="278"/>
      <c r="Z95" s="278"/>
      <c r="AA95" s="278"/>
      <c r="AG95" s="278"/>
      <c r="AH95" s="278"/>
      <c r="AI95" s="278"/>
      <c r="AJ95" s="278"/>
    </row>
    <row r="96" spans="2:36">
      <c r="B96" s="334" t="s">
        <v>277</v>
      </c>
      <c r="C96" s="325"/>
      <c r="D96" s="325"/>
      <c r="E96" s="325"/>
      <c r="F96" s="325"/>
      <c r="H96" s="325"/>
      <c r="I96" s="325"/>
      <c r="J96" s="325"/>
      <c r="P96" s="325"/>
      <c r="Q96" s="325"/>
      <c r="S96" s="325"/>
      <c r="T96" s="325"/>
      <c r="U96" s="325"/>
      <c r="X96" s="325"/>
      <c r="Y96" s="325"/>
      <c r="Z96" s="325"/>
      <c r="AA96" s="325"/>
      <c r="AG96" s="325"/>
      <c r="AH96" s="325"/>
      <c r="AI96" s="325"/>
      <c r="AJ96" s="325"/>
    </row>
    <row r="97" spans="2:36">
      <c r="B97" s="147">
        <v>1</v>
      </c>
      <c r="C97" s="318">
        <f t="shared" ref="C97:E101" si="72">C88/C$87</f>
        <v>0.10073293857950109</v>
      </c>
      <c r="D97" s="318">
        <f t="shared" si="72"/>
        <v>5.1457975986277875E-2</v>
      </c>
      <c r="E97" s="318">
        <f t="shared" si="72"/>
        <v>1.2833333333333334E-2</v>
      </c>
      <c r="F97" s="318">
        <f>F88/F$87</f>
        <v>0.41645444467747256</v>
      </c>
      <c r="H97" s="318">
        <f t="shared" ref="H97:J101" si="73">H88/H$87</f>
        <v>1</v>
      </c>
      <c r="I97" s="318">
        <f t="shared" si="73"/>
        <v>5.8823529411764705E-2</v>
      </c>
      <c r="J97" s="318">
        <f t="shared" si="73"/>
        <v>0</v>
      </c>
      <c r="P97" s="318">
        <f t="shared" ref="P97:Q101" si="74">P88/P$87</f>
        <v>1</v>
      </c>
      <c r="Q97" s="318">
        <f t="shared" si="74"/>
        <v>0</v>
      </c>
      <c r="S97" s="318">
        <f t="shared" ref="S97:U101" si="75">S88/S$87</f>
        <v>0</v>
      </c>
      <c r="T97" s="318">
        <f t="shared" si="75"/>
        <v>0.19302357645112367</v>
      </c>
      <c r="U97" s="318">
        <f t="shared" si="75"/>
        <v>0.66107030430220359</v>
      </c>
      <c r="X97" s="318">
        <f t="shared" ref="X97:AA101" si="76">X88/X$87</f>
        <v>0</v>
      </c>
      <c r="Y97" s="318">
        <f t="shared" si="76"/>
        <v>1</v>
      </c>
      <c r="Z97" s="318">
        <f t="shared" si="76"/>
        <v>0</v>
      </c>
      <c r="AA97" s="318">
        <f t="shared" si="76"/>
        <v>7.8431372549019607E-2</v>
      </c>
      <c r="AG97" s="318">
        <f t="shared" ref="AG97:AJ101" si="77">AG88/AG$87</f>
        <v>0</v>
      </c>
      <c r="AH97" s="318">
        <f t="shared" si="77"/>
        <v>0</v>
      </c>
      <c r="AI97" s="318">
        <f t="shared" si="77"/>
        <v>0</v>
      </c>
      <c r="AJ97" s="318">
        <f t="shared" si="77"/>
        <v>0</v>
      </c>
    </row>
    <row r="98" spans="2:36">
      <c r="B98" s="147">
        <v>0.9</v>
      </c>
      <c r="C98" s="318">
        <f t="shared" si="72"/>
        <v>0</v>
      </c>
      <c r="D98" s="318">
        <f t="shared" si="72"/>
        <v>0.78956546598056032</v>
      </c>
      <c r="E98" s="318">
        <f t="shared" si="72"/>
        <v>0.44444444444444442</v>
      </c>
      <c r="F98" s="318">
        <f>F89/F$87</f>
        <v>0</v>
      </c>
      <c r="H98" s="318">
        <f t="shared" si="73"/>
        <v>0</v>
      </c>
      <c r="I98" s="318">
        <f t="shared" si="73"/>
        <v>0.69518716577540107</v>
      </c>
      <c r="J98" s="318">
        <f t="shared" si="73"/>
        <v>0</v>
      </c>
      <c r="P98" s="318">
        <f t="shared" si="74"/>
        <v>0</v>
      </c>
      <c r="Q98" s="318">
        <f t="shared" si="74"/>
        <v>0</v>
      </c>
      <c r="S98" s="318">
        <f t="shared" si="75"/>
        <v>0.29633543344764335</v>
      </c>
      <c r="T98" s="318">
        <f t="shared" si="75"/>
        <v>0.51054735971322207</v>
      </c>
      <c r="U98" s="318">
        <f t="shared" si="75"/>
        <v>0</v>
      </c>
      <c r="X98" s="318">
        <f t="shared" si="76"/>
        <v>0</v>
      </c>
      <c r="Y98" s="318">
        <f t="shared" si="76"/>
        <v>0</v>
      </c>
      <c r="Z98" s="318">
        <f t="shared" si="76"/>
        <v>0</v>
      </c>
      <c r="AA98" s="318">
        <f t="shared" si="76"/>
        <v>0</v>
      </c>
      <c r="AG98" s="318">
        <f t="shared" si="77"/>
        <v>0</v>
      </c>
      <c r="AH98" s="318">
        <f t="shared" si="77"/>
        <v>1</v>
      </c>
      <c r="AI98" s="318">
        <f t="shared" si="77"/>
        <v>0</v>
      </c>
      <c r="AJ98" s="318">
        <f t="shared" si="77"/>
        <v>0</v>
      </c>
    </row>
    <row r="99" spans="2:36">
      <c r="B99" s="147">
        <v>0.7</v>
      </c>
      <c r="C99" s="318">
        <f t="shared" si="72"/>
        <v>0.87031844705564065</v>
      </c>
      <c r="D99" s="318">
        <f t="shared" si="72"/>
        <v>0.15897655803316182</v>
      </c>
      <c r="E99" s="318">
        <f t="shared" si="72"/>
        <v>0.54272222222222233</v>
      </c>
      <c r="F99" s="318">
        <f>F90/F$87</f>
        <v>0.5835455553225275</v>
      </c>
      <c r="H99" s="318">
        <f t="shared" si="73"/>
        <v>0</v>
      </c>
      <c r="I99" s="318">
        <f t="shared" si="73"/>
        <v>0</v>
      </c>
      <c r="J99" s="318">
        <f t="shared" si="73"/>
        <v>1</v>
      </c>
      <c r="P99" s="318">
        <f t="shared" si="74"/>
        <v>0</v>
      </c>
      <c r="Q99" s="318">
        <f t="shared" si="74"/>
        <v>1</v>
      </c>
      <c r="S99" s="318">
        <f t="shared" si="75"/>
        <v>0.70366456655235665</v>
      </c>
      <c r="T99" s="318">
        <f t="shared" si="75"/>
        <v>3.4468495794843512E-2</v>
      </c>
      <c r="U99" s="318">
        <f t="shared" si="75"/>
        <v>0.33892969569779641</v>
      </c>
      <c r="X99" s="318">
        <f t="shared" si="76"/>
        <v>1</v>
      </c>
      <c r="Y99" s="318">
        <f t="shared" si="76"/>
        <v>0</v>
      </c>
      <c r="Z99" s="318">
        <f t="shared" si="76"/>
        <v>1</v>
      </c>
      <c r="AA99" s="318">
        <f t="shared" si="76"/>
        <v>0.92156862745098034</v>
      </c>
      <c r="AG99" s="318">
        <f t="shared" si="77"/>
        <v>1</v>
      </c>
      <c r="AH99" s="318">
        <f t="shared" si="77"/>
        <v>0</v>
      </c>
      <c r="AI99" s="318">
        <f t="shared" si="77"/>
        <v>1</v>
      </c>
      <c r="AJ99" s="318">
        <f t="shared" si="77"/>
        <v>1</v>
      </c>
    </row>
    <row r="100" spans="2:36">
      <c r="B100" s="147">
        <v>0.3</v>
      </c>
      <c r="C100" s="318">
        <f t="shared" si="72"/>
        <v>0</v>
      </c>
      <c r="D100" s="318">
        <f t="shared" si="72"/>
        <v>0</v>
      </c>
      <c r="E100" s="318">
        <f t="shared" si="72"/>
        <v>0</v>
      </c>
      <c r="F100" s="318">
        <f>F91/F$87</f>
        <v>0</v>
      </c>
      <c r="H100" s="318">
        <f t="shared" si="73"/>
        <v>0</v>
      </c>
      <c r="I100" s="318">
        <f t="shared" si="73"/>
        <v>0.24598930481283424</v>
      </c>
      <c r="J100" s="318">
        <f t="shared" si="73"/>
        <v>0</v>
      </c>
      <c r="P100" s="318">
        <f t="shared" si="74"/>
        <v>0</v>
      </c>
      <c r="Q100" s="318">
        <f t="shared" si="74"/>
        <v>0</v>
      </c>
      <c r="S100" s="318">
        <f t="shared" si="75"/>
        <v>0</v>
      </c>
      <c r="T100" s="318">
        <f t="shared" si="75"/>
        <v>0.26196056804081069</v>
      </c>
      <c r="U100" s="318">
        <f t="shared" si="75"/>
        <v>0</v>
      </c>
      <c r="X100" s="318">
        <f t="shared" si="76"/>
        <v>0</v>
      </c>
      <c r="Y100" s="318">
        <f t="shared" si="76"/>
        <v>0</v>
      </c>
      <c r="Z100" s="318">
        <f t="shared" si="76"/>
        <v>0</v>
      </c>
      <c r="AA100" s="318">
        <f t="shared" si="76"/>
        <v>0</v>
      </c>
      <c r="AG100" s="318">
        <f t="shared" si="77"/>
        <v>0</v>
      </c>
      <c r="AH100" s="318">
        <f t="shared" si="77"/>
        <v>0</v>
      </c>
      <c r="AI100" s="318">
        <f t="shared" si="77"/>
        <v>0</v>
      </c>
      <c r="AJ100" s="318">
        <f t="shared" si="77"/>
        <v>0</v>
      </c>
    </row>
    <row r="101" spans="2:36">
      <c r="B101" s="147">
        <v>0.1</v>
      </c>
      <c r="C101" s="318">
        <f t="shared" si="72"/>
        <v>2.8948614364858301E-2</v>
      </c>
      <c r="D101" s="318">
        <f t="shared" si="72"/>
        <v>0</v>
      </c>
      <c r="E101" s="318">
        <f t="shared" si="72"/>
        <v>0</v>
      </c>
      <c r="F101" s="318">
        <f>F92/F$87</f>
        <v>0</v>
      </c>
      <c r="H101" s="318">
        <f t="shared" si="73"/>
        <v>0</v>
      </c>
      <c r="I101" s="318">
        <f t="shared" si="73"/>
        <v>0</v>
      </c>
      <c r="J101" s="318">
        <f t="shared" si="73"/>
        <v>0</v>
      </c>
      <c r="P101" s="318">
        <f t="shared" si="74"/>
        <v>0</v>
      </c>
      <c r="Q101" s="318">
        <f t="shared" si="74"/>
        <v>0</v>
      </c>
      <c r="S101" s="318">
        <f t="shared" si="75"/>
        <v>0</v>
      </c>
      <c r="T101" s="318">
        <f t="shared" si="75"/>
        <v>0</v>
      </c>
      <c r="U101" s="318">
        <f t="shared" si="75"/>
        <v>0</v>
      </c>
      <c r="X101" s="318">
        <f t="shared" si="76"/>
        <v>0</v>
      </c>
      <c r="Y101" s="318">
        <f t="shared" si="76"/>
        <v>0</v>
      </c>
      <c r="Z101" s="318">
        <f t="shared" si="76"/>
        <v>0</v>
      </c>
      <c r="AA101" s="318">
        <f t="shared" si="76"/>
        <v>0</v>
      </c>
      <c r="AG101" s="318">
        <f t="shared" si="77"/>
        <v>0</v>
      </c>
      <c r="AH101" s="318">
        <f t="shared" si="77"/>
        <v>0</v>
      </c>
      <c r="AI101" s="318">
        <f t="shared" si="77"/>
        <v>0</v>
      </c>
      <c r="AJ101" s="318">
        <f t="shared" si="77"/>
        <v>0</v>
      </c>
    </row>
    <row r="102" spans="2:36">
      <c r="C102" s="281"/>
      <c r="D102" s="281"/>
      <c r="E102" s="281"/>
      <c r="F102" s="281"/>
      <c r="H102" s="281"/>
      <c r="I102" s="281"/>
      <c r="J102" s="281"/>
      <c r="P102" s="281"/>
      <c r="Q102" s="281"/>
      <c r="S102" s="281"/>
      <c r="T102" s="281"/>
      <c r="U102" s="281"/>
      <c r="X102" s="281"/>
      <c r="Y102" s="281"/>
      <c r="Z102" s="281"/>
      <c r="AA102" s="281"/>
      <c r="AG102" s="281"/>
      <c r="AH102" s="281"/>
      <c r="AI102" s="281"/>
      <c r="AJ102" s="281"/>
    </row>
    <row r="103" spans="2:36">
      <c r="C103" s="281"/>
      <c r="D103" s="278"/>
      <c r="E103" s="278"/>
      <c r="F103" s="278"/>
      <c r="H103" s="278"/>
      <c r="I103" s="278"/>
      <c r="J103" s="278"/>
      <c r="P103" s="278"/>
      <c r="Q103" s="278"/>
      <c r="S103" s="278"/>
      <c r="T103" s="278"/>
      <c r="U103" s="278"/>
      <c r="X103" s="278"/>
      <c r="Y103" s="278"/>
      <c r="Z103" s="278"/>
      <c r="AA103" s="278"/>
      <c r="AG103" s="278"/>
      <c r="AH103" s="278"/>
      <c r="AI103" s="278"/>
      <c r="AJ103" s="278"/>
    </row>
    <row r="104" spans="2:36">
      <c r="B104" s="322" t="s">
        <v>278</v>
      </c>
      <c r="C104" s="147">
        <f t="shared" ref="C104:E108" si="78">$B97*C97</f>
        <v>0.10073293857950109</v>
      </c>
      <c r="D104" s="147">
        <f t="shared" si="78"/>
        <v>5.1457975986277875E-2</v>
      </c>
      <c r="E104" s="147">
        <f t="shared" si="78"/>
        <v>1.2833333333333334E-2</v>
      </c>
      <c r="F104" s="147">
        <f>$B97*F97</f>
        <v>0.41645444467747256</v>
      </c>
      <c r="H104" s="147">
        <f t="shared" ref="H104:J108" si="79">$B97*H97</f>
        <v>1</v>
      </c>
      <c r="I104" s="147">
        <f t="shared" si="79"/>
        <v>5.8823529411764705E-2</v>
      </c>
      <c r="J104" s="147">
        <f t="shared" si="79"/>
        <v>0</v>
      </c>
      <c r="P104" s="147">
        <f t="shared" ref="P104:Q108" si="80">$B97*P97</f>
        <v>1</v>
      </c>
      <c r="Q104" s="147">
        <f t="shared" si="80"/>
        <v>0</v>
      </c>
      <c r="S104" s="147">
        <f t="shared" ref="S104:U108" si="81">$B97*S97</f>
        <v>0</v>
      </c>
      <c r="T104" s="147">
        <f t="shared" si="81"/>
        <v>0.19302357645112367</v>
      </c>
      <c r="U104" s="147">
        <f t="shared" si="81"/>
        <v>0.66107030430220359</v>
      </c>
      <c r="X104" s="147">
        <f t="shared" ref="X104:AA108" si="82">$B97*X97</f>
        <v>0</v>
      </c>
      <c r="Y104" s="147">
        <f t="shared" si="82"/>
        <v>1</v>
      </c>
      <c r="Z104" s="147">
        <f t="shared" si="82"/>
        <v>0</v>
      </c>
      <c r="AA104" s="147">
        <f t="shared" si="82"/>
        <v>7.8431372549019607E-2</v>
      </c>
      <c r="AG104" s="147">
        <f t="shared" ref="AG104:AJ108" si="83">$B97*AG97</f>
        <v>0</v>
      </c>
      <c r="AH104" s="147">
        <f t="shared" si="83"/>
        <v>0</v>
      </c>
      <c r="AI104" s="147">
        <f t="shared" si="83"/>
        <v>0</v>
      </c>
      <c r="AJ104" s="147">
        <f t="shared" si="83"/>
        <v>0</v>
      </c>
    </row>
    <row r="105" spans="2:36">
      <c r="B105" s="334"/>
      <c r="C105" s="147">
        <f t="shared" si="78"/>
        <v>0</v>
      </c>
      <c r="D105" s="147">
        <f t="shared" si="78"/>
        <v>0.71060891938250426</v>
      </c>
      <c r="E105" s="147">
        <f t="shared" si="78"/>
        <v>0.39999999999999997</v>
      </c>
      <c r="F105" s="147">
        <f>$B98*F98</f>
        <v>0</v>
      </c>
      <c r="H105" s="147">
        <f t="shared" si="79"/>
        <v>0</v>
      </c>
      <c r="I105" s="147">
        <f t="shared" si="79"/>
        <v>0.62566844919786102</v>
      </c>
      <c r="J105" s="147">
        <f t="shared" si="79"/>
        <v>0</v>
      </c>
      <c r="P105" s="147">
        <f t="shared" si="80"/>
        <v>0</v>
      </c>
      <c r="Q105" s="147">
        <f t="shared" si="80"/>
        <v>0</v>
      </c>
      <c r="S105" s="147">
        <f t="shared" si="81"/>
        <v>0.26670189010287904</v>
      </c>
      <c r="T105" s="147">
        <f t="shared" si="81"/>
        <v>0.45949262374189986</v>
      </c>
      <c r="U105" s="147">
        <f t="shared" si="81"/>
        <v>0</v>
      </c>
      <c r="X105" s="147">
        <f t="shared" si="82"/>
        <v>0</v>
      </c>
      <c r="Y105" s="147">
        <f t="shared" si="82"/>
        <v>0</v>
      </c>
      <c r="Z105" s="147">
        <f t="shared" si="82"/>
        <v>0</v>
      </c>
      <c r="AA105" s="147">
        <f t="shared" si="82"/>
        <v>0</v>
      </c>
      <c r="AG105" s="147">
        <f t="shared" si="83"/>
        <v>0</v>
      </c>
      <c r="AH105" s="147">
        <f t="shared" si="83"/>
        <v>0.9</v>
      </c>
      <c r="AI105" s="147">
        <f t="shared" si="83"/>
        <v>0</v>
      </c>
      <c r="AJ105" s="147">
        <f t="shared" si="83"/>
        <v>0</v>
      </c>
    </row>
    <row r="106" spans="2:36">
      <c r="B106" s="334"/>
      <c r="C106" s="147">
        <f t="shared" si="78"/>
        <v>0.60922291293894837</v>
      </c>
      <c r="D106" s="147">
        <f t="shared" si="78"/>
        <v>0.11128359062321327</v>
      </c>
      <c r="E106" s="147">
        <f t="shared" si="78"/>
        <v>0.37990555555555561</v>
      </c>
      <c r="F106" s="147">
        <f>$B99*F99</f>
        <v>0.40848188872576924</v>
      </c>
      <c r="H106" s="147">
        <f t="shared" si="79"/>
        <v>0</v>
      </c>
      <c r="I106" s="147">
        <f t="shared" si="79"/>
        <v>0</v>
      </c>
      <c r="J106" s="147">
        <f t="shared" si="79"/>
        <v>0.7</v>
      </c>
      <c r="P106" s="147">
        <f t="shared" si="80"/>
        <v>0</v>
      </c>
      <c r="Q106" s="147">
        <f t="shared" si="80"/>
        <v>0.7</v>
      </c>
      <c r="S106" s="147">
        <f t="shared" si="81"/>
        <v>0.4925651965866496</v>
      </c>
      <c r="T106" s="147">
        <f t="shared" si="81"/>
        <v>2.4127947056390459E-2</v>
      </c>
      <c r="U106" s="147">
        <f t="shared" si="81"/>
        <v>0.23725078698845747</v>
      </c>
      <c r="X106" s="147">
        <f t="shared" si="82"/>
        <v>0.7</v>
      </c>
      <c r="Y106" s="147">
        <f t="shared" si="82"/>
        <v>0</v>
      </c>
      <c r="Z106" s="147">
        <f t="shared" si="82"/>
        <v>0.7</v>
      </c>
      <c r="AA106" s="147">
        <f t="shared" si="82"/>
        <v>0.6450980392156862</v>
      </c>
      <c r="AG106" s="147">
        <f t="shared" si="83"/>
        <v>0.7</v>
      </c>
      <c r="AH106" s="147">
        <f t="shared" si="83"/>
        <v>0</v>
      </c>
      <c r="AI106" s="147">
        <f t="shared" si="83"/>
        <v>0.7</v>
      </c>
      <c r="AJ106" s="147">
        <f t="shared" si="83"/>
        <v>0.7</v>
      </c>
    </row>
    <row r="107" spans="2:36">
      <c r="B107" s="334"/>
      <c r="C107" s="147">
        <f t="shared" si="78"/>
        <v>0</v>
      </c>
      <c r="D107" s="147">
        <f t="shared" si="78"/>
        <v>0</v>
      </c>
      <c r="E107" s="147">
        <f t="shared" si="78"/>
        <v>0</v>
      </c>
      <c r="F107" s="147">
        <f>$B100*F100</f>
        <v>0</v>
      </c>
      <c r="H107" s="147">
        <f t="shared" si="79"/>
        <v>0</v>
      </c>
      <c r="I107" s="147">
        <f t="shared" si="79"/>
        <v>7.3796791443850263E-2</v>
      </c>
      <c r="J107" s="147">
        <f t="shared" si="79"/>
        <v>0</v>
      </c>
      <c r="P107" s="147">
        <f t="shared" si="80"/>
        <v>0</v>
      </c>
      <c r="Q107" s="147">
        <f t="shared" si="80"/>
        <v>0</v>
      </c>
      <c r="S107" s="147">
        <f t="shared" si="81"/>
        <v>0</v>
      </c>
      <c r="T107" s="147">
        <f t="shared" si="81"/>
        <v>7.8588170412243211E-2</v>
      </c>
      <c r="U107" s="147">
        <f t="shared" si="81"/>
        <v>0</v>
      </c>
      <c r="X107" s="147">
        <f t="shared" si="82"/>
        <v>0</v>
      </c>
      <c r="Y107" s="147">
        <f t="shared" si="82"/>
        <v>0</v>
      </c>
      <c r="Z107" s="147">
        <f t="shared" si="82"/>
        <v>0</v>
      </c>
      <c r="AA107" s="147">
        <f t="shared" si="82"/>
        <v>0</v>
      </c>
      <c r="AG107" s="147">
        <f t="shared" si="83"/>
        <v>0</v>
      </c>
      <c r="AH107" s="147">
        <f t="shared" si="83"/>
        <v>0</v>
      </c>
      <c r="AI107" s="147">
        <f t="shared" si="83"/>
        <v>0</v>
      </c>
      <c r="AJ107" s="147">
        <f t="shared" si="83"/>
        <v>0</v>
      </c>
    </row>
    <row r="108" spans="2:36">
      <c r="B108" s="334"/>
      <c r="C108" s="147">
        <f t="shared" si="78"/>
        <v>2.8948614364858304E-3</v>
      </c>
      <c r="D108" s="147">
        <f t="shared" si="78"/>
        <v>0</v>
      </c>
      <c r="E108" s="147">
        <f t="shared" si="78"/>
        <v>0</v>
      </c>
      <c r="F108" s="147">
        <f>$B101*F101</f>
        <v>0</v>
      </c>
      <c r="H108" s="147">
        <f t="shared" si="79"/>
        <v>0</v>
      </c>
      <c r="I108" s="147">
        <f t="shared" si="79"/>
        <v>0</v>
      </c>
      <c r="J108" s="147">
        <f t="shared" si="79"/>
        <v>0</v>
      </c>
      <c r="P108" s="147">
        <f t="shared" si="80"/>
        <v>0</v>
      </c>
      <c r="Q108" s="147">
        <f t="shared" si="80"/>
        <v>0</v>
      </c>
      <c r="S108" s="147">
        <f t="shared" si="81"/>
        <v>0</v>
      </c>
      <c r="T108" s="147">
        <f t="shared" si="81"/>
        <v>0</v>
      </c>
      <c r="U108" s="147">
        <f t="shared" si="81"/>
        <v>0</v>
      </c>
      <c r="X108" s="147">
        <f t="shared" si="82"/>
        <v>0</v>
      </c>
      <c r="Y108" s="147">
        <f t="shared" si="82"/>
        <v>0</v>
      </c>
      <c r="Z108" s="147">
        <f t="shared" si="82"/>
        <v>0</v>
      </c>
      <c r="AA108" s="147">
        <f t="shared" si="82"/>
        <v>0</v>
      </c>
      <c r="AG108" s="147">
        <f t="shared" si="83"/>
        <v>0</v>
      </c>
      <c r="AH108" s="147">
        <f t="shared" si="83"/>
        <v>0</v>
      </c>
      <c r="AI108" s="147">
        <f t="shared" si="83"/>
        <v>0</v>
      </c>
      <c r="AJ108" s="147">
        <f t="shared" si="83"/>
        <v>0</v>
      </c>
    </row>
    <row r="109" spans="2:36">
      <c r="B109" s="320" t="s">
        <v>279</v>
      </c>
      <c r="C109" s="321">
        <f>SUM(C104:C108)</f>
        <v>0.71285071295493529</v>
      </c>
      <c r="D109" s="321">
        <f>SUM(D104:D108)</f>
        <v>0.87335048599199538</v>
      </c>
      <c r="E109" s="321">
        <f>SUM(E104:E108)</f>
        <v>0.79273888888888888</v>
      </c>
      <c r="F109" s="321">
        <f>SUM(F104:F108)</f>
        <v>0.82493633340324179</v>
      </c>
      <c r="H109" s="321">
        <f>SUM(H104:H108)</f>
        <v>1</v>
      </c>
      <c r="I109" s="321">
        <f t="shared" ref="I109" si="84">SUM(I104:I108)</f>
        <v>0.75828877005347595</v>
      </c>
      <c r="J109" s="321">
        <f>SUM(J104:J108)</f>
        <v>0.7</v>
      </c>
      <c r="P109" s="321">
        <f>SUM(P104:P108)</f>
        <v>1</v>
      </c>
      <c r="Q109" s="321">
        <f>SUM(Q104:Q108)</f>
        <v>0.7</v>
      </c>
      <c r="S109" s="321">
        <f>SUM(S104:S108)</f>
        <v>0.75926708668952858</v>
      </c>
      <c r="T109" s="321">
        <f>SUM(T104:T108)</f>
        <v>0.75523231766165722</v>
      </c>
      <c r="U109" s="321">
        <f>SUM(U104:U108)</f>
        <v>0.89832109129066107</v>
      </c>
      <c r="X109" s="321">
        <f>SUM(X104:X108)</f>
        <v>0.7</v>
      </c>
      <c r="Y109" s="321">
        <f t="shared" ref="Y109:Z109" si="85">SUM(Y104:Y108)</f>
        <v>1</v>
      </c>
      <c r="Z109" s="321">
        <f t="shared" si="85"/>
        <v>0.7</v>
      </c>
      <c r="AA109" s="321">
        <f>SUM(AA104:AA108)</f>
        <v>0.72352941176470575</v>
      </c>
      <c r="AG109" s="321">
        <f t="shared" ref="AG109:AJ109" si="86">SUM(AG104:AG108)</f>
        <v>0.7</v>
      </c>
      <c r="AH109" s="321">
        <f t="shared" si="86"/>
        <v>0.9</v>
      </c>
      <c r="AI109" s="321">
        <f t="shared" si="86"/>
        <v>0.7</v>
      </c>
      <c r="AJ109" s="321">
        <f t="shared" si="86"/>
        <v>0.7</v>
      </c>
    </row>
    <row r="110" spans="2:36">
      <c r="B110" s="322" t="s">
        <v>280</v>
      </c>
      <c r="C110" s="323"/>
      <c r="D110" s="324">
        <f>$C$109/D109</f>
        <v>0.81622524334573832</v>
      </c>
      <c r="E110" s="324">
        <f>$C$109/E109</f>
        <v>0.89922510797227861</v>
      </c>
      <c r="F110" s="324">
        <f>$C$109/F109</f>
        <v>0.86412815642887042</v>
      </c>
      <c r="H110" s="324">
        <f>$C$109/H109</f>
        <v>0.71285071295493529</v>
      </c>
      <c r="I110" s="324">
        <f>$C$109/I109</f>
        <v>0.94007816165425173</v>
      </c>
      <c r="J110" s="324">
        <f>$C$109/J109</f>
        <v>1.0183581613641934</v>
      </c>
      <c r="P110" s="324">
        <f>$C$109/P109</f>
        <v>0.71285071295493529</v>
      </c>
      <c r="Q110" s="324">
        <f>$C$109/Q109</f>
        <v>1.0183581613641934</v>
      </c>
      <c r="S110" s="324">
        <f>$C$109/S109</f>
        <v>0.93886686971119382</v>
      </c>
      <c r="T110" s="324">
        <f>$C$109/T109</f>
        <v>0.94388269183455575</v>
      </c>
      <c r="U110" s="324">
        <f>$C$109/U109</f>
        <v>0.79353665394936734</v>
      </c>
      <c r="X110" s="324">
        <f>$C$109/X109</f>
        <v>1.0183581613641934</v>
      </c>
      <c r="Y110" s="324">
        <f>$C$109/Y109</f>
        <v>0.71285071295493529</v>
      </c>
      <c r="Z110" s="324">
        <f>$C$109/Z109</f>
        <v>1.0183581613641934</v>
      </c>
      <c r="AA110" s="324">
        <f>$C$109/AA109</f>
        <v>0.9852408227832441</v>
      </c>
      <c r="AG110" s="324">
        <f t="shared" ref="AG110:AJ110" si="87">$C$109/AG109</f>
        <v>1.0183581613641934</v>
      </c>
      <c r="AH110" s="324">
        <f t="shared" si="87"/>
        <v>0.79205634772770583</v>
      </c>
      <c r="AI110" s="324">
        <f t="shared" si="87"/>
        <v>1.0183581613641934</v>
      </c>
      <c r="AJ110" s="324">
        <f t="shared" si="87"/>
        <v>1.0183581613641934</v>
      </c>
    </row>
    <row r="111" spans="2:36">
      <c r="B111" s="320" t="s">
        <v>281</v>
      </c>
      <c r="C111" s="325">
        <f t="shared" ref="C111:E111" si="88">$C$118*C24</f>
        <v>2133247</v>
      </c>
      <c r="D111" s="325">
        <f t="shared" si="88"/>
        <v>2860954</v>
      </c>
      <c r="E111" s="325">
        <f t="shared" si="88"/>
        <v>725440</v>
      </c>
      <c r="F111" s="325">
        <f>$C$118*F24</f>
        <v>1768260</v>
      </c>
      <c r="H111" s="325">
        <f>$C$118*H24</f>
        <v>278841</v>
      </c>
      <c r="I111" s="325">
        <f>$C$118*I24</f>
        <v>1242316</v>
      </c>
      <c r="J111" s="325">
        <f>$C$118*J24</f>
        <v>521410</v>
      </c>
      <c r="P111" s="325">
        <f>$C$118*P24</f>
        <v>154156</v>
      </c>
      <c r="Q111" s="325">
        <f>$C$118*Q24</f>
        <v>841057</v>
      </c>
      <c r="S111" s="325">
        <f>$C$118*S24</f>
        <v>498740</v>
      </c>
      <c r="T111" s="325">
        <f>$C$118*T24</f>
        <v>549294.1</v>
      </c>
      <c r="U111" s="325">
        <f>$C$118*U24</f>
        <v>294710</v>
      </c>
      <c r="X111" s="325">
        <f>$C$118*X24</f>
        <v>498740</v>
      </c>
      <c r="Y111" s="325">
        <f>$C$118*Y24</f>
        <v>158690</v>
      </c>
      <c r="Z111" s="325">
        <f>$C$118*Z24</f>
        <v>97481</v>
      </c>
      <c r="AA111" s="325">
        <f>$C$118*AA24</f>
        <v>3695210</v>
      </c>
      <c r="AG111" s="325">
        <f>$C$118*AG24</f>
        <v>235087.9</v>
      </c>
      <c r="AH111" s="325">
        <f>$C$118*AH24</f>
        <v>113350</v>
      </c>
      <c r="AI111" s="325">
        <f>$C$118*AI24</f>
        <v>181360</v>
      </c>
      <c r="AJ111" s="325">
        <f>$C$118*AJ24</f>
        <v>260478.3</v>
      </c>
    </row>
    <row r="112" spans="2:36">
      <c r="B112" s="322" t="s">
        <v>282</v>
      </c>
      <c r="C112" s="326"/>
      <c r="D112" s="369">
        <f>1-D111/D30</f>
        <v>0.52317433333333341</v>
      </c>
      <c r="E112" s="369">
        <f>1-E111/E30</f>
        <v>0.51637333333333335</v>
      </c>
      <c r="F112" s="369">
        <f>1-F111/F30</f>
        <v>0.31989999999999996</v>
      </c>
      <c r="H112" s="369">
        <f>1-H111/H30</f>
        <v>0.60165571428571429</v>
      </c>
      <c r="I112" s="369">
        <f>1-I111/I30</f>
        <v>0.30982444444444446</v>
      </c>
      <c r="J112" s="369">
        <f>1-J111/J30</f>
        <v>0.34823749999999998</v>
      </c>
      <c r="P112" s="369">
        <f>1-P111/P30</f>
        <v>0.89722933333333332</v>
      </c>
      <c r="Q112" s="369">
        <f>1-Q111/Q30</f>
        <v>0.43929533333333337</v>
      </c>
      <c r="S112" s="369">
        <f>1-S111/S30</f>
        <v>0.80050399999999999</v>
      </c>
      <c r="T112" s="369">
        <f>1-T111/T30</f>
        <v>0.21529414285714288</v>
      </c>
      <c r="U112" s="369">
        <f>1-U111/U30</f>
        <v>0.75440833333333335</v>
      </c>
      <c r="X112" s="369">
        <f>1-X111/X30</f>
        <v>0.34376315789473688</v>
      </c>
      <c r="Y112" s="369">
        <f>1-Y111/Y30</f>
        <v>0.90081875</v>
      </c>
      <c r="Z112" s="369">
        <f>1-Z111/Z30</f>
        <v>0.65185357142857137</v>
      </c>
      <c r="AA112" s="369">
        <f>1-AA111/AA30</f>
        <v>0.28938269230769231</v>
      </c>
      <c r="AG112" s="369">
        <f>1-AG111/AG30</f>
        <v>0.66416014285714287</v>
      </c>
      <c r="AH112" s="369">
        <f>1-AH111/AH30</f>
        <v>0.64578124999999997</v>
      </c>
      <c r="AI112" s="369">
        <f>1-AI111/AI30</f>
        <v>0.75818666666666668</v>
      </c>
      <c r="AJ112" s="369">
        <f>1-AJ111/AJ30</f>
        <v>0.50385085714285716</v>
      </c>
    </row>
    <row r="113" spans="2:36">
      <c r="B113" s="335" t="s">
        <v>283</v>
      </c>
      <c r="C113" s="336"/>
      <c r="D113" s="337">
        <f>1-(1-D110)*D112</f>
        <v>0.90385376420391106</v>
      </c>
      <c r="E113" s="337">
        <f>1-(1-E110)*E112</f>
        <v>0.9479625330873388</v>
      </c>
      <c r="F113" s="337">
        <f>1-(1-F110)*F112</f>
        <v>0.95653459724159562</v>
      </c>
      <c r="H113" s="337">
        <f>1-(1-H110)*H112</f>
        <v>0.82723499059626793</v>
      </c>
      <c r="I113" s="337">
        <f t="shared" ref="I113" si="89">1-(1-I110)*I112</f>
        <v>0.98143474972443878</v>
      </c>
      <c r="J113" s="337">
        <f>1-(1-J110)*J112</f>
        <v>1.0063930002180632</v>
      </c>
      <c r="P113" s="337">
        <f>1-(1-P110)*P112</f>
        <v>0.7423612366174146</v>
      </c>
      <c r="Q113" s="337">
        <f>1-(1-Q110)*Q112</f>
        <v>1.0080646546158705</v>
      </c>
      <c r="S113" s="337">
        <f>1-(1-S110)*S112</f>
        <v>0.95106268467128952</v>
      </c>
      <c r="T113" s="337">
        <f>1-(1-T110)*T112</f>
        <v>0.98791827223907058</v>
      </c>
      <c r="U113" s="337">
        <f>1-(1-U110)*U112</f>
        <v>0.84424233121151893</v>
      </c>
      <c r="X113" s="337">
        <f>1-(1-X110)*X112</f>
        <v>1.0063108595236963</v>
      </c>
      <c r="Y113" s="337">
        <f t="shared" ref="Y113:Z113" si="90">1-(1-Y110)*Y112</f>
        <v>0.74133053818067363</v>
      </c>
      <c r="Z113" s="337">
        <f t="shared" si="90"/>
        <v>1.0119668330501115</v>
      </c>
      <c r="AA113" s="337">
        <f>1-(1-AA110)*AA112</f>
        <v>0.99572894956076885</v>
      </c>
      <c r="AG113" s="337">
        <f t="shared" ref="AG113:AJ113" si="91">1-(1-AG110)*AG112</f>
        <v>1.0121927590742372</v>
      </c>
      <c r="AH113" s="337">
        <f t="shared" si="91"/>
        <v>0.86571388830603258</v>
      </c>
      <c r="AI113" s="337">
        <f t="shared" si="91"/>
        <v>1.0139189131708466</v>
      </c>
      <c r="AJ113" s="337">
        <f t="shared" si="91"/>
        <v>1.0092497753389158</v>
      </c>
    </row>
    <row r="114" spans="2:36">
      <c r="D114" s="260"/>
      <c r="E114" s="260"/>
      <c r="F114" s="260"/>
      <c r="H114" s="260"/>
      <c r="I114" s="260"/>
      <c r="J114" s="260"/>
      <c r="P114" s="260"/>
      <c r="Q114" s="260"/>
      <c r="T114" s="260"/>
      <c r="U114" s="260"/>
      <c r="Y114" s="260"/>
      <c r="Z114" s="260"/>
      <c r="AA114" s="260"/>
      <c r="AG114" s="260"/>
      <c r="AH114" s="260"/>
      <c r="AI114" s="260"/>
      <c r="AJ114" s="260"/>
    </row>
    <row r="115" spans="2:36">
      <c r="D115" s="370"/>
      <c r="E115" s="370"/>
      <c r="F115" s="370"/>
      <c r="H115" s="370"/>
      <c r="I115" s="370"/>
      <c r="J115" s="370"/>
      <c r="P115" s="370"/>
      <c r="Q115" s="370"/>
      <c r="S115" s="370"/>
      <c r="T115" s="370"/>
      <c r="U115" s="370"/>
      <c r="X115" s="370"/>
      <c r="Y115" s="370"/>
      <c r="Z115" s="370"/>
      <c r="AA115" s="370"/>
      <c r="AG115" s="370"/>
      <c r="AH115" s="370"/>
      <c r="AI115" s="370"/>
      <c r="AJ115" s="370"/>
    </row>
    <row r="116" spans="2:36">
      <c r="D116" s="260"/>
      <c r="E116" s="260"/>
      <c r="F116" s="260"/>
      <c r="H116" s="260"/>
      <c r="I116" s="260"/>
      <c r="J116" s="260"/>
      <c r="P116" s="260"/>
      <c r="Q116" s="260"/>
      <c r="T116" s="260"/>
      <c r="U116" s="260"/>
      <c r="Y116" s="260"/>
      <c r="Z116" s="260"/>
      <c r="AA116" s="260"/>
      <c r="AG116" s="260"/>
      <c r="AH116" s="260"/>
      <c r="AI116" s="260"/>
      <c r="AJ116" s="260"/>
    </row>
    <row r="117" spans="2:36">
      <c r="B117" s="162" t="s">
        <v>284</v>
      </c>
      <c r="C117" s="318">
        <f t="shared" ref="C117:E117" si="92">C24/C15</f>
        <v>1.4465083962049523</v>
      </c>
      <c r="D117" s="318">
        <f t="shared" si="92"/>
        <v>1.8038879359634077</v>
      </c>
      <c r="E117" s="318">
        <f t="shared" si="92"/>
        <v>1.7777777777777777</v>
      </c>
      <c r="F117" s="318">
        <f>F24/F15</f>
        <v>2.3369386104203493</v>
      </c>
      <c r="H117" s="318">
        <f>H24/H15</f>
        <v>1.8024618991793671</v>
      </c>
      <c r="I117" s="318">
        <f>I24/I15</f>
        <v>2.9304812834224601</v>
      </c>
      <c r="J117" s="318">
        <f>J24/J15</f>
        <v>0.85185185185185186</v>
      </c>
      <c r="P117" s="318">
        <f>P24/P15</f>
        <v>0.56666666666666665</v>
      </c>
      <c r="Q117" s="318">
        <f>Q24/Q15</f>
        <v>2.0611111111111109</v>
      </c>
      <c r="S117" s="318">
        <f>S24/S15</f>
        <v>0.43863146981417972</v>
      </c>
      <c r="T117" s="318">
        <f>T24/T15</f>
        <v>2.7839055103635277</v>
      </c>
      <c r="U117" s="318">
        <f>U24/U15</f>
        <v>0.6820566631689402</v>
      </c>
      <c r="X117" s="318">
        <f>X24/X15</f>
        <v>1.6058394160583942</v>
      </c>
      <c r="Y117" s="318">
        <f>Y24/Y15</f>
        <v>0.34482758620689657</v>
      </c>
      <c r="Z117" s="318">
        <f>Z24/Z15</f>
        <v>1.8454935622317596</v>
      </c>
      <c r="AA117" s="318">
        <f>AA24/AA15</f>
        <v>6.3921568627450984</v>
      </c>
      <c r="AG117" s="318">
        <f>AG24/AG15</f>
        <v>1.0369999999999999</v>
      </c>
      <c r="AH117" s="318">
        <f>AH24/AH15</f>
        <v>1.3297872340425532</v>
      </c>
      <c r="AI117" s="318">
        <f>AI24/AI15</f>
        <v>1</v>
      </c>
      <c r="AJ117" s="318">
        <f>AJ24/AJ15</f>
        <v>1.8066037735849056</v>
      </c>
    </row>
    <row r="118" spans="2:36">
      <c r="B118" s="371" t="s">
        <v>285</v>
      </c>
      <c r="C118" s="326">
        <v>226.7</v>
      </c>
      <c r="D118" s="318">
        <f>$C$117-D117</f>
        <v>-0.35737953975845538</v>
      </c>
      <c r="E118" s="318">
        <f>$C$117-E117</f>
        <v>-0.33126938157282537</v>
      </c>
      <c r="F118" s="318">
        <f>$C$117-F117</f>
        <v>-0.89043021421539703</v>
      </c>
      <c r="H118" s="318">
        <f>$C$117-H117</f>
        <v>-0.35595350297441475</v>
      </c>
      <c r="I118" s="318">
        <f>$C$117-I117</f>
        <v>-1.4839728872175078</v>
      </c>
      <c r="J118" s="318">
        <f>$C$117-J117</f>
        <v>0.59465654435310045</v>
      </c>
      <c r="P118" s="318">
        <f>$C$117-P117</f>
        <v>0.87984172953828566</v>
      </c>
      <c r="Q118" s="318">
        <f>$C$117-Q117</f>
        <v>-0.61460271490615859</v>
      </c>
      <c r="S118" s="318">
        <f>$C$117-S117</f>
        <v>1.0078769263907725</v>
      </c>
      <c r="T118" s="318">
        <f>$C$117-T117</f>
        <v>-1.3373971141585754</v>
      </c>
      <c r="U118" s="318">
        <f>$C$117-U117</f>
        <v>0.7644517330360121</v>
      </c>
      <c r="X118" s="318">
        <f>$C$117-X117</f>
        <v>-0.15933101985344189</v>
      </c>
      <c r="Y118" s="318">
        <f>$C$117-Y117</f>
        <v>1.1016808099980557</v>
      </c>
      <c r="Z118" s="318">
        <f>$C$117-Z117</f>
        <v>-0.39898516602680734</v>
      </c>
      <c r="AA118" s="318">
        <f>$C$117-AA117</f>
        <v>-4.9456484665401463</v>
      </c>
      <c r="AG118" s="318">
        <f t="shared" ref="AG118:AJ118" si="93">$C$117-AG117</f>
        <v>0.40950839620495239</v>
      </c>
      <c r="AH118" s="318">
        <f t="shared" si="93"/>
        <v>0.11672116216239914</v>
      </c>
      <c r="AI118" s="318">
        <f t="shared" si="93"/>
        <v>0.44650839620495231</v>
      </c>
      <c r="AJ118" s="318">
        <f t="shared" si="93"/>
        <v>-0.36009537737995334</v>
      </c>
    </row>
    <row r="119" spans="2:36">
      <c r="B119" s="334"/>
      <c r="C119" s="334"/>
      <c r="D119" s="318">
        <f>$C$118*D118</f>
        <v>-81.017941663241828</v>
      </c>
      <c r="E119" s="318">
        <f>$C$118*E118</f>
        <v>-75.098768802559505</v>
      </c>
      <c r="F119" s="318">
        <f>$C$118*F118</f>
        <v>-201.86052956263049</v>
      </c>
      <c r="H119" s="318">
        <f>$C$118*H118</f>
        <v>-80.694659124299818</v>
      </c>
      <c r="I119" s="318">
        <f>$C$118*I118</f>
        <v>-336.41665353220901</v>
      </c>
      <c r="J119" s="318">
        <f>$C$118*J118</f>
        <v>134.80863860484786</v>
      </c>
      <c r="P119" s="318">
        <f>$C$118*P118</f>
        <v>199.46012008632934</v>
      </c>
      <c r="Q119" s="318">
        <f>$C$118*Q118</f>
        <v>-139.33043546922613</v>
      </c>
      <c r="S119" s="318">
        <f>$C$118*S118</f>
        <v>228.48569921278812</v>
      </c>
      <c r="T119" s="318">
        <f>$C$118*T118</f>
        <v>-303.18792577974904</v>
      </c>
      <c r="U119" s="318">
        <f>$C$118*U118</f>
        <v>173.30120787926393</v>
      </c>
      <c r="X119" s="318">
        <f>$C$118*X118</f>
        <v>-36.120342200775276</v>
      </c>
      <c r="Y119" s="318">
        <f>$C$118*Y118</f>
        <v>249.75103962655922</v>
      </c>
      <c r="Z119" s="318">
        <f>$C$118*Z118</f>
        <v>-90.449937138277221</v>
      </c>
      <c r="AA119" s="318">
        <f>$C$118*AA118</f>
        <v>-1121.1785073646511</v>
      </c>
      <c r="AG119" s="318">
        <f t="shared" ref="AG119:AJ119" si="94">$C$118*AG118</f>
        <v>92.835553419662702</v>
      </c>
      <c r="AH119" s="318">
        <f t="shared" si="94"/>
        <v>26.460687462215883</v>
      </c>
      <c r="AI119" s="318">
        <f t="shared" si="94"/>
        <v>101.22345341966269</v>
      </c>
      <c r="AJ119" s="318">
        <f t="shared" si="94"/>
        <v>-81.63362205203542</v>
      </c>
    </row>
    <row r="120" spans="2:36">
      <c r="B120" s="334"/>
      <c r="C120" s="334"/>
      <c r="D120" s="325">
        <f>D119*долл</f>
        <v>-7085.0189984504977</v>
      </c>
      <c r="E120" s="325">
        <f>E119*долл</f>
        <v>-6567.3873317838288</v>
      </c>
      <c r="F120" s="325">
        <f>F119*долл</f>
        <v>-17652.703310252036</v>
      </c>
      <c r="H120" s="325">
        <f>H119*долл</f>
        <v>-7056.7479404200194</v>
      </c>
      <c r="I120" s="325">
        <f>I119*долл</f>
        <v>-29419.63635139168</v>
      </c>
      <c r="J120" s="325">
        <f>J119*долл</f>
        <v>11789.015445993946</v>
      </c>
      <c r="P120" s="325">
        <f>P119*долл</f>
        <v>17442.787501549501</v>
      </c>
      <c r="Q120" s="325">
        <f>Q119*долл</f>
        <v>-12184.446581783826</v>
      </c>
      <c r="S120" s="325">
        <f>S119*долл</f>
        <v>19981.074396158321</v>
      </c>
      <c r="T120" s="325">
        <f>T119*долл</f>
        <v>-26513.784109439053</v>
      </c>
      <c r="U120" s="325">
        <f>U119*долл</f>
        <v>15155.190629041632</v>
      </c>
      <c r="X120" s="325">
        <f>X119*долл</f>
        <v>-3158.723925457798</v>
      </c>
      <c r="Y120" s="325">
        <f>Y119*долл</f>
        <v>21840.728415342604</v>
      </c>
      <c r="Z120" s="325">
        <f>Z119*долл</f>
        <v>-7909.8470027423436</v>
      </c>
      <c r="AA120" s="325">
        <f>AA119*долл</f>
        <v>-98047.060469038741</v>
      </c>
      <c r="AG120" s="325">
        <f>AG119*долл</f>
        <v>8118.4691465495034</v>
      </c>
      <c r="AH120" s="325">
        <f>AH119*долл</f>
        <v>2313.9871185707789</v>
      </c>
      <c r="AI120" s="325">
        <f>AI119*долл</f>
        <v>8851.9910015495025</v>
      </c>
      <c r="AJ120" s="325">
        <f>AJ119*долл</f>
        <v>-7138.8602484504981</v>
      </c>
    </row>
    <row r="121" spans="2:36">
      <c r="B121" s="334"/>
      <c r="C121" s="334"/>
      <c r="D121" s="326">
        <f>1+D120/D60</f>
        <v>0.84384698724231111</v>
      </c>
      <c r="E121" s="326">
        <f>1+E120/E60</f>
        <v>0.86688220734090282</v>
      </c>
      <c r="F121" s="326">
        <f>1+F120/F60</f>
        <v>0.67703978078230787</v>
      </c>
      <c r="H121" s="326">
        <f>1+H120/H60</f>
        <v>0.8921536481040504</v>
      </c>
      <c r="I121" s="326">
        <f>1+I120/I60</f>
        <v>0.57578068111472858</v>
      </c>
      <c r="J121" s="326">
        <f>1+J120/J60</f>
        <v>1.5094280419477584</v>
      </c>
      <c r="P121" s="326">
        <f>1+P120/P60</f>
        <v>1.2794480079771799</v>
      </c>
      <c r="Q121" s="326">
        <f>1+Q120/Q60</f>
        <v>0.78332245055084626</v>
      </c>
      <c r="S121" s="326">
        <f>1+S120/S60</f>
        <v>1.6725010657895543</v>
      </c>
      <c r="T121" s="326">
        <f>1+T120/T60</f>
        <v>0.70573076098120224</v>
      </c>
      <c r="U121" s="326">
        <f>1+U120/U60</f>
        <v>1.2927913166133698</v>
      </c>
      <c r="X121" s="326">
        <f>1+X120/X60</f>
        <v>0.94443324573224952</v>
      </c>
      <c r="Y121" s="326">
        <f>1+Y120/Y60</f>
        <v>1.3793622152018477</v>
      </c>
      <c r="Z121" s="326">
        <f>1+Z120/Z60</f>
        <v>0.92355640159595553</v>
      </c>
      <c r="AA121" s="326">
        <f>1+AA120/AA60</f>
        <v>0.43612618132388603</v>
      </c>
      <c r="AG121" s="326">
        <f>1+AG120/AG60</f>
        <v>1.1300217835009281</v>
      </c>
      <c r="AH121" s="326">
        <f>1+AH120/AH60</f>
        <v>1.0361526834512833</v>
      </c>
      <c r="AI121" s="326">
        <f>1+AI120/AI60</f>
        <v>1.105853784845261</v>
      </c>
      <c r="AJ121" s="326">
        <f>1+AJ120/AJ60</f>
        <v>0.90110615935147309</v>
      </c>
    </row>
    <row r="122" spans="2:36">
      <c r="B122" s="335"/>
      <c r="C122" s="336"/>
      <c r="D122" s="337"/>
      <c r="E122" s="337"/>
      <c r="F122" s="337"/>
      <c r="H122" s="337"/>
      <c r="I122" s="337"/>
      <c r="J122" s="337"/>
      <c r="P122" s="337"/>
      <c r="Q122" s="337"/>
      <c r="S122" s="337"/>
      <c r="T122" s="337"/>
      <c r="U122" s="337"/>
      <c r="X122" s="337"/>
      <c r="Y122" s="337"/>
      <c r="Z122" s="337"/>
      <c r="AA122" s="337"/>
      <c r="AG122" s="337"/>
      <c r="AH122" s="337"/>
      <c r="AI122" s="337"/>
      <c r="AJ122" s="337"/>
    </row>
    <row r="123" spans="2:36" ht="14.25">
      <c r="B123" s="334" t="s">
        <v>286</v>
      </c>
      <c r="C123" s="334">
        <v>0.02</v>
      </c>
      <c r="D123" s="340">
        <f>D120/D60</f>
        <v>-0.15615301275768895</v>
      </c>
      <c r="E123" s="340">
        <f>E120/E60</f>
        <v>-0.13311779265909723</v>
      </c>
      <c r="F123" s="340">
        <f>F120/F60</f>
        <v>-0.32296021921769213</v>
      </c>
      <c r="H123" s="340">
        <f>H120/H60</f>
        <v>-0.10784635189594961</v>
      </c>
      <c r="I123" s="340">
        <f>I120/I60</f>
        <v>-0.42421931888527137</v>
      </c>
      <c r="J123" s="340">
        <f>J120/J60</f>
        <v>0.50942804194775826</v>
      </c>
      <c r="P123" s="340">
        <f>P120/P60</f>
        <v>0.27944800797717995</v>
      </c>
      <c r="Q123" s="340">
        <f>Q120/Q60</f>
        <v>-0.21667754944915377</v>
      </c>
      <c r="S123" s="340">
        <f>S120/S60</f>
        <v>0.67250106578955438</v>
      </c>
      <c r="T123" s="340">
        <f>T120/T60</f>
        <v>-0.29426923901879776</v>
      </c>
      <c r="U123" s="340">
        <f>U120/U60</f>
        <v>0.29279131661336971</v>
      </c>
      <c r="X123" s="340">
        <f>X120/X60</f>
        <v>-5.5566754267750443E-2</v>
      </c>
      <c r="Y123" s="340">
        <f>Y120/Y60</f>
        <v>0.3793622152018476</v>
      </c>
      <c r="Z123" s="340">
        <f>Z120/Z60</f>
        <v>-7.6443598404044452E-2</v>
      </c>
      <c r="AA123" s="340">
        <f>AA120/AA60</f>
        <v>-0.56387381867611397</v>
      </c>
      <c r="AG123" s="340">
        <f>AG120/AG60</f>
        <v>0.13002178350092816</v>
      </c>
      <c r="AH123" s="340">
        <f>AH120/AH60</f>
        <v>3.6152683451283328E-2</v>
      </c>
      <c r="AI123" s="340">
        <f>AI120/AI60</f>
        <v>0.10585378484526106</v>
      </c>
      <c r="AJ123" s="340">
        <f>AJ120/AJ60</f>
        <v>-9.8893840648526868E-2</v>
      </c>
    </row>
    <row r="124" spans="2:36" ht="18">
      <c r="B124" s="334"/>
      <c r="C124" s="372">
        <v>0.49169067650109483</v>
      </c>
      <c r="D124" s="324">
        <f>MROUND((1+D123)^$C$124,$C$123)</f>
        <v>0.92</v>
      </c>
      <c r="E124" s="324">
        <f>MROUND((1+E123)^$C$124,$C$123)</f>
        <v>0.94000000000000006</v>
      </c>
      <c r="F124" s="324">
        <f>MROUND((1+F123)^$C$124,$C$123)</f>
        <v>0.82000000000000006</v>
      </c>
      <c r="H124" s="324">
        <f>MROUND((1+H123)^$C$124,$C$123)</f>
        <v>0.94000000000000006</v>
      </c>
      <c r="I124" s="324">
        <f>MROUND((1+I123)^$C$124,$C$123)</f>
        <v>0.76</v>
      </c>
      <c r="J124" s="324">
        <f>MROUND((1+J123)^$C$124,$C$123)</f>
        <v>1.22</v>
      </c>
      <c r="P124" s="324">
        <f>MROUND((1+P123)^$C$124,$C$123)</f>
        <v>1.1200000000000001</v>
      </c>
      <c r="Q124" s="324">
        <f>MROUND((1+Q123)^$C$124,$C$123)</f>
        <v>0.88</v>
      </c>
      <c r="S124" s="324">
        <f>MROUND((1+S123)^$C$124,$C$123)</f>
        <v>1.28</v>
      </c>
      <c r="T124" s="324">
        <f>MROUND((1+T123)^$C$124,$C$123)</f>
        <v>0.84</v>
      </c>
      <c r="U124" s="324">
        <f>MROUND((1+U123)^$C$124,$C$123)</f>
        <v>1.1400000000000001</v>
      </c>
      <c r="X124" s="324">
        <f>MROUND((1+X123)^$C$124,$C$123)</f>
        <v>0.98</v>
      </c>
      <c r="Y124" s="324">
        <f>MROUND((1+Y123)^$C$124,$C$123)</f>
        <v>1.18</v>
      </c>
      <c r="Z124" s="324">
        <f>MROUND((1+Z123)^$C$124,$C$123)</f>
        <v>0.96</v>
      </c>
      <c r="AA124" s="324">
        <f>MROUND((1+AA123)^$C$124,$C$123)</f>
        <v>0.66</v>
      </c>
      <c r="AG124" s="324">
        <f t="shared" ref="AG124:AJ124" si="95">MROUND((1+AG123)^$C$124,$C$123)</f>
        <v>1.06</v>
      </c>
      <c r="AH124" s="324">
        <f t="shared" si="95"/>
        <v>1.02</v>
      </c>
      <c r="AI124" s="324">
        <f t="shared" si="95"/>
        <v>1.06</v>
      </c>
      <c r="AJ124" s="324">
        <f t="shared" si="95"/>
        <v>0.96</v>
      </c>
    </row>
    <row r="125" spans="2:36">
      <c r="B125" s="373" t="s">
        <v>287</v>
      </c>
      <c r="C125" s="74" t="s">
        <v>288</v>
      </c>
      <c r="D125" s="374"/>
      <c r="E125" s="374"/>
      <c r="F125" s="138"/>
      <c r="H125" s="374"/>
      <c r="I125" s="374">
        <v>0.6</v>
      </c>
      <c r="J125" s="374"/>
      <c r="P125" s="374">
        <v>0.6</v>
      </c>
      <c r="Q125" s="374">
        <v>0.6</v>
      </c>
      <c r="T125" s="138"/>
      <c r="U125" s="161"/>
      <c r="Y125" s="138"/>
      <c r="Z125" s="138"/>
      <c r="AA125" s="138"/>
      <c r="AG125" s="138"/>
      <c r="AH125" s="138"/>
      <c r="AI125" s="138"/>
      <c r="AJ125" s="138"/>
    </row>
    <row r="126" spans="2:36">
      <c r="B126" s="375" t="s">
        <v>289</v>
      </c>
      <c r="C126" s="169" t="s">
        <v>290</v>
      </c>
      <c r="D126" s="138"/>
      <c r="E126" s="138"/>
      <c r="F126" s="138"/>
      <c r="H126" s="138"/>
      <c r="I126" s="138"/>
      <c r="J126" s="138"/>
      <c r="P126" s="138"/>
      <c r="Q126" s="138"/>
      <c r="T126" s="138"/>
      <c r="Y126" s="138"/>
      <c r="Z126" s="138"/>
      <c r="AA126" s="138"/>
      <c r="AG126" s="138"/>
      <c r="AH126" s="138"/>
      <c r="AI126" s="138"/>
      <c r="AJ126" s="138"/>
    </row>
    <row r="127" spans="2:36">
      <c r="B127" s="375" t="s">
        <v>291</v>
      </c>
      <c r="C127" s="169" t="s">
        <v>292</v>
      </c>
      <c r="D127" s="138"/>
      <c r="E127" s="138"/>
      <c r="F127" s="138"/>
      <c r="H127" s="138"/>
      <c r="I127" s="138"/>
      <c r="J127" s="138"/>
      <c r="P127" s="138"/>
      <c r="Q127" s="138"/>
      <c r="T127" s="138"/>
      <c r="Y127" s="138"/>
      <c r="Z127" s="138"/>
      <c r="AA127" s="138"/>
      <c r="AG127" s="138"/>
      <c r="AH127" s="138"/>
      <c r="AI127" s="138"/>
      <c r="AJ127" s="138"/>
    </row>
    <row r="128" spans="2:36">
      <c r="B128" s="375" t="s">
        <v>293</v>
      </c>
      <c r="C128" s="169" t="s">
        <v>294</v>
      </c>
      <c r="D128" s="138"/>
      <c r="E128" s="138"/>
      <c r="F128" s="138"/>
      <c r="H128" s="138"/>
      <c r="I128" s="138"/>
      <c r="J128" s="138"/>
      <c r="P128" s="138"/>
      <c r="Q128" s="138"/>
      <c r="T128" s="138"/>
      <c r="Y128" s="138"/>
      <c r="Z128" s="138"/>
      <c r="AA128" s="138"/>
      <c r="AG128" s="138"/>
      <c r="AH128" s="138"/>
      <c r="AI128" s="138"/>
      <c r="AJ128" s="138"/>
    </row>
    <row r="129" spans="2:36">
      <c r="B129" s="373" t="s">
        <v>295</v>
      </c>
      <c r="C129" s="74" t="s">
        <v>296</v>
      </c>
      <c r="D129" s="138"/>
      <c r="E129" s="138"/>
      <c r="F129" s="138"/>
      <c r="H129" s="138"/>
      <c r="I129" s="138"/>
      <c r="J129" s="138"/>
      <c r="P129" s="138"/>
      <c r="Q129" s="138"/>
      <c r="T129" s="138"/>
      <c r="Y129" s="138"/>
      <c r="Z129" s="138"/>
      <c r="AA129" s="138"/>
      <c r="AG129" s="138"/>
      <c r="AH129" s="138"/>
      <c r="AI129" s="138"/>
      <c r="AJ129" s="138"/>
    </row>
    <row r="130" spans="2:36">
      <c r="D130" s="138"/>
      <c r="E130" s="138"/>
      <c r="F130" s="138"/>
      <c r="H130" s="138"/>
      <c r="I130" s="138"/>
      <c r="J130" s="138"/>
      <c r="P130" s="138"/>
      <c r="Q130" s="138"/>
      <c r="T130" s="138"/>
      <c r="Y130" s="138"/>
      <c r="Z130" s="138"/>
      <c r="AA130" s="138"/>
      <c r="AG130" s="138"/>
      <c r="AH130" s="138"/>
      <c r="AI130" s="138"/>
      <c r="AJ130" s="138"/>
    </row>
    <row r="131" spans="2:36">
      <c r="D131" s="138"/>
      <c r="E131" s="138"/>
      <c r="F131" s="138"/>
      <c r="H131" s="138"/>
      <c r="I131" s="138"/>
      <c r="J131" s="138"/>
      <c r="P131" s="138"/>
      <c r="Q131" s="138"/>
      <c r="T131" s="138"/>
      <c r="Y131" s="138"/>
      <c r="Z131" s="138"/>
      <c r="AA131" s="138"/>
      <c r="AG131" s="138"/>
      <c r="AH131" s="138"/>
      <c r="AI131" s="138"/>
      <c r="AJ131" s="138"/>
    </row>
    <row r="132" spans="2:36" ht="14.25">
      <c r="B132" s="376" t="s">
        <v>580</v>
      </c>
      <c r="C132" s="377"/>
      <c r="D132" s="138"/>
      <c r="E132" s="138"/>
      <c r="F132" s="138"/>
      <c r="H132" s="138"/>
      <c r="I132" s="138"/>
      <c r="J132" s="138"/>
      <c r="P132" s="138"/>
      <c r="Q132" s="138"/>
      <c r="T132" s="138"/>
      <c r="X132" s="74"/>
      <c r="Y132" s="138"/>
      <c r="Z132" s="138"/>
      <c r="AA132" s="138"/>
      <c r="AG132" s="138"/>
      <c r="AH132" s="138"/>
      <c r="AI132" s="138"/>
      <c r="AJ132" s="138"/>
    </row>
    <row r="133" spans="2:36">
      <c r="C133" s="281"/>
      <c r="D133" s="138"/>
      <c r="E133" s="138"/>
      <c r="F133" s="138"/>
      <c r="H133" s="138"/>
      <c r="I133" s="138"/>
      <c r="J133" s="138"/>
      <c r="P133" s="138"/>
      <c r="Q133" s="138"/>
      <c r="S133" s="370"/>
      <c r="T133" s="138"/>
      <c r="X133" s="370"/>
      <c r="Y133" s="138"/>
      <c r="Z133" s="138"/>
      <c r="AA133" s="138"/>
      <c r="AG133" s="138"/>
      <c r="AH133" s="138"/>
      <c r="AI133" s="138"/>
      <c r="AJ133" s="138"/>
    </row>
    <row r="134" spans="2:36">
      <c r="B134" s="260" t="s">
        <v>581</v>
      </c>
      <c r="C134" s="278">
        <v>350</v>
      </c>
      <c r="D134" s="138"/>
      <c r="E134" s="138"/>
      <c r="F134" s="138"/>
      <c r="H134" s="138"/>
      <c r="I134" s="138"/>
      <c r="J134" s="138"/>
      <c r="P134" s="138"/>
      <c r="Q134" s="138"/>
      <c r="S134" s="370"/>
      <c r="T134" s="138"/>
      <c r="X134" s="370"/>
      <c r="Y134" s="138"/>
      <c r="Z134" s="138"/>
      <c r="AA134" s="138"/>
      <c r="AG134" s="138"/>
      <c r="AH134" s="138"/>
      <c r="AI134" s="138"/>
      <c r="AJ134" s="138"/>
    </row>
    <row r="135" spans="2:36">
      <c r="B135" s="260" t="s">
        <v>582</v>
      </c>
      <c r="C135" s="278">
        <f>AVERAGE(D32:N32)</f>
        <v>792.43337819950932</v>
      </c>
      <c r="D135" s="138"/>
      <c r="E135" s="138"/>
      <c r="F135" s="138"/>
      <c r="H135" s="138"/>
      <c r="I135" s="138"/>
      <c r="J135" s="138"/>
      <c r="P135" s="138"/>
      <c r="Q135" s="138"/>
      <c r="S135" s="370"/>
      <c r="T135" s="138"/>
      <c r="X135" s="370"/>
      <c r="Y135" s="138"/>
      <c r="Z135" s="138"/>
      <c r="AA135" s="138"/>
      <c r="AG135" s="138"/>
      <c r="AH135" s="138"/>
      <c r="AI135" s="138"/>
      <c r="AJ135" s="138"/>
    </row>
    <row r="136" spans="2:36">
      <c r="B136" s="260" t="s">
        <v>583</v>
      </c>
      <c r="C136" s="281">
        <f>MROUND(C134/C135,0.01)/4</f>
        <v>0.11</v>
      </c>
      <c r="D136" s="138"/>
      <c r="E136" s="138"/>
      <c r="F136" s="138"/>
      <c r="H136" s="138"/>
      <c r="I136" s="138"/>
      <c r="J136" s="138"/>
      <c r="P136" s="138"/>
      <c r="Q136" s="138"/>
      <c r="S136" s="370"/>
      <c r="T136" s="138"/>
      <c r="X136" s="370"/>
      <c r="Y136" s="138"/>
      <c r="Z136" s="138"/>
      <c r="AA136" s="138"/>
      <c r="AG136" s="138"/>
      <c r="AH136" s="138"/>
      <c r="AI136" s="138"/>
      <c r="AJ136" s="138"/>
    </row>
    <row r="137" spans="2:36">
      <c r="D137" s="138"/>
      <c r="E137" s="138"/>
      <c r="F137" s="138"/>
      <c r="H137" s="138"/>
      <c r="I137" s="138"/>
      <c r="J137" s="138"/>
      <c r="P137" s="138"/>
      <c r="Q137" s="138"/>
      <c r="S137" s="370"/>
      <c r="T137" s="138"/>
      <c r="X137" s="370"/>
      <c r="Y137" s="138"/>
      <c r="Z137" s="138"/>
      <c r="AA137" s="138"/>
      <c r="AG137" s="138"/>
      <c r="AH137" s="138"/>
      <c r="AI137" s="138"/>
      <c r="AJ137" s="138"/>
    </row>
    <row r="138" spans="2:36">
      <c r="D138" s="138"/>
      <c r="E138" s="138"/>
      <c r="F138" s="138"/>
      <c r="H138" s="138"/>
      <c r="I138" s="138"/>
      <c r="J138" s="138"/>
      <c r="P138" s="138"/>
      <c r="Q138" s="138"/>
      <c r="S138" s="370"/>
      <c r="T138" s="138"/>
      <c r="X138" s="370"/>
      <c r="Y138" s="138"/>
      <c r="Z138" s="138"/>
      <c r="AA138" s="138"/>
      <c r="AG138" s="138"/>
      <c r="AH138" s="138"/>
      <c r="AI138" s="138"/>
      <c r="AJ138" s="138"/>
    </row>
    <row r="139" spans="2:36">
      <c r="D139" s="138"/>
      <c r="E139" s="138"/>
      <c r="F139" s="138"/>
      <c r="H139" s="138"/>
      <c r="I139" s="138"/>
      <c r="J139" s="138"/>
      <c r="P139" s="138"/>
      <c r="Q139" s="138"/>
      <c r="S139" s="370"/>
      <c r="T139" s="138"/>
      <c r="X139" s="370"/>
      <c r="Y139" s="138"/>
      <c r="Z139" s="138"/>
      <c r="AA139" s="138"/>
      <c r="AG139" s="138"/>
      <c r="AH139" s="138"/>
      <c r="AI139" s="138"/>
      <c r="AJ139" s="138"/>
    </row>
    <row r="140" spans="2:36">
      <c r="D140" s="138"/>
      <c r="E140" s="138"/>
      <c r="F140" s="138"/>
      <c r="H140" s="138"/>
      <c r="I140" s="138"/>
      <c r="J140" s="138"/>
      <c r="P140" s="138"/>
      <c r="Q140" s="138"/>
      <c r="T140" s="138"/>
      <c r="Y140" s="138"/>
      <c r="Z140" s="138"/>
      <c r="AA140" s="138"/>
      <c r="AG140" s="138"/>
      <c r="AH140" s="138"/>
      <c r="AI140" s="138"/>
      <c r="AJ140" s="138"/>
    </row>
    <row r="141" spans="2:36">
      <c r="D141" s="138"/>
      <c r="E141" s="138"/>
      <c r="F141" s="138"/>
      <c r="H141" s="138"/>
      <c r="I141" s="138"/>
      <c r="J141" s="138"/>
      <c r="P141" s="138"/>
      <c r="Q141" s="138"/>
      <c r="T141" s="138"/>
      <c r="Y141" s="138"/>
      <c r="Z141" s="138"/>
      <c r="AA141" s="138"/>
      <c r="AG141" s="138"/>
      <c r="AH141" s="138"/>
      <c r="AI141" s="138"/>
      <c r="AJ141" s="138"/>
    </row>
    <row r="142" spans="2:36">
      <c r="D142" s="138"/>
      <c r="E142" s="138"/>
      <c r="F142" s="138"/>
      <c r="H142" s="138"/>
      <c r="I142" s="138"/>
      <c r="J142" s="138"/>
      <c r="P142" s="138"/>
      <c r="Q142" s="138"/>
      <c r="T142" s="138"/>
      <c r="Y142" s="138"/>
      <c r="Z142" s="138"/>
      <c r="AA142" s="138"/>
      <c r="AG142" s="138"/>
      <c r="AH142" s="138"/>
      <c r="AI142" s="138"/>
      <c r="AJ142" s="138"/>
    </row>
    <row r="143" spans="2:36">
      <c r="D143" s="138"/>
      <c r="E143" s="138"/>
      <c r="F143" s="138"/>
      <c r="H143" s="138"/>
      <c r="I143" s="138"/>
      <c r="J143" s="138"/>
      <c r="P143" s="138"/>
      <c r="Q143" s="138"/>
      <c r="T143" s="138"/>
      <c r="Y143" s="138"/>
      <c r="Z143" s="138"/>
      <c r="AA143" s="138"/>
      <c r="AG143" s="138"/>
      <c r="AH143" s="138"/>
      <c r="AI143" s="138"/>
      <c r="AJ143" s="138"/>
    </row>
    <row r="144" spans="2:36">
      <c r="D144" s="138"/>
      <c r="E144" s="138"/>
      <c r="F144" s="138"/>
      <c r="H144" s="138"/>
      <c r="I144" s="138"/>
      <c r="J144" s="138"/>
      <c r="P144" s="138"/>
      <c r="Q144" s="138"/>
      <c r="T144" s="138"/>
      <c r="Y144" s="138"/>
      <c r="Z144" s="138"/>
      <c r="AA144" s="138"/>
      <c r="AG144" s="138"/>
      <c r="AH144" s="138"/>
      <c r="AI144" s="138"/>
      <c r="AJ144" s="138"/>
    </row>
    <row r="145" spans="4:36">
      <c r="D145" s="138"/>
      <c r="E145" s="138"/>
      <c r="F145" s="138"/>
      <c r="H145" s="138"/>
      <c r="I145" s="138"/>
      <c r="J145" s="138"/>
      <c r="P145" s="138"/>
      <c r="Q145" s="138"/>
      <c r="T145" s="138"/>
      <c r="Y145" s="138"/>
      <c r="Z145" s="138"/>
      <c r="AA145" s="138"/>
      <c r="AG145" s="138"/>
      <c r="AH145" s="138"/>
      <c r="AI145" s="138"/>
      <c r="AJ145" s="138"/>
    </row>
    <row r="146" spans="4:36">
      <c r="D146" s="138"/>
      <c r="E146" s="138"/>
      <c r="F146" s="138"/>
      <c r="H146" s="138"/>
      <c r="I146" s="138"/>
      <c r="J146" s="138"/>
      <c r="P146" s="138"/>
      <c r="Q146" s="138"/>
      <c r="T146" s="138"/>
      <c r="Y146" s="138"/>
      <c r="Z146" s="138"/>
      <c r="AA146" s="138"/>
      <c r="AG146" s="138"/>
      <c r="AH146" s="138"/>
      <c r="AI146" s="138"/>
      <c r="AJ146" s="138"/>
    </row>
    <row r="147" spans="4:36">
      <c r="D147" s="138"/>
      <c r="E147" s="138"/>
      <c r="F147" s="138"/>
      <c r="H147" s="138"/>
      <c r="I147" s="138"/>
      <c r="J147" s="138"/>
      <c r="P147" s="138"/>
      <c r="Q147" s="138"/>
      <c r="T147" s="138"/>
      <c r="Y147" s="138"/>
      <c r="Z147" s="138"/>
      <c r="AA147" s="138"/>
      <c r="AG147" s="138"/>
      <c r="AH147" s="138"/>
      <c r="AI147" s="138"/>
      <c r="AJ147" s="138"/>
    </row>
    <row r="148" spans="4:36">
      <c r="D148" s="138"/>
      <c r="E148" s="138"/>
      <c r="F148" s="138"/>
      <c r="H148" s="138"/>
      <c r="I148" s="138"/>
      <c r="J148" s="138"/>
      <c r="P148" s="138"/>
      <c r="Q148" s="138"/>
      <c r="T148" s="138"/>
      <c r="Y148" s="138"/>
      <c r="Z148" s="138"/>
      <c r="AA148" s="138"/>
      <c r="AG148" s="138"/>
      <c r="AH148" s="138"/>
      <c r="AI148" s="138"/>
      <c r="AJ148" s="138"/>
    </row>
    <row r="149" spans="4:36">
      <c r="D149" s="138"/>
      <c r="E149" s="138"/>
      <c r="F149" s="138"/>
      <c r="H149" s="138"/>
      <c r="I149" s="138"/>
      <c r="J149" s="138"/>
      <c r="P149" s="138"/>
      <c r="Q149" s="138"/>
      <c r="T149" s="138"/>
      <c r="Y149" s="138"/>
      <c r="Z149" s="138"/>
      <c r="AA149" s="138"/>
      <c r="AG149" s="138"/>
      <c r="AH149" s="138"/>
      <c r="AI149" s="138"/>
      <c r="AJ149" s="138"/>
    </row>
    <row r="150" spans="4:36">
      <c r="D150" s="138"/>
      <c r="E150" s="138"/>
      <c r="F150" s="138"/>
      <c r="H150" s="138"/>
      <c r="I150" s="138"/>
      <c r="J150" s="138"/>
      <c r="P150" s="138"/>
      <c r="Q150" s="138"/>
      <c r="T150" s="138"/>
      <c r="Y150" s="138"/>
      <c r="Z150" s="138"/>
      <c r="AA150" s="138"/>
      <c r="AG150" s="138"/>
      <c r="AH150" s="138"/>
      <c r="AI150" s="138"/>
      <c r="AJ150" s="138"/>
    </row>
    <row r="151" spans="4:36">
      <c r="D151" s="138"/>
      <c r="E151" s="138"/>
      <c r="F151" s="138"/>
      <c r="H151" s="138"/>
      <c r="I151" s="138"/>
      <c r="J151" s="138"/>
      <c r="P151" s="138"/>
      <c r="Q151" s="138"/>
      <c r="T151" s="138"/>
      <c r="Y151" s="138"/>
      <c r="Z151" s="138"/>
      <c r="AA151" s="138"/>
      <c r="AG151" s="138"/>
      <c r="AH151" s="138"/>
      <c r="AI151" s="138"/>
      <c r="AJ151" s="138"/>
    </row>
    <row r="152" spans="4:36">
      <c r="D152" s="138"/>
      <c r="E152" s="138"/>
      <c r="F152" s="138"/>
      <c r="H152" s="138"/>
      <c r="I152" s="138"/>
      <c r="J152" s="138"/>
      <c r="P152" s="138"/>
      <c r="Q152" s="138"/>
      <c r="T152" s="138"/>
      <c r="Y152" s="138"/>
      <c r="Z152" s="138"/>
      <c r="AA152" s="138"/>
      <c r="AG152" s="138"/>
      <c r="AH152" s="138"/>
      <c r="AI152" s="138"/>
      <c r="AJ152" s="138"/>
    </row>
    <row r="153" spans="4:36">
      <c r="D153" s="138"/>
      <c r="E153" s="138"/>
      <c r="F153" s="138"/>
      <c r="H153" s="138"/>
      <c r="I153" s="138"/>
      <c r="J153" s="138"/>
      <c r="P153" s="138"/>
      <c r="Q153" s="138"/>
      <c r="T153" s="138"/>
      <c r="Y153" s="138"/>
      <c r="Z153" s="138"/>
      <c r="AA153" s="138"/>
      <c r="AG153" s="138"/>
      <c r="AH153" s="138"/>
      <c r="AI153" s="138"/>
      <c r="AJ153" s="138"/>
    </row>
    <row r="154" spans="4:36">
      <c r="D154" s="138"/>
      <c r="E154" s="138"/>
      <c r="F154" s="138"/>
      <c r="H154" s="138"/>
      <c r="I154" s="138"/>
      <c r="J154" s="138"/>
      <c r="P154" s="138"/>
      <c r="Q154" s="138"/>
      <c r="T154" s="138"/>
      <c r="Y154" s="138"/>
      <c r="Z154" s="138"/>
      <c r="AA154" s="138"/>
      <c r="AG154" s="138"/>
      <c r="AH154" s="138"/>
      <c r="AI154" s="138"/>
      <c r="AJ154" s="138"/>
    </row>
    <row r="155" spans="4:36">
      <c r="D155" s="138"/>
      <c r="E155" s="138"/>
      <c r="F155" s="138"/>
      <c r="H155" s="138"/>
      <c r="I155" s="138"/>
      <c r="J155" s="138"/>
      <c r="P155" s="138"/>
      <c r="Q155" s="138"/>
      <c r="T155" s="138"/>
      <c r="Y155" s="138"/>
      <c r="Z155" s="138"/>
      <c r="AA155" s="138"/>
      <c r="AG155" s="138"/>
      <c r="AH155" s="138"/>
      <c r="AI155" s="138"/>
      <c r="AJ155" s="138"/>
    </row>
    <row r="156" spans="4:36">
      <c r="D156" s="138"/>
      <c r="E156" s="138"/>
      <c r="F156" s="138"/>
      <c r="H156" s="138"/>
      <c r="I156" s="138"/>
      <c r="J156" s="138"/>
      <c r="P156" s="138"/>
      <c r="Q156" s="138"/>
      <c r="T156" s="138"/>
      <c r="Y156" s="138"/>
      <c r="Z156" s="138"/>
      <c r="AA156" s="138"/>
      <c r="AG156" s="138"/>
      <c r="AH156" s="138"/>
      <c r="AI156" s="138"/>
      <c r="AJ156" s="138"/>
    </row>
    <row r="157" spans="4:36">
      <c r="D157" s="138"/>
      <c r="E157" s="138"/>
      <c r="F157" s="138"/>
      <c r="H157" s="138"/>
      <c r="I157" s="138"/>
      <c r="J157" s="138"/>
      <c r="P157" s="138"/>
      <c r="Q157" s="138"/>
      <c r="T157" s="138"/>
      <c r="Y157" s="138"/>
      <c r="Z157" s="138"/>
      <c r="AA157" s="138"/>
      <c r="AG157" s="138"/>
      <c r="AH157" s="138"/>
      <c r="AI157" s="138"/>
      <c r="AJ157" s="138"/>
    </row>
    <row r="158" spans="4:36">
      <c r="D158" s="138"/>
      <c r="E158" s="138"/>
      <c r="F158" s="138"/>
      <c r="H158" s="138"/>
      <c r="I158" s="138"/>
      <c r="J158" s="138"/>
      <c r="P158" s="138"/>
      <c r="Q158" s="138"/>
      <c r="T158" s="138"/>
      <c r="Y158" s="138"/>
      <c r="Z158" s="138"/>
      <c r="AA158" s="138"/>
      <c r="AG158" s="138"/>
      <c r="AH158" s="138"/>
      <c r="AI158" s="138"/>
      <c r="AJ158" s="138"/>
    </row>
    <row r="159" spans="4:36">
      <c r="D159" s="138"/>
      <c r="E159" s="138"/>
      <c r="F159" s="138"/>
      <c r="H159" s="138"/>
      <c r="I159" s="138"/>
      <c r="J159" s="138"/>
      <c r="P159" s="138"/>
      <c r="Q159" s="138"/>
      <c r="T159" s="138"/>
      <c r="Y159" s="138"/>
      <c r="Z159" s="138"/>
      <c r="AA159" s="138"/>
      <c r="AG159" s="138"/>
      <c r="AH159" s="138"/>
      <c r="AI159" s="138"/>
      <c r="AJ159" s="138"/>
    </row>
    <row r="160" spans="4:36">
      <c r="D160" s="138"/>
      <c r="E160" s="138"/>
      <c r="F160" s="138"/>
      <c r="H160" s="138"/>
      <c r="I160" s="138"/>
      <c r="J160" s="138"/>
      <c r="P160" s="138"/>
      <c r="Q160" s="138"/>
      <c r="T160" s="138"/>
      <c r="Y160" s="138"/>
      <c r="Z160" s="138"/>
      <c r="AA160" s="138"/>
      <c r="AG160" s="138"/>
      <c r="AH160" s="138"/>
      <c r="AI160" s="138"/>
      <c r="AJ160" s="138"/>
    </row>
    <row r="161" spans="4:36">
      <c r="D161" s="138"/>
      <c r="E161" s="138"/>
      <c r="F161" s="138"/>
      <c r="H161" s="138"/>
      <c r="I161" s="138"/>
      <c r="J161" s="138"/>
      <c r="P161" s="138"/>
      <c r="Q161" s="138"/>
      <c r="T161" s="138"/>
      <c r="Y161" s="138"/>
      <c r="Z161" s="138"/>
      <c r="AA161" s="138"/>
      <c r="AG161" s="138"/>
      <c r="AH161" s="138"/>
      <c r="AI161" s="138"/>
      <c r="AJ161" s="138"/>
    </row>
    <row r="162" spans="4:36">
      <c r="D162" s="138"/>
      <c r="E162" s="138"/>
      <c r="F162" s="138"/>
      <c r="H162" s="138"/>
      <c r="I162" s="138"/>
      <c r="J162" s="138"/>
      <c r="P162" s="138"/>
      <c r="Q162" s="138"/>
      <c r="T162" s="138"/>
      <c r="Y162" s="138"/>
      <c r="Z162" s="138"/>
      <c r="AA162" s="138"/>
      <c r="AG162" s="138"/>
      <c r="AH162" s="138"/>
      <c r="AI162" s="138"/>
      <c r="AJ162" s="138"/>
    </row>
    <row r="163" spans="4:36">
      <c r="D163" s="138"/>
      <c r="E163" s="138"/>
      <c r="F163" s="138"/>
      <c r="H163" s="138"/>
      <c r="I163" s="138"/>
      <c r="J163" s="138"/>
      <c r="P163" s="138"/>
      <c r="Q163" s="138"/>
      <c r="T163" s="138"/>
      <c r="Y163" s="138"/>
      <c r="Z163" s="138"/>
      <c r="AA163" s="138"/>
      <c r="AG163" s="138"/>
      <c r="AH163" s="138"/>
      <c r="AI163" s="138"/>
      <c r="AJ163" s="138"/>
    </row>
    <row r="164" spans="4:36">
      <c r="D164" s="138"/>
      <c r="E164" s="138"/>
      <c r="F164" s="138"/>
      <c r="H164" s="138"/>
      <c r="I164" s="138"/>
      <c r="J164" s="138"/>
      <c r="P164" s="138"/>
      <c r="Q164" s="138"/>
      <c r="T164" s="138"/>
      <c r="Y164" s="138"/>
      <c r="Z164" s="138"/>
      <c r="AA164" s="138"/>
      <c r="AG164" s="138"/>
      <c r="AH164" s="138"/>
      <c r="AI164" s="138"/>
      <c r="AJ164" s="138"/>
    </row>
    <row r="165" spans="4:36">
      <c r="D165" s="138"/>
      <c r="E165" s="138"/>
      <c r="F165" s="138"/>
      <c r="H165" s="138"/>
      <c r="I165" s="138"/>
      <c r="J165" s="138"/>
      <c r="P165" s="138"/>
      <c r="Q165" s="138"/>
      <c r="T165" s="138"/>
      <c r="Y165" s="138"/>
      <c r="Z165" s="138"/>
      <c r="AA165" s="138"/>
      <c r="AG165" s="138"/>
      <c r="AH165" s="138"/>
      <c r="AI165" s="138"/>
      <c r="AJ165" s="138"/>
    </row>
    <row r="166" spans="4:36">
      <c r="D166" s="138"/>
      <c r="E166" s="138"/>
      <c r="F166" s="138"/>
      <c r="H166" s="138"/>
      <c r="I166" s="138"/>
      <c r="J166" s="138"/>
      <c r="P166" s="138"/>
      <c r="Q166" s="138"/>
      <c r="T166" s="138"/>
      <c r="Y166" s="138"/>
      <c r="Z166" s="138"/>
      <c r="AA166" s="138"/>
      <c r="AG166" s="138"/>
      <c r="AH166" s="138"/>
      <c r="AI166" s="138"/>
      <c r="AJ166" s="138"/>
    </row>
    <row r="167" spans="4:36">
      <c r="D167" s="138"/>
      <c r="E167" s="138"/>
      <c r="F167" s="138"/>
      <c r="H167" s="138"/>
      <c r="I167" s="138"/>
      <c r="J167" s="138"/>
      <c r="P167" s="138"/>
      <c r="Q167" s="138"/>
      <c r="T167" s="138"/>
      <c r="Y167" s="138"/>
      <c r="Z167" s="138"/>
      <c r="AA167" s="138"/>
      <c r="AG167" s="138"/>
      <c r="AH167" s="138"/>
      <c r="AI167" s="138"/>
      <c r="AJ167" s="138"/>
    </row>
    <row r="168" spans="4:36">
      <c r="D168" s="138"/>
      <c r="E168" s="138"/>
      <c r="F168" s="138"/>
      <c r="H168" s="138"/>
      <c r="I168" s="138"/>
      <c r="J168" s="138"/>
      <c r="P168" s="138"/>
      <c r="Q168" s="138"/>
      <c r="T168" s="138"/>
      <c r="Y168" s="138"/>
      <c r="Z168" s="138"/>
      <c r="AA168" s="138"/>
      <c r="AG168" s="138"/>
      <c r="AH168" s="138"/>
      <c r="AI168" s="138"/>
      <c r="AJ168" s="138"/>
    </row>
    <row r="169" spans="4:36">
      <c r="D169" s="138"/>
      <c r="E169" s="138"/>
      <c r="F169" s="138"/>
      <c r="H169" s="138"/>
      <c r="I169" s="138"/>
      <c r="J169" s="138"/>
      <c r="P169" s="138"/>
      <c r="Q169" s="138"/>
      <c r="T169" s="138"/>
      <c r="Y169" s="138"/>
      <c r="Z169" s="138"/>
      <c r="AA169" s="138"/>
      <c r="AG169" s="138"/>
      <c r="AH169" s="138"/>
      <c r="AI169" s="138"/>
      <c r="AJ169" s="138"/>
    </row>
    <row r="170" spans="4:36">
      <c r="D170" s="138"/>
      <c r="E170" s="138"/>
      <c r="F170" s="138"/>
      <c r="H170" s="138"/>
      <c r="I170" s="138"/>
      <c r="J170" s="138"/>
      <c r="P170" s="138"/>
      <c r="Q170" s="138"/>
      <c r="T170" s="138"/>
      <c r="Y170" s="138"/>
      <c r="Z170" s="138"/>
      <c r="AA170" s="138"/>
      <c r="AG170" s="138"/>
      <c r="AH170" s="138"/>
      <c r="AI170" s="138"/>
      <c r="AJ170" s="138"/>
    </row>
    <row r="171" spans="4:36">
      <c r="D171" s="138"/>
      <c r="E171" s="138"/>
      <c r="F171" s="138"/>
      <c r="H171" s="138"/>
      <c r="I171" s="138"/>
      <c r="J171" s="138"/>
      <c r="P171" s="138"/>
      <c r="Q171" s="138"/>
      <c r="T171" s="138"/>
      <c r="Y171" s="138"/>
      <c r="Z171" s="138"/>
      <c r="AA171" s="138"/>
      <c r="AG171" s="138"/>
      <c r="AH171" s="138"/>
      <c r="AI171" s="138"/>
      <c r="AJ171" s="138"/>
    </row>
    <row r="172" spans="4:36">
      <c r="D172" s="138"/>
      <c r="E172" s="138"/>
      <c r="F172" s="138"/>
      <c r="H172" s="138"/>
      <c r="I172" s="138"/>
      <c r="J172" s="138"/>
      <c r="P172" s="138"/>
      <c r="Q172" s="138"/>
      <c r="T172" s="138"/>
      <c r="Y172" s="138"/>
      <c r="Z172" s="138"/>
      <c r="AA172" s="138"/>
      <c r="AG172" s="138"/>
      <c r="AH172" s="138"/>
      <c r="AI172" s="138"/>
      <c r="AJ172" s="138"/>
    </row>
    <row r="173" spans="4:36">
      <c r="D173" s="138"/>
      <c r="E173" s="138"/>
      <c r="F173" s="138"/>
      <c r="H173" s="138"/>
      <c r="I173" s="138"/>
      <c r="J173" s="138"/>
      <c r="P173" s="138"/>
      <c r="Q173" s="138"/>
      <c r="T173" s="138"/>
      <c r="Y173" s="138"/>
      <c r="Z173" s="138"/>
      <c r="AA173" s="138"/>
      <c r="AG173" s="138"/>
      <c r="AH173" s="138"/>
      <c r="AI173" s="138"/>
      <c r="AJ173" s="138"/>
    </row>
    <row r="174" spans="4:36">
      <c r="D174" s="138"/>
      <c r="E174" s="138"/>
      <c r="F174" s="138"/>
      <c r="H174" s="138"/>
      <c r="I174" s="138"/>
      <c r="J174" s="138"/>
      <c r="P174" s="138"/>
      <c r="Q174" s="138"/>
      <c r="T174" s="138"/>
      <c r="Y174" s="138"/>
      <c r="Z174" s="138"/>
      <c r="AA174" s="138"/>
      <c r="AG174" s="138"/>
      <c r="AH174" s="138"/>
      <c r="AI174" s="138"/>
      <c r="AJ174" s="138"/>
    </row>
    <row r="175" spans="4:36">
      <c r="D175" s="138"/>
      <c r="E175" s="138"/>
      <c r="F175" s="138"/>
      <c r="H175" s="138"/>
      <c r="I175" s="138"/>
      <c r="J175" s="138"/>
      <c r="P175" s="138"/>
      <c r="Q175" s="138"/>
      <c r="T175" s="138"/>
      <c r="Y175" s="138"/>
      <c r="Z175" s="138"/>
      <c r="AA175" s="138"/>
      <c r="AG175" s="138"/>
      <c r="AH175" s="138"/>
      <c r="AI175" s="138"/>
      <c r="AJ175" s="138"/>
    </row>
    <row r="176" spans="4:36">
      <c r="D176" s="138"/>
      <c r="E176" s="138"/>
      <c r="F176" s="138"/>
      <c r="H176" s="138"/>
      <c r="I176" s="138"/>
      <c r="J176" s="138"/>
      <c r="P176" s="138"/>
      <c r="Q176" s="138"/>
      <c r="T176" s="138"/>
      <c r="Y176" s="138"/>
      <c r="Z176" s="138"/>
      <c r="AA176" s="138"/>
      <c r="AG176" s="138"/>
      <c r="AH176" s="138"/>
      <c r="AI176" s="138"/>
      <c r="AJ176" s="138"/>
    </row>
    <row r="177" spans="4:36">
      <c r="D177" s="138"/>
      <c r="E177" s="138"/>
      <c r="F177" s="138"/>
      <c r="H177" s="138"/>
      <c r="I177" s="138"/>
      <c r="J177" s="138"/>
      <c r="P177" s="138"/>
      <c r="Q177" s="138"/>
      <c r="T177" s="138"/>
      <c r="Y177" s="138"/>
      <c r="Z177" s="138"/>
      <c r="AA177" s="138"/>
      <c r="AG177" s="138"/>
      <c r="AH177" s="138"/>
      <c r="AI177" s="138"/>
      <c r="AJ177" s="138"/>
    </row>
    <row r="178" spans="4:36">
      <c r="D178" s="138"/>
      <c r="E178" s="138"/>
      <c r="F178" s="138"/>
      <c r="H178" s="138"/>
      <c r="I178" s="138"/>
      <c r="J178" s="138"/>
      <c r="P178" s="138"/>
      <c r="Q178" s="138"/>
      <c r="T178" s="138"/>
      <c r="Y178" s="138"/>
      <c r="Z178" s="138"/>
      <c r="AA178" s="138"/>
      <c r="AG178" s="138"/>
      <c r="AH178" s="138"/>
      <c r="AI178" s="138"/>
      <c r="AJ178" s="138"/>
    </row>
    <row r="179" spans="4:36">
      <c r="D179" s="138"/>
      <c r="E179" s="138"/>
      <c r="F179" s="138"/>
      <c r="H179" s="138"/>
      <c r="I179" s="138"/>
      <c r="J179" s="138"/>
      <c r="P179" s="138"/>
      <c r="Q179" s="138"/>
      <c r="T179" s="138"/>
      <c r="Y179" s="138"/>
      <c r="Z179" s="138"/>
      <c r="AA179" s="138"/>
      <c r="AG179" s="138"/>
      <c r="AH179" s="138"/>
      <c r="AI179" s="138"/>
      <c r="AJ179" s="138"/>
    </row>
    <row r="180" spans="4:36">
      <c r="D180" s="138"/>
      <c r="E180" s="138"/>
      <c r="F180" s="138"/>
      <c r="H180" s="138"/>
      <c r="I180" s="138"/>
      <c r="J180" s="138"/>
      <c r="P180" s="138"/>
      <c r="Q180" s="138"/>
      <c r="T180" s="138"/>
      <c r="Y180" s="138"/>
      <c r="Z180" s="138"/>
      <c r="AA180" s="138"/>
      <c r="AG180" s="138"/>
      <c r="AH180" s="138"/>
      <c r="AI180" s="138"/>
      <c r="AJ180" s="138"/>
    </row>
    <row r="181" spans="4:36">
      <c r="D181" s="138"/>
      <c r="E181" s="138"/>
      <c r="F181" s="138"/>
      <c r="H181" s="138"/>
      <c r="I181" s="138"/>
      <c r="J181" s="138"/>
      <c r="P181" s="138"/>
      <c r="Q181" s="138"/>
      <c r="T181" s="138"/>
      <c r="Y181" s="138"/>
      <c r="Z181" s="138"/>
      <c r="AA181" s="138"/>
      <c r="AG181" s="138"/>
      <c r="AH181" s="138"/>
      <c r="AI181" s="138"/>
      <c r="AJ181" s="138"/>
    </row>
    <row r="182" spans="4:36">
      <c r="D182" s="138"/>
      <c r="E182" s="138"/>
      <c r="F182" s="138"/>
      <c r="H182" s="138"/>
      <c r="I182" s="138"/>
      <c r="J182" s="138"/>
      <c r="P182" s="138"/>
      <c r="Q182" s="138"/>
      <c r="T182" s="138"/>
      <c r="Y182" s="138"/>
      <c r="Z182" s="138"/>
      <c r="AA182" s="138"/>
      <c r="AG182" s="138"/>
      <c r="AH182" s="138"/>
      <c r="AI182" s="138"/>
      <c r="AJ182" s="138"/>
    </row>
    <row r="183" spans="4:36">
      <c r="D183" s="138"/>
      <c r="E183" s="138"/>
      <c r="F183" s="138"/>
      <c r="H183" s="138"/>
      <c r="I183" s="138"/>
      <c r="J183" s="138"/>
      <c r="P183" s="138"/>
      <c r="Q183" s="138"/>
      <c r="T183" s="138"/>
      <c r="Y183" s="138"/>
      <c r="Z183" s="138"/>
      <c r="AA183" s="138"/>
      <c r="AG183" s="138"/>
      <c r="AH183" s="138"/>
      <c r="AI183" s="138"/>
      <c r="AJ183" s="138"/>
    </row>
    <row r="184" spans="4:36">
      <c r="D184" s="138"/>
      <c r="E184" s="138"/>
      <c r="F184" s="138"/>
      <c r="H184" s="138"/>
      <c r="I184" s="138"/>
      <c r="J184" s="138"/>
      <c r="P184" s="138"/>
      <c r="Q184" s="138"/>
      <c r="T184" s="138"/>
      <c r="Y184" s="138"/>
      <c r="Z184" s="138"/>
      <c r="AA184" s="138"/>
      <c r="AG184" s="138"/>
      <c r="AH184" s="138"/>
      <c r="AI184" s="138"/>
      <c r="AJ184" s="138"/>
    </row>
    <row r="185" spans="4:36">
      <c r="D185" s="138"/>
      <c r="E185" s="138"/>
      <c r="F185" s="138"/>
      <c r="H185" s="138"/>
      <c r="I185" s="138"/>
      <c r="J185" s="138"/>
      <c r="P185" s="138"/>
      <c r="Q185" s="138"/>
      <c r="T185" s="138"/>
      <c r="Y185" s="138"/>
      <c r="Z185" s="138"/>
      <c r="AA185" s="138"/>
      <c r="AG185" s="138"/>
      <c r="AH185" s="138"/>
      <c r="AI185" s="138"/>
      <c r="AJ185" s="138"/>
    </row>
    <row r="186" spans="4:36">
      <c r="D186" s="138"/>
      <c r="E186" s="138"/>
      <c r="F186" s="138"/>
      <c r="H186" s="138"/>
      <c r="I186" s="138"/>
      <c r="J186" s="138"/>
      <c r="P186" s="138"/>
      <c r="Q186" s="138"/>
      <c r="T186" s="138"/>
      <c r="Y186" s="138"/>
      <c r="Z186" s="138"/>
      <c r="AA186" s="138"/>
      <c r="AG186" s="138"/>
      <c r="AH186" s="138"/>
      <c r="AI186" s="138"/>
      <c r="AJ186" s="138"/>
    </row>
    <row r="187" spans="4:36">
      <c r="D187" s="138"/>
      <c r="E187" s="138"/>
      <c r="F187" s="138"/>
      <c r="H187" s="138"/>
      <c r="I187" s="138"/>
      <c r="J187" s="138"/>
      <c r="P187" s="138"/>
      <c r="Q187" s="138"/>
      <c r="T187" s="138"/>
      <c r="Y187" s="138"/>
      <c r="Z187" s="138"/>
      <c r="AA187" s="138"/>
      <c r="AG187" s="138"/>
      <c r="AH187" s="138"/>
      <c r="AI187" s="138"/>
      <c r="AJ187" s="138"/>
    </row>
    <row r="188" spans="4:36">
      <c r="D188" s="138"/>
      <c r="E188" s="138"/>
      <c r="F188" s="138"/>
      <c r="H188" s="138"/>
      <c r="I188" s="138"/>
      <c r="J188" s="138"/>
      <c r="P188" s="138"/>
      <c r="Q188" s="138"/>
      <c r="T188" s="138"/>
      <c r="Y188" s="138"/>
      <c r="Z188" s="138"/>
      <c r="AA188" s="138"/>
      <c r="AG188" s="138"/>
      <c r="AH188" s="138"/>
      <c r="AI188" s="138"/>
      <c r="AJ188" s="138"/>
    </row>
    <row r="189" spans="4:36">
      <c r="D189" s="138"/>
      <c r="E189" s="138"/>
      <c r="F189" s="138"/>
      <c r="H189" s="138"/>
      <c r="I189" s="138"/>
      <c r="J189" s="138"/>
      <c r="P189" s="138"/>
      <c r="Q189" s="138"/>
      <c r="T189" s="138"/>
      <c r="Y189" s="138"/>
      <c r="Z189" s="138"/>
      <c r="AA189" s="138"/>
      <c r="AG189" s="138"/>
      <c r="AH189" s="138"/>
      <c r="AI189" s="138"/>
      <c r="AJ189" s="138"/>
    </row>
    <row r="190" spans="4:36">
      <c r="D190" s="138"/>
      <c r="E190" s="138"/>
      <c r="F190" s="138"/>
      <c r="H190" s="138"/>
      <c r="I190" s="138"/>
      <c r="J190" s="138"/>
      <c r="P190" s="138"/>
      <c r="Q190" s="138"/>
      <c r="T190" s="138"/>
      <c r="Y190" s="138"/>
      <c r="Z190" s="138"/>
      <c r="AA190" s="138"/>
      <c r="AG190" s="138"/>
      <c r="AH190" s="138"/>
      <c r="AI190" s="138"/>
      <c r="AJ190" s="138"/>
    </row>
    <row r="191" spans="4:36">
      <c r="D191" s="138"/>
      <c r="E191" s="138"/>
      <c r="F191" s="138"/>
      <c r="H191" s="138"/>
      <c r="I191" s="138"/>
      <c r="J191" s="138"/>
      <c r="P191" s="138"/>
      <c r="Q191" s="138"/>
      <c r="T191" s="138"/>
      <c r="Y191" s="138"/>
      <c r="Z191" s="138"/>
      <c r="AA191" s="138"/>
      <c r="AG191" s="138"/>
      <c r="AH191" s="138"/>
      <c r="AI191" s="138"/>
      <c r="AJ191" s="138"/>
    </row>
    <row r="192" spans="4:36">
      <c r="D192" s="138"/>
      <c r="E192" s="138"/>
      <c r="F192" s="138"/>
      <c r="H192" s="138"/>
      <c r="I192" s="138"/>
      <c r="J192" s="138"/>
      <c r="P192" s="138"/>
      <c r="Q192" s="138"/>
      <c r="T192" s="138"/>
      <c r="Y192" s="138"/>
      <c r="Z192" s="138"/>
      <c r="AA192" s="138"/>
      <c r="AG192" s="138"/>
      <c r="AH192" s="138"/>
      <c r="AI192" s="138"/>
      <c r="AJ192" s="138"/>
    </row>
    <row r="193" spans="4:36">
      <c r="D193" s="138"/>
      <c r="E193" s="138"/>
      <c r="F193" s="138"/>
      <c r="H193" s="138"/>
      <c r="I193" s="138"/>
      <c r="J193" s="138"/>
      <c r="P193" s="138"/>
      <c r="Q193" s="138"/>
      <c r="T193" s="138"/>
      <c r="Y193" s="138"/>
      <c r="Z193" s="138"/>
      <c r="AA193" s="138"/>
      <c r="AG193" s="138"/>
      <c r="AH193" s="138"/>
      <c r="AI193" s="138"/>
      <c r="AJ193" s="138"/>
    </row>
    <row r="194" spans="4:36">
      <c r="D194" s="138"/>
      <c r="E194" s="138"/>
      <c r="F194" s="138"/>
      <c r="H194" s="138"/>
      <c r="I194" s="138"/>
      <c r="J194" s="138"/>
      <c r="P194" s="138"/>
      <c r="Q194" s="138"/>
      <c r="T194" s="138"/>
      <c r="Y194" s="138"/>
      <c r="Z194" s="138"/>
      <c r="AA194" s="138"/>
      <c r="AG194" s="138"/>
      <c r="AH194" s="138"/>
      <c r="AI194" s="138"/>
      <c r="AJ194" s="138"/>
    </row>
    <row r="195" spans="4:36">
      <c r="D195" s="138"/>
      <c r="E195" s="138"/>
      <c r="F195" s="138"/>
      <c r="H195" s="138"/>
      <c r="I195" s="138"/>
      <c r="J195" s="138"/>
      <c r="P195" s="138"/>
      <c r="Q195" s="138"/>
      <c r="T195" s="138"/>
      <c r="Y195" s="138"/>
      <c r="Z195" s="138"/>
      <c r="AA195" s="138"/>
      <c r="AG195" s="138"/>
      <c r="AH195" s="138"/>
      <c r="AI195" s="138"/>
      <c r="AJ195" s="138"/>
    </row>
    <row r="196" spans="4:36">
      <c r="D196" s="138"/>
      <c r="E196" s="138"/>
      <c r="F196" s="138"/>
      <c r="H196" s="138"/>
      <c r="I196" s="138"/>
      <c r="J196" s="138"/>
      <c r="P196" s="138"/>
      <c r="Q196" s="138"/>
      <c r="T196" s="138"/>
      <c r="Y196" s="138"/>
      <c r="Z196" s="138"/>
      <c r="AA196" s="138"/>
      <c r="AG196" s="138"/>
      <c r="AH196" s="138"/>
      <c r="AI196" s="138"/>
      <c r="AJ196" s="138"/>
    </row>
    <row r="197" spans="4:36">
      <c r="D197" s="138"/>
      <c r="E197" s="138"/>
      <c r="F197" s="138"/>
      <c r="H197" s="138"/>
      <c r="I197" s="138"/>
      <c r="J197" s="138"/>
      <c r="P197" s="138"/>
      <c r="Q197" s="138"/>
      <c r="T197" s="138"/>
      <c r="Y197" s="138"/>
      <c r="Z197" s="138"/>
      <c r="AA197" s="138"/>
      <c r="AG197" s="138"/>
      <c r="AH197" s="138"/>
      <c r="AI197" s="138"/>
      <c r="AJ197" s="138"/>
    </row>
    <row r="198" spans="4:36">
      <c r="D198" s="138"/>
      <c r="E198" s="138"/>
      <c r="F198" s="138"/>
      <c r="H198" s="138"/>
      <c r="I198" s="138"/>
      <c r="J198" s="138"/>
      <c r="P198" s="138"/>
      <c r="Q198" s="138"/>
      <c r="T198" s="138"/>
      <c r="Y198" s="138"/>
      <c r="Z198" s="138"/>
      <c r="AA198" s="138"/>
      <c r="AG198" s="138"/>
      <c r="AH198" s="138"/>
      <c r="AI198" s="138"/>
      <c r="AJ198" s="138"/>
    </row>
    <row r="199" spans="4:36">
      <c r="D199" s="138"/>
      <c r="E199" s="138"/>
      <c r="F199" s="138"/>
      <c r="H199" s="138"/>
      <c r="I199" s="138"/>
      <c r="J199" s="138"/>
      <c r="P199" s="138"/>
      <c r="Q199" s="138"/>
      <c r="T199" s="138"/>
      <c r="Y199" s="138"/>
      <c r="Z199" s="138"/>
      <c r="AA199" s="138"/>
      <c r="AG199" s="138"/>
      <c r="AH199" s="138"/>
      <c r="AI199" s="138"/>
      <c r="AJ199" s="138"/>
    </row>
    <row r="200" spans="4:36">
      <c r="D200" s="138"/>
      <c r="E200" s="138"/>
      <c r="F200" s="138"/>
      <c r="H200" s="138"/>
      <c r="I200" s="138"/>
      <c r="J200" s="138"/>
      <c r="P200" s="138"/>
      <c r="Q200" s="138"/>
      <c r="T200" s="138"/>
      <c r="Y200" s="138"/>
      <c r="Z200" s="138"/>
      <c r="AA200" s="138"/>
      <c r="AG200" s="138"/>
      <c r="AH200" s="138"/>
      <c r="AI200" s="138"/>
      <c r="AJ200" s="138"/>
    </row>
    <row r="201" spans="4:36">
      <c r="D201" s="138"/>
      <c r="E201" s="138"/>
      <c r="F201" s="138"/>
      <c r="H201" s="138"/>
      <c r="I201" s="138"/>
      <c r="J201" s="138"/>
      <c r="P201" s="138"/>
      <c r="Q201" s="138"/>
      <c r="T201" s="138"/>
      <c r="Y201" s="138"/>
      <c r="Z201" s="138"/>
      <c r="AA201" s="138"/>
      <c r="AG201" s="138"/>
      <c r="AH201" s="138"/>
      <c r="AI201" s="138"/>
      <c r="AJ201" s="138"/>
    </row>
    <row r="202" spans="4:36">
      <c r="D202" s="138"/>
      <c r="E202" s="138"/>
      <c r="F202" s="138"/>
      <c r="H202" s="138"/>
      <c r="I202" s="138"/>
      <c r="J202" s="138"/>
      <c r="P202" s="138"/>
      <c r="Q202" s="138"/>
      <c r="T202" s="138"/>
      <c r="Y202" s="138"/>
      <c r="Z202" s="138"/>
      <c r="AA202" s="138"/>
      <c r="AG202" s="138"/>
      <c r="AH202" s="138"/>
      <c r="AI202" s="138"/>
      <c r="AJ202" s="138"/>
    </row>
    <row r="203" spans="4:36">
      <c r="D203" s="138"/>
      <c r="E203" s="138"/>
      <c r="F203" s="138"/>
      <c r="H203" s="138"/>
      <c r="I203" s="138"/>
      <c r="J203" s="138"/>
      <c r="P203" s="138"/>
      <c r="Q203" s="138"/>
      <c r="T203" s="138"/>
      <c r="Y203" s="138"/>
      <c r="Z203" s="138"/>
      <c r="AA203" s="138"/>
      <c r="AG203" s="138"/>
      <c r="AH203" s="138"/>
      <c r="AI203" s="138"/>
      <c r="AJ203" s="138"/>
    </row>
    <row r="204" spans="4:36">
      <c r="D204" s="138"/>
      <c r="E204" s="138"/>
      <c r="F204" s="138"/>
      <c r="H204" s="138"/>
      <c r="I204" s="138"/>
      <c r="J204" s="138"/>
      <c r="P204" s="138"/>
      <c r="Q204" s="138"/>
      <c r="T204" s="138"/>
      <c r="Y204" s="138"/>
      <c r="Z204" s="138"/>
      <c r="AA204" s="138"/>
      <c r="AG204" s="138"/>
      <c r="AH204" s="138"/>
      <c r="AI204" s="138"/>
      <c r="AJ204" s="138"/>
    </row>
    <row r="205" spans="4:36">
      <c r="D205" s="138"/>
      <c r="E205" s="138"/>
      <c r="F205" s="138"/>
      <c r="H205" s="138"/>
      <c r="I205" s="138"/>
      <c r="J205" s="138"/>
      <c r="P205" s="138"/>
      <c r="Q205" s="138"/>
      <c r="T205" s="138"/>
      <c r="Y205" s="138"/>
      <c r="Z205" s="138"/>
      <c r="AA205" s="138"/>
      <c r="AG205" s="138"/>
      <c r="AH205" s="138"/>
      <c r="AI205" s="138"/>
      <c r="AJ205" s="138"/>
    </row>
    <row r="206" spans="4:36">
      <c r="D206" s="138"/>
      <c r="E206" s="138"/>
      <c r="F206" s="138"/>
      <c r="H206" s="138"/>
      <c r="I206" s="138"/>
      <c r="J206" s="138"/>
      <c r="P206" s="138"/>
      <c r="Q206" s="138"/>
      <c r="T206" s="138"/>
      <c r="Y206" s="138"/>
      <c r="Z206" s="138"/>
      <c r="AA206" s="138"/>
      <c r="AG206" s="138"/>
      <c r="AH206" s="138"/>
      <c r="AI206" s="138"/>
      <c r="AJ206" s="138"/>
    </row>
    <row r="207" spans="4:36">
      <c r="D207" s="138"/>
      <c r="E207" s="138"/>
      <c r="F207" s="138"/>
      <c r="H207" s="138"/>
      <c r="I207" s="138"/>
      <c r="J207" s="138"/>
      <c r="P207" s="138"/>
      <c r="Q207" s="138"/>
      <c r="T207" s="138"/>
      <c r="Y207" s="138"/>
      <c r="Z207" s="138"/>
      <c r="AA207" s="138"/>
      <c r="AG207" s="138"/>
      <c r="AH207" s="138"/>
      <c r="AI207" s="138"/>
      <c r="AJ207" s="138"/>
    </row>
    <row r="208" spans="4:36">
      <c r="D208" s="138"/>
      <c r="E208" s="138"/>
      <c r="F208" s="138"/>
      <c r="H208" s="138"/>
      <c r="I208" s="138"/>
      <c r="J208" s="138"/>
      <c r="P208" s="138"/>
      <c r="Q208" s="138"/>
      <c r="T208" s="138"/>
      <c r="Y208" s="138"/>
      <c r="Z208" s="138"/>
      <c r="AA208" s="138"/>
      <c r="AG208" s="138"/>
      <c r="AH208" s="138"/>
      <c r="AI208" s="138"/>
      <c r="AJ208" s="138"/>
    </row>
    <row r="209" spans="4:36">
      <c r="D209" s="138"/>
      <c r="E209" s="138"/>
      <c r="F209" s="138"/>
      <c r="H209" s="138"/>
      <c r="I209" s="138"/>
      <c r="J209" s="138"/>
      <c r="P209" s="138"/>
      <c r="Q209" s="138"/>
      <c r="T209" s="138"/>
      <c r="Y209" s="138"/>
      <c r="Z209" s="138"/>
      <c r="AA209" s="138"/>
      <c r="AG209" s="138"/>
      <c r="AH209" s="138"/>
      <c r="AI209" s="138"/>
      <c r="AJ209" s="138"/>
    </row>
    <row r="210" spans="4:36">
      <c r="D210" s="138"/>
      <c r="E210" s="138"/>
      <c r="F210" s="138"/>
      <c r="H210" s="138"/>
      <c r="I210" s="138"/>
      <c r="J210" s="138"/>
      <c r="P210" s="138"/>
      <c r="Q210" s="138"/>
      <c r="T210" s="138"/>
      <c r="Y210" s="138"/>
      <c r="Z210" s="138"/>
      <c r="AA210" s="138"/>
      <c r="AG210" s="138"/>
      <c r="AH210" s="138"/>
      <c r="AI210" s="138"/>
      <c r="AJ210" s="138"/>
    </row>
    <row r="211" spans="4:36">
      <c r="D211" s="138"/>
      <c r="E211" s="138"/>
      <c r="F211" s="138"/>
      <c r="H211" s="138"/>
      <c r="I211" s="138"/>
      <c r="J211" s="138"/>
      <c r="P211" s="138"/>
      <c r="Q211" s="138"/>
      <c r="T211" s="138"/>
      <c r="Y211" s="138"/>
      <c r="Z211" s="138"/>
      <c r="AA211" s="138"/>
      <c r="AG211" s="138"/>
      <c r="AH211" s="138"/>
      <c r="AI211" s="138"/>
      <c r="AJ211" s="138"/>
    </row>
    <row r="212" spans="4:36">
      <c r="D212" s="138"/>
      <c r="E212" s="138"/>
      <c r="F212" s="138"/>
      <c r="H212" s="138"/>
      <c r="I212" s="138"/>
      <c r="J212" s="138"/>
      <c r="P212" s="138"/>
      <c r="Q212" s="138"/>
      <c r="T212" s="138"/>
      <c r="Y212" s="138"/>
      <c r="Z212" s="138"/>
      <c r="AA212" s="138"/>
      <c r="AG212" s="138"/>
      <c r="AH212" s="138"/>
      <c r="AI212" s="138"/>
      <c r="AJ212" s="138"/>
    </row>
    <row r="213" spans="4:36">
      <c r="D213" s="138"/>
      <c r="E213" s="138"/>
      <c r="F213" s="138"/>
      <c r="H213" s="138"/>
      <c r="I213" s="138"/>
      <c r="J213" s="138"/>
      <c r="P213" s="138"/>
      <c r="Q213" s="138"/>
      <c r="T213" s="138"/>
      <c r="Y213" s="138"/>
      <c r="Z213" s="138"/>
      <c r="AA213" s="138"/>
      <c r="AG213" s="138"/>
      <c r="AH213" s="138"/>
      <c r="AI213" s="138"/>
      <c r="AJ213" s="138"/>
    </row>
    <row r="214" spans="4:36">
      <c r="D214" s="138"/>
      <c r="E214" s="138"/>
      <c r="F214" s="138"/>
      <c r="H214" s="138"/>
      <c r="I214" s="138"/>
      <c r="J214" s="138"/>
      <c r="P214" s="138"/>
      <c r="Q214" s="138"/>
      <c r="T214" s="138"/>
      <c r="Y214" s="138"/>
      <c r="Z214" s="138"/>
      <c r="AA214" s="138"/>
      <c r="AG214" s="138"/>
      <c r="AH214" s="138"/>
      <c r="AI214" s="138"/>
      <c r="AJ214" s="138"/>
    </row>
    <row r="215" spans="4:36">
      <c r="D215" s="138"/>
      <c r="E215" s="138"/>
      <c r="F215" s="138"/>
      <c r="H215" s="138"/>
      <c r="I215" s="138"/>
      <c r="J215" s="138"/>
      <c r="P215" s="138"/>
      <c r="Q215" s="138"/>
      <c r="T215" s="138"/>
      <c r="Y215" s="138"/>
      <c r="Z215" s="138"/>
      <c r="AA215" s="138"/>
      <c r="AG215" s="138"/>
      <c r="AH215" s="138"/>
      <c r="AI215" s="138"/>
      <c r="AJ215" s="138"/>
    </row>
    <row r="216" spans="4:36">
      <c r="D216" s="138"/>
      <c r="E216" s="138"/>
      <c r="F216" s="138"/>
      <c r="H216" s="138"/>
      <c r="I216" s="138"/>
      <c r="J216" s="138"/>
      <c r="P216" s="138"/>
      <c r="Q216" s="138"/>
      <c r="T216" s="138"/>
      <c r="Y216" s="138"/>
      <c r="Z216" s="138"/>
      <c r="AA216" s="138"/>
      <c r="AG216" s="138"/>
      <c r="AH216" s="138"/>
      <c r="AI216" s="138"/>
      <c r="AJ216" s="138"/>
    </row>
    <row r="217" spans="4:36">
      <c r="D217" s="138"/>
      <c r="E217" s="138"/>
      <c r="F217" s="138"/>
      <c r="H217" s="138"/>
      <c r="I217" s="138"/>
      <c r="J217" s="138"/>
      <c r="P217" s="138"/>
      <c r="Q217" s="138"/>
      <c r="T217" s="138"/>
      <c r="Y217" s="138"/>
      <c r="Z217" s="138"/>
      <c r="AA217" s="138"/>
      <c r="AG217" s="138"/>
      <c r="AH217" s="138"/>
      <c r="AI217" s="138"/>
      <c r="AJ217" s="138"/>
    </row>
    <row r="218" spans="4:36">
      <c r="D218" s="138"/>
      <c r="E218" s="138"/>
      <c r="F218" s="138"/>
      <c r="H218" s="138"/>
      <c r="I218" s="138"/>
      <c r="J218" s="138"/>
      <c r="P218" s="138"/>
      <c r="Q218" s="138"/>
      <c r="T218" s="138"/>
      <c r="Y218" s="138"/>
      <c r="Z218" s="138"/>
      <c r="AA218" s="138"/>
      <c r="AG218" s="138"/>
      <c r="AH218" s="138"/>
      <c r="AI218" s="138"/>
      <c r="AJ218" s="138"/>
    </row>
    <row r="219" spans="4:36">
      <c r="D219" s="138"/>
      <c r="E219" s="138"/>
      <c r="F219" s="138"/>
      <c r="H219" s="138"/>
      <c r="I219" s="138"/>
      <c r="J219" s="138"/>
      <c r="P219" s="138"/>
      <c r="Q219" s="138"/>
      <c r="T219" s="138"/>
      <c r="Y219" s="138"/>
      <c r="Z219" s="138"/>
      <c r="AA219" s="138"/>
      <c r="AG219" s="138"/>
      <c r="AH219" s="138"/>
      <c r="AI219" s="138"/>
      <c r="AJ219" s="138"/>
    </row>
    <row r="220" spans="4:36">
      <c r="D220" s="138"/>
      <c r="E220" s="138"/>
      <c r="F220" s="138"/>
      <c r="H220" s="138"/>
      <c r="I220" s="138"/>
      <c r="J220" s="138"/>
      <c r="P220" s="138"/>
      <c r="Q220" s="138"/>
      <c r="T220" s="138"/>
      <c r="Y220" s="138"/>
      <c r="Z220" s="138"/>
      <c r="AA220" s="138"/>
      <c r="AG220" s="138"/>
      <c r="AH220" s="138"/>
      <c r="AI220" s="138"/>
      <c r="AJ220" s="138"/>
    </row>
    <row r="221" spans="4:36">
      <c r="D221" s="138"/>
      <c r="E221" s="138"/>
      <c r="F221" s="138"/>
      <c r="H221" s="138"/>
      <c r="I221" s="138"/>
      <c r="J221" s="138"/>
      <c r="P221" s="138"/>
      <c r="Q221" s="138"/>
      <c r="T221" s="138"/>
      <c r="Y221" s="138"/>
      <c r="Z221" s="138"/>
      <c r="AA221" s="138"/>
      <c r="AG221" s="138"/>
      <c r="AH221" s="138"/>
      <c r="AI221" s="138"/>
      <c r="AJ221" s="138"/>
    </row>
    <row r="222" spans="4:36">
      <c r="D222" s="138"/>
      <c r="E222" s="138"/>
      <c r="F222" s="138"/>
      <c r="H222" s="138"/>
      <c r="I222" s="138"/>
      <c r="J222" s="138"/>
      <c r="P222" s="138"/>
      <c r="Q222" s="138"/>
      <c r="T222" s="138"/>
      <c r="Y222" s="138"/>
      <c r="Z222" s="138"/>
      <c r="AA222" s="138"/>
      <c r="AG222" s="138"/>
      <c r="AH222" s="138"/>
      <c r="AI222" s="138"/>
      <c r="AJ222" s="138"/>
    </row>
    <row r="223" spans="4:36">
      <c r="D223" s="138"/>
      <c r="E223" s="138"/>
      <c r="F223" s="138"/>
      <c r="H223" s="138"/>
      <c r="I223" s="138"/>
      <c r="J223" s="138"/>
      <c r="P223" s="138"/>
      <c r="Q223" s="138"/>
      <c r="T223" s="138"/>
      <c r="Y223" s="138"/>
      <c r="Z223" s="138"/>
      <c r="AA223" s="138"/>
      <c r="AG223" s="138"/>
      <c r="AH223" s="138"/>
      <c r="AI223" s="138"/>
      <c r="AJ223" s="138"/>
    </row>
    <row r="224" spans="4:36">
      <c r="D224" s="138"/>
      <c r="E224" s="138"/>
      <c r="F224" s="138"/>
      <c r="H224" s="138"/>
      <c r="I224" s="138"/>
      <c r="J224" s="138"/>
      <c r="P224" s="138"/>
      <c r="Q224" s="138"/>
      <c r="T224" s="138"/>
      <c r="Y224" s="138"/>
      <c r="Z224" s="138"/>
      <c r="AA224" s="138"/>
      <c r="AG224" s="138"/>
      <c r="AH224" s="138"/>
      <c r="AI224" s="138"/>
      <c r="AJ224" s="138"/>
    </row>
    <row r="225" spans="4:36">
      <c r="D225" s="138"/>
      <c r="E225" s="138"/>
      <c r="F225" s="138"/>
      <c r="H225" s="138"/>
      <c r="I225" s="138"/>
      <c r="J225" s="138"/>
      <c r="P225" s="138"/>
      <c r="Q225" s="138"/>
      <c r="T225" s="138"/>
      <c r="Y225" s="138"/>
      <c r="Z225" s="138"/>
      <c r="AA225" s="138"/>
      <c r="AG225" s="138"/>
      <c r="AH225" s="138"/>
      <c r="AI225" s="138"/>
      <c r="AJ225" s="138"/>
    </row>
    <row r="226" spans="4:36">
      <c r="D226" s="138"/>
      <c r="E226" s="138"/>
      <c r="F226" s="138"/>
      <c r="H226" s="138"/>
      <c r="I226" s="138"/>
      <c r="J226" s="138"/>
      <c r="P226" s="138"/>
      <c r="Q226" s="138"/>
      <c r="T226" s="138"/>
      <c r="Y226" s="138"/>
      <c r="Z226" s="138"/>
      <c r="AA226" s="138"/>
      <c r="AG226" s="138"/>
      <c r="AH226" s="138"/>
      <c r="AI226" s="138"/>
      <c r="AJ226" s="138"/>
    </row>
    <row r="227" spans="4:36">
      <c r="D227" s="138"/>
      <c r="E227" s="138"/>
      <c r="F227" s="138"/>
      <c r="H227" s="138"/>
      <c r="I227" s="138"/>
      <c r="J227" s="138"/>
      <c r="P227" s="138"/>
      <c r="Q227" s="138"/>
      <c r="T227" s="138"/>
      <c r="Y227" s="138"/>
      <c r="Z227" s="138"/>
      <c r="AA227" s="138"/>
      <c r="AG227" s="138"/>
      <c r="AH227" s="138"/>
      <c r="AI227" s="138"/>
      <c r="AJ227" s="138"/>
    </row>
    <row r="228" spans="4:36">
      <c r="D228" s="138"/>
      <c r="E228" s="138"/>
      <c r="F228" s="138"/>
      <c r="H228" s="138"/>
      <c r="I228" s="138"/>
      <c r="J228" s="138"/>
      <c r="P228" s="138"/>
      <c r="Q228" s="138"/>
      <c r="T228" s="138"/>
      <c r="Y228" s="138"/>
      <c r="Z228" s="138"/>
      <c r="AA228" s="138"/>
      <c r="AG228" s="138"/>
      <c r="AH228" s="138"/>
      <c r="AI228" s="138"/>
      <c r="AJ228" s="138"/>
    </row>
    <row r="229" spans="4:36">
      <c r="D229" s="138"/>
      <c r="E229" s="138"/>
      <c r="F229" s="138"/>
      <c r="H229" s="138"/>
      <c r="I229" s="138"/>
      <c r="J229" s="138"/>
      <c r="P229" s="138"/>
      <c r="Q229" s="138"/>
      <c r="T229" s="138"/>
      <c r="Y229" s="138"/>
      <c r="Z229" s="138"/>
      <c r="AA229" s="138"/>
      <c r="AG229" s="138"/>
      <c r="AH229" s="138"/>
      <c r="AI229" s="138"/>
      <c r="AJ229" s="138"/>
    </row>
    <row r="230" spans="4:36">
      <c r="D230" s="138"/>
      <c r="E230" s="138"/>
      <c r="F230" s="138"/>
      <c r="H230" s="138"/>
      <c r="I230" s="138"/>
      <c r="J230" s="138"/>
      <c r="P230" s="138"/>
      <c r="Q230" s="138"/>
      <c r="T230" s="138"/>
      <c r="Y230" s="138"/>
      <c r="Z230" s="138"/>
      <c r="AA230" s="138"/>
      <c r="AG230" s="138"/>
      <c r="AH230" s="138"/>
      <c r="AI230" s="138"/>
      <c r="AJ230" s="138"/>
    </row>
    <row r="231" spans="4:36">
      <c r="D231" s="138"/>
      <c r="E231" s="138"/>
      <c r="F231" s="138"/>
      <c r="H231" s="138"/>
      <c r="I231" s="138"/>
      <c r="J231" s="138"/>
      <c r="P231" s="138"/>
      <c r="Q231" s="138"/>
      <c r="T231" s="138"/>
      <c r="Y231" s="138"/>
      <c r="Z231" s="138"/>
      <c r="AA231" s="138"/>
      <c r="AG231" s="138"/>
      <c r="AH231" s="138"/>
      <c r="AI231" s="138"/>
      <c r="AJ231" s="138"/>
    </row>
    <row r="232" spans="4:36">
      <c r="D232" s="138"/>
      <c r="E232" s="138"/>
      <c r="F232" s="138"/>
      <c r="H232" s="138"/>
      <c r="I232" s="138"/>
      <c r="J232" s="138"/>
      <c r="P232" s="138"/>
      <c r="Q232" s="138"/>
      <c r="T232" s="138"/>
      <c r="Y232" s="138"/>
      <c r="Z232" s="138"/>
      <c r="AA232" s="138"/>
      <c r="AG232" s="138"/>
      <c r="AH232" s="138"/>
      <c r="AI232" s="138"/>
      <c r="AJ232" s="138"/>
    </row>
    <row r="233" spans="4:36">
      <c r="D233" s="138"/>
      <c r="E233" s="138"/>
      <c r="F233" s="138"/>
      <c r="H233" s="138"/>
      <c r="I233" s="138"/>
      <c r="J233" s="138"/>
      <c r="P233" s="138"/>
      <c r="Q233" s="138"/>
      <c r="T233" s="138"/>
      <c r="Y233" s="138"/>
      <c r="Z233" s="138"/>
      <c r="AA233" s="138"/>
      <c r="AG233" s="138"/>
      <c r="AH233" s="138"/>
      <c r="AI233" s="138"/>
      <c r="AJ233" s="138"/>
    </row>
    <row r="234" spans="4:36">
      <c r="D234" s="138"/>
      <c r="E234" s="138"/>
      <c r="F234" s="138"/>
      <c r="H234" s="138"/>
      <c r="I234" s="138"/>
      <c r="J234" s="138"/>
      <c r="P234" s="138"/>
      <c r="Q234" s="138"/>
      <c r="T234" s="138"/>
      <c r="Y234" s="138"/>
      <c r="Z234" s="138"/>
      <c r="AA234" s="138"/>
      <c r="AG234" s="138"/>
      <c r="AH234" s="138"/>
      <c r="AI234" s="138"/>
      <c r="AJ234" s="138"/>
    </row>
    <row r="235" spans="4:36">
      <c r="D235" s="138"/>
      <c r="E235" s="138"/>
      <c r="F235" s="138"/>
      <c r="H235" s="138"/>
      <c r="I235" s="138"/>
      <c r="J235" s="138"/>
      <c r="P235" s="138"/>
      <c r="Q235" s="138"/>
      <c r="T235" s="138"/>
      <c r="Y235" s="138"/>
      <c r="Z235" s="138"/>
      <c r="AA235" s="138"/>
      <c r="AG235" s="138"/>
      <c r="AH235" s="138"/>
      <c r="AI235" s="138"/>
      <c r="AJ235" s="138"/>
    </row>
    <row r="236" spans="4:36">
      <c r="D236" s="138"/>
      <c r="E236" s="138"/>
      <c r="F236" s="138"/>
      <c r="H236" s="138"/>
      <c r="I236" s="138"/>
      <c r="J236" s="138"/>
      <c r="P236" s="138"/>
      <c r="Q236" s="138"/>
      <c r="T236" s="138"/>
      <c r="Y236" s="138"/>
      <c r="Z236" s="138"/>
      <c r="AA236" s="138"/>
      <c r="AG236" s="138"/>
      <c r="AH236" s="138"/>
      <c r="AI236" s="138"/>
      <c r="AJ236" s="138"/>
    </row>
    <row r="237" spans="4:36">
      <c r="D237" s="138"/>
      <c r="E237" s="138"/>
      <c r="F237" s="138"/>
      <c r="H237" s="138"/>
      <c r="I237" s="138"/>
      <c r="J237" s="138"/>
      <c r="P237" s="138"/>
      <c r="Q237" s="138"/>
      <c r="T237" s="138"/>
      <c r="Y237" s="138"/>
      <c r="Z237" s="138"/>
      <c r="AA237" s="138"/>
      <c r="AG237" s="138"/>
      <c r="AH237" s="138"/>
      <c r="AI237" s="138"/>
      <c r="AJ237" s="138"/>
    </row>
    <row r="238" spans="4:36">
      <c r="D238" s="138"/>
      <c r="E238" s="138"/>
      <c r="F238" s="138"/>
      <c r="H238" s="138"/>
      <c r="I238" s="138"/>
      <c r="J238" s="138"/>
      <c r="P238" s="138"/>
      <c r="Q238" s="138"/>
      <c r="T238" s="138"/>
      <c r="Y238" s="138"/>
      <c r="Z238" s="138"/>
      <c r="AA238" s="138"/>
      <c r="AG238" s="138"/>
      <c r="AH238" s="138"/>
      <c r="AI238" s="138"/>
      <c r="AJ238" s="138"/>
    </row>
    <row r="239" spans="4:36">
      <c r="D239" s="138"/>
      <c r="E239" s="138"/>
      <c r="F239" s="138"/>
      <c r="H239" s="138"/>
      <c r="I239" s="138"/>
      <c r="J239" s="138"/>
      <c r="P239" s="138"/>
      <c r="Q239" s="138"/>
      <c r="T239" s="138"/>
      <c r="Y239" s="138"/>
      <c r="Z239" s="138"/>
      <c r="AA239" s="138"/>
      <c r="AG239" s="138"/>
      <c r="AH239" s="138"/>
      <c r="AI239" s="138"/>
      <c r="AJ239" s="138"/>
    </row>
    <row r="240" spans="4:36">
      <c r="D240" s="138"/>
      <c r="E240" s="138"/>
      <c r="F240" s="138"/>
      <c r="H240" s="138"/>
      <c r="I240" s="138"/>
      <c r="J240" s="138"/>
      <c r="P240" s="138"/>
      <c r="Q240" s="138"/>
      <c r="T240" s="138"/>
      <c r="Y240" s="138"/>
      <c r="Z240" s="138"/>
      <c r="AA240" s="138"/>
      <c r="AG240" s="138"/>
      <c r="AH240" s="138"/>
      <c r="AI240" s="138"/>
      <c r="AJ240" s="138"/>
    </row>
    <row r="241" spans="4:36">
      <c r="D241" s="138"/>
      <c r="E241" s="138"/>
      <c r="F241" s="138"/>
      <c r="H241" s="138"/>
      <c r="I241" s="138"/>
      <c r="J241" s="138"/>
      <c r="P241" s="138"/>
      <c r="Q241" s="138"/>
      <c r="T241" s="138"/>
      <c r="Y241" s="138"/>
      <c r="Z241" s="138"/>
      <c r="AA241" s="138"/>
      <c r="AG241" s="138"/>
      <c r="AH241" s="138"/>
      <c r="AI241" s="138"/>
      <c r="AJ241" s="138"/>
    </row>
  </sheetData>
  <hyperlinks>
    <hyperlink ref="D5" r:id="rId1" xr:uid="{FFB4F8CC-F70A-440E-9935-F6F12A6B5F1C}"/>
    <hyperlink ref="T5" r:id="rId2" xr:uid="{BF4EEBF9-A2F4-4A77-913F-96D262D85308}"/>
    <hyperlink ref="AI5" r:id="rId3" xr:uid="{A502A8BB-EEA7-4414-B8DD-D16A57B183E5}"/>
    <hyperlink ref="AH5" r:id="rId4" xr:uid="{070E497D-814B-4448-997A-554E016009D9}"/>
    <hyperlink ref="AJ5" r:id="rId5" xr:uid="{9B11CD8D-270E-4106-9E1E-14E2FC875FC4}"/>
    <hyperlink ref="Y5" r:id="rId6" xr:uid="{D2808757-D809-4802-86D5-9DF4F964F30F}"/>
    <hyperlink ref="S5" r:id="rId7" xr:uid="{87168FEA-2B00-4FAA-BD97-97441118555E}"/>
    <hyperlink ref="X5" r:id="rId8" xr:uid="{369CB3EC-247C-47FA-A015-B2D1D627D406}"/>
    <hyperlink ref="U5" r:id="rId9" xr:uid="{5AD07D3E-1BA3-4955-A169-454EA378D403}"/>
    <hyperlink ref="E5" r:id="rId10" xr:uid="{1C1AF558-76DE-451F-84EB-F46DAA055CE8}"/>
    <hyperlink ref="E4" r:id="rId11" xr:uid="{8B674C1C-3FB3-44DE-B176-4610E1218D35}"/>
    <hyperlink ref="E6" r:id="rId12" xr:uid="{D283B2EC-D13A-435F-A66F-8D75C98929B6}"/>
    <hyperlink ref="I5" r:id="rId13" xr:uid="{FC30706B-731F-4E38-B83F-C9CD1284AC09}"/>
  </hyperlinks>
  <pageMargins left="0.7" right="0.7" top="0.75" bottom="0.75" header="0.3" footer="0.3"/>
  <pageSetup paperSize="9" orientation="portrait" verticalDpi="300" r:id="rId14"/>
  <legacyDrawing r:id="rId1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AC6D-1C3B-4DBE-B2D6-A983C4F41080}">
  <dimension ref="A1:M37"/>
  <sheetViews>
    <sheetView zoomScale="85" zoomScaleNormal="85" workbookViewId="0">
      <selection activeCell="B15" sqref="B15"/>
    </sheetView>
  </sheetViews>
  <sheetFormatPr defaultRowHeight="14.25"/>
  <cols>
    <col min="1" max="1" width="3.25" customWidth="1"/>
    <col min="2" max="2" width="26" customWidth="1"/>
    <col min="3" max="3" width="31.375" customWidth="1"/>
    <col min="4" max="4" width="26.625" customWidth="1"/>
    <col min="5" max="5" width="22.875" customWidth="1"/>
    <col min="6" max="6" width="33.375" customWidth="1"/>
    <col min="7" max="7" width="54.875" customWidth="1"/>
    <col min="8" max="8" width="14.75" style="18" customWidth="1"/>
    <col min="9" max="9" width="19.75" style="12" customWidth="1"/>
    <col min="10" max="10" width="9" style="12"/>
    <col min="11" max="12" width="9.75" style="12" customWidth="1"/>
  </cols>
  <sheetData>
    <row r="1" spans="1:13" ht="15.75">
      <c r="A1" s="2" t="s">
        <v>0</v>
      </c>
      <c r="B1" s="2" t="s">
        <v>39</v>
      </c>
      <c r="C1" s="468" t="s">
        <v>1</v>
      </c>
      <c r="D1" s="468"/>
      <c r="E1" s="468"/>
      <c r="F1" s="468"/>
      <c r="G1" t="s">
        <v>19</v>
      </c>
    </row>
    <row r="2" spans="1:13" ht="47.25">
      <c r="A2" s="3">
        <v>1</v>
      </c>
      <c r="B2" s="3" t="s">
        <v>2</v>
      </c>
      <c r="C2" s="4" t="s">
        <v>69</v>
      </c>
      <c r="D2" s="4" t="s">
        <v>70</v>
      </c>
      <c r="E2" s="4" t="s">
        <v>49</v>
      </c>
      <c r="F2" s="4" t="s">
        <v>50</v>
      </c>
      <c r="G2" s="10" t="s">
        <v>73</v>
      </c>
      <c r="H2" s="19"/>
      <c r="I2" s="20" t="s">
        <v>44</v>
      </c>
      <c r="J2" s="20" t="s">
        <v>42</v>
      </c>
      <c r="K2" s="469" t="s">
        <v>21</v>
      </c>
      <c r="L2" s="469"/>
    </row>
    <row r="3" spans="1:13" ht="15.75">
      <c r="A3" s="5"/>
      <c r="B3" s="6" t="s">
        <v>6</v>
      </c>
      <c r="C3" s="6">
        <v>0.6</v>
      </c>
      <c r="D3" s="6">
        <v>0.7</v>
      </c>
      <c r="E3" s="6">
        <v>0.8</v>
      </c>
      <c r="F3" s="17">
        <v>1</v>
      </c>
      <c r="I3" s="20" t="s">
        <v>71</v>
      </c>
      <c r="J3" s="21">
        <v>0.6</v>
      </c>
      <c r="K3" s="21">
        <v>2.6</v>
      </c>
      <c r="L3" s="21">
        <v>5</v>
      </c>
    </row>
    <row r="4" spans="1:13" ht="31.5">
      <c r="A4" s="3">
        <v>2</v>
      </c>
      <c r="B4" s="3" t="s">
        <v>51</v>
      </c>
      <c r="C4" s="7"/>
      <c r="D4" s="4" t="s">
        <v>52</v>
      </c>
      <c r="E4" s="4" t="s">
        <v>54</v>
      </c>
      <c r="F4" s="4" t="s">
        <v>53</v>
      </c>
      <c r="I4" s="20" t="s">
        <v>72</v>
      </c>
      <c r="J4" s="20">
        <v>1</v>
      </c>
      <c r="K4" s="20">
        <v>0.6</v>
      </c>
      <c r="L4" s="20">
        <v>1</v>
      </c>
    </row>
    <row r="5" spans="1:13" ht="15.75">
      <c r="A5" s="5"/>
      <c r="B5" s="6" t="s">
        <v>6</v>
      </c>
      <c r="C5" s="6"/>
      <c r="D5" s="6">
        <v>0.8</v>
      </c>
      <c r="E5" s="6">
        <v>0.9</v>
      </c>
      <c r="F5" s="17">
        <v>1</v>
      </c>
      <c r="I5" s="22">
        <v>2.6</v>
      </c>
      <c r="J5" s="23">
        <f>MROUND($K$4+(($L$4-$K$4)/($L$3-$K$3))*(I5-$K$3),0.05)</f>
        <v>0.60000000000000009</v>
      </c>
    </row>
    <row r="6" spans="1:13" ht="15.75">
      <c r="A6" s="3">
        <v>3</v>
      </c>
      <c r="B6" s="3" t="s">
        <v>55</v>
      </c>
      <c r="C6" s="4"/>
      <c r="D6" s="4" t="s">
        <v>56</v>
      </c>
      <c r="E6" s="4" t="s">
        <v>58</v>
      </c>
      <c r="F6" s="4" t="s">
        <v>57</v>
      </c>
      <c r="H6" s="19"/>
      <c r="I6" s="22">
        <v>3</v>
      </c>
      <c r="J6" s="23">
        <f>MROUND($K$4+(($L$4-$K$4)/($L$3-$K$3))*(I6-$K$3),0.05)</f>
        <v>0.65</v>
      </c>
    </row>
    <row r="7" spans="1:13" ht="15.75">
      <c r="A7" s="5"/>
      <c r="B7" s="6" t="s">
        <v>6</v>
      </c>
      <c r="C7" s="6"/>
      <c r="D7" s="6">
        <v>0.8</v>
      </c>
      <c r="E7" s="6">
        <v>0.9</v>
      </c>
      <c r="F7" s="17">
        <v>1</v>
      </c>
      <c r="I7" s="22">
        <v>3.5</v>
      </c>
      <c r="J7" s="23">
        <f>MROUND($K$4+(($L$4-$K$4)/($L$3-$K$3))*(I7-$K$3),0.05)</f>
        <v>0.75</v>
      </c>
    </row>
    <row r="8" spans="1:13" ht="28.5">
      <c r="A8" s="3">
        <v>4</v>
      </c>
      <c r="B8" s="3" t="s">
        <v>59</v>
      </c>
      <c r="C8" s="7"/>
      <c r="D8" s="4" t="s">
        <v>60</v>
      </c>
      <c r="E8" s="4" t="s">
        <v>58</v>
      </c>
      <c r="F8" s="4" t="s">
        <v>61</v>
      </c>
      <c r="H8" s="19"/>
      <c r="I8" s="22">
        <v>4</v>
      </c>
      <c r="J8" s="23">
        <f>MROUND($K$4+(($L$4-$K$4)/($L$3-$K$3))*(I8-$K$3),0.05)</f>
        <v>0.85000000000000009</v>
      </c>
      <c r="L8" s="24" t="s">
        <v>45</v>
      </c>
      <c r="M8" s="24" t="s">
        <v>46</v>
      </c>
    </row>
    <row r="9" spans="1:13" ht="15.75">
      <c r="A9" s="5"/>
      <c r="B9" s="6" t="s">
        <v>6</v>
      </c>
      <c r="C9" s="6"/>
      <c r="D9" s="6">
        <v>0.9</v>
      </c>
      <c r="E9" s="6">
        <v>0.95</v>
      </c>
      <c r="F9" s="17">
        <v>1</v>
      </c>
      <c r="I9" s="22">
        <v>5</v>
      </c>
      <c r="J9" s="23">
        <f>MROUND($K$4+(($L$4-$K$4)/($L$3-$K$3))*(I9-$K$3),0.05)</f>
        <v>1</v>
      </c>
      <c r="L9" s="30">
        <f>I9/I8</f>
        <v>1.25</v>
      </c>
      <c r="M9" s="30">
        <f>J9/J8</f>
        <v>1.1764705882352939</v>
      </c>
    </row>
    <row r="10" spans="1:13" ht="94.5">
      <c r="A10" s="3">
        <v>5</v>
      </c>
      <c r="B10" s="3" t="s">
        <v>62</v>
      </c>
      <c r="C10" s="7" t="s">
        <v>63</v>
      </c>
      <c r="D10" s="7" t="s">
        <v>64</v>
      </c>
      <c r="E10" s="4" t="s">
        <v>65</v>
      </c>
      <c r="F10" s="4" t="s">
        <v>66</v>
      </c>
      <c r="G10" s="10" t="s">
        <v>41</v>
      </c>
      <c r="H10" s="19"/>
      <c r="M10" s="12"/>
    </row>
    <row r="11" spans="1:13" ht="15.75">
      <c r="A11" s="5"/>
      <c r="B11" s="6" t="s">
        <v>6</v>
      </c>
      <c r="C11" s="6">
        <v>0.5</v>
      </c>
      <c r="D11" s="6">
        <v>0.7</v>
      </c>
      <c r="E11" s="6">
        <v>0.8</v>
      </c>
      <c r="F11" s="17">
        <v>1</v>
      </c>
      <c r="M11" s="12"/>
    </row>
    <row r="12" spans="1:13" ht="63">
      <c r="A12" s="3">
        <v>6</v>
      </c>
      <c r="B12" s="3" t="s">
        <v>16</v>
      </c>
      <c r="C12" s="7"/>
      <c r="D12" s="7" t="s">
        <v>17</v>
      </c>
      <c r="E12" s="4" t="s">
        <v>23</v>
      </c>
      <c r="F12" s="4" t="s">
        <v>18</v>
      </c>
      <c r="G12" s="10" t="s">
        <v>41</v>
      </c>
      <c r="H12" s="19"/>
      <c r="M12" s="12"/>
    </row>
    <row r="13" spans="1:13" ht="15.75">
      <c r="A13" s="5"/>
      <c r="B13" s="6" t="s">
        <v>6</v>
      </c>
      <c r="C13" s="6"/>
      <c r="D13" s="6">
        <v>0.8</v>
      </c>
      <c r="E13" s="6">
        <v>0.9</v>
      </c>
      <c r="F13" s="17">
        <v>1</v>
      </c>
      <c r="M13" s="12"/>
    </row>
    <row r="14" spans="1:13" ht="15.75">
      <c r="A14" s="2">
        <v>7</v>
      </c>
      <c r="B14" s="3"/>
      <c r="C14" s="435" t="s">
        <v>14</v>
      </c>
      <c r="D14" s="436">
        <f>ROUND(C3*D5*D7*D9*C11*D13,2)</f>
        <v>0.14000000000000001</v>
      </c>
      <c r="E14" s="8" t="s">
        <v>15</v>
      </c>
      <c r="F14" s="434">
        <v>1</v>
      </c>
      <c r="G14" s="15">
        <f>(F14-D14)/4</f>
        <v>0.215</v>
      </c>
      <c r="I14" s="31"/>
      <c r="J14" s="32"/>
      <c r="K14" s="33"/>
      <c r="L14" s="32"/>
      <c r="M14" s="32"/>
    </row>
    <row r="15" spans="1:13" ht="15.75">
      <c r="A15" s="2">
        <v>8</v>
      </c>
      <c r="B15" s="9" t="s">
        <v>75</v>
      </c>
      <c r="C15" s="437" t="s">
        <v>367</v>
      </c>
      <c r="D15" s="437" t="s">
        <v>24</v>
      </c>
      <c r="E15" s="434" t="s">
        <v>25</v>
      </c>
      <c r="F15" s="434" t="s">
        <v>26</v>
      </c>
      <c r="I15" s="33"/>
      <c r="J15" s="33"/>
      <c r="K15" s="33"/>
      <c r="L15" s="470"/>
      <c r="M15" s="470"/>
    </row>
    <row r="16" spans="1:13">
      <c r="C16" s="15">
        <f>D14+G14</f>
        <v>0.35499999999999998</v>
      </c>
      <c r="D16" s="15">
        <f>$C$16+$G$14</f>
        <v>0.56999999999999995</v>
      </c>
      <c r="E16" s="15">
        <f>$D$16+$G$14</f>
        <v>0.78499999999999992</v>
      </c>
      <c r="F16">
        <f>$C$16+$G$14*3</f>
        <v>1</v>
      </c>
    </row>
    <row r="18" spans="2:12">
      <c r="B18" t="s">
        <v>27</v>
      </c>
      <c r="D18" t="s">
        <v>28</v>
      </c>
      <c r="G18" s="471"/>
      <c r="H18" s="471"/>
      <c r="I18" s="471"/>
    </row>
    <row r="19" spans="2:12">
      <c r="B19" t="s">
        <v>32</v>
      </c>
      <c r="D19">
        <v>1000</v>
      </c>
    </row>
    <row r="20" spans="2:12">
      <c r="B20" t="s">
        <v>33</v>
      </c>
      <c r="D20">
        <f>D19*0.1</f>
        <v>100</v>
      </c>
    </row>
    <row r="21" spans="2:12">
      <c r="H21" s="12"/>
      <c r="K21"/>
      <c r="L21"/>
    </row>
    <row r="22" spans="2:12">
      <c r="B22" t="s">
        <v>30</v>
      </c>
      <c r="D22" s="11">
        <f>D19*E22</f>
        <v>892.5</v>
      </c>
      <c r="E22">
        <f>(E16+G14/2)</f>
        <v>0.89249999999999996</v>
      </c>
      <c r="H22" s="12"/>
      <c r="K22"/>
      <c r="L22"/>
    </row>
    <row r="23" spans="2:12">
      <c r="B23" t="s">
        <v>31</v>
      </c>
      <c r="D23" s="26">
        <f>D19*E23</f>
        <v>247.5</v>
      </c>
      <c r="E23">
        <f>(D14+G14/2)</f>
        <v>0.2475</v>
      </c>
      <c r="H23" s="12"/>
      <c r="K23"/>
      <c r="L23"/>
    </row>
    <row r="24" spans="2:12">
      <c r="D24" s="27" t="s">
        <v>48</v>
      </c>
      <c r="H24" s="12"/>
      <c r="K24"/>
      <c r="L24"/>
    </row>
    <row r="25" spans="2:12">
      <c r="H25" s="12"/>
      <c r="K25"/>
      <c r="L25"/>
    </row>
    <row r="26" spans="2:12">
      <c r="C26" s="25" t="s">
        <v>14</v>
      </c>
      <c r="D26" s="12" t="s">
        <v>67</v>
      </c>
      <c r="E26" s="12" t="s">
        <v>68</v>
      </c>
      <c r="H26" s="12"/>
      <c r="K26"/>
      <c r="L26"/>
    </row>
    <row r="27" spans="2:12">
      <c r="C27" s="25">
        <v>0.6</v>
      </c>
      <c r="D27">
        <v>0.7</v>
      </c>
      <c r="E27" s="12">
        <v>0.8</v>
      </c>
    </row>
    <row r="28" spans="2:12">
      <c r="C28" s="25">
        <v>0.8</v>
      </c>
      <c r="D28">
        <v>0.8</v>
      </c>
      <c r="E28" s="12">
        <v>1</v>
      </c>
    </row>
    <row r="29" spans="2:12">
      <c r="C29" s="25">
        <v>0.8</v>
      </c>
      <c r="D29">
        <v>0.8</v>
      </c>
      <c r="E29" s="12">
        <v>1</v>
      </c>
    </row>
    <row r="30" spans="2:12">
      <c r="C30" s="25">
        <v>0.8</v>
      </c>
      <c r="D30">
        <v>0.8</v>
      </c>
      <c r="E30" s="12">
        <v>1</v>
      </c>
    </row>
    <row r="31" spans="2:12">
      <c r="C31" s="25">
        <v>0.5</v>
      </c>
      <c r="D31">
        <v>0.7</v>
      </c>
      <c r="E31" s="12">
        <v>0.8</v>
      </c>
    </row>
    <row r="32" spans="2:12">
      <c r="C32" s="25">
        <v>0.7</v>
      </c>
      <c r="D32">
        <v>0.7</v>
      </c>
      <c r="E32" s="12">
        <v>0.9</v>
      </c>
    </row>
    <row r="33" spans="3:6">
      <c r="C33" s="28">
        <f>PRODUCT(C27:C32)</f>
        <v>0.10752</v>
      </c>
      <c r="D33" s="29">
        <f>PRODUCT(D27:D32)</f>
        <v>0.17561599999999999</v>
      </c>
      <c r="E33" s="29">
        <f>PRODUCT(E27:E32)</f>
        <v>0.57600000000000018</v>
      </c>
    </row>
    <row r="35" spans="3:6">
      <c r="C35" s="269">
        <v>0.14000000000000001</v>
      </c>
      <c r="D35" s="270">
        <v>0.33</v>
      </c>
      <c r="E35" s="271">
        <v>0.55000000000000004</v>
      </c>
      <c r="F35" s="270">
        <v>0.77</v>
      </c>
    </row>
    <row r="36" spans="3:6">
      <c r="C36" s="269">
        <v>0.33</v>
      </c>
      <c r="D36" s="270">
        <v>0.55000000000000004</v>
      </c>
      <c r="E36" s="271">
        <v>0.77</v>
      </c>
      <c r="F36" s="270">
        <v>1</v>
      </c>
    </row>
    <row r="37" spans="3:6">
      <c r="C37" s="268">
        <f>ROUND(AVERAGE(C35:C36),2)</f>
        <v>0.24</v>
      </c>
      <c r="D37" s="268">
        <f t="shared" ref="D37:F37" si="0">ROUND(AVERAGE(D35:D36),2)</f>
        <v>0.44</v>
      </c>
      <c r="E37" s="268">
        <f t="shared" si="0"/>
        <v>0.66</v>
      </c>
      <c r="F37" s="268">
        <f t="shared" si="0"/>
        <v>0.89</v>
      </c>
    </row>
  </sheetData>
  <mergeCells count="4">
    <mergeCell ref="C1:F1"/>
    <mergeCell ref="K2:L2"/>
    <mergeCell ref="L15:M15"/>
    <mergeCell ref="G18:I18"/>
  </mergeCell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7"/>
  <sheetViews>
    <sheetView topLeftCell="A7" workbookViewId="0">
      <selection activeCell="D15" sqref="D15"/>
    </sheetView>
  </sheetViews>
  <sheetFormatPr defaultRowHeight="14.25"/>
  <cols>
    <col min="1" max="1" width="3.25" customWidth="1"/>
    <col min="2" max="2" width="26" customWidth="1"/>
    <col min="3" max="5" width="22.875" customWidth="1"/>
    <col min="6" max="6" width="33.375" customWidth="1"/>
    <col min="7" max="7" width="5.375" customWidth="1"/>
    <col min="8" max="11" width="11.125" customWidth="1"/>
    <col min="12" max="12" width="13.875" customWidth="1"/>
    <col min="13" max="13" width="46.375" customWidth="1"/>
    <col min="14" max="14" width="14.75" style="18" customWidth="1"/>
    <col min="15" max="15" width="18.625" style="12" customWidth="1"/>
    <col min="16" max="16" width="9" style="12"/>
    <col min="17" max="18" width="9.75" style="12" customWidth="1"/>
  </cols>
  <sheetData>
    <row r="1" spans="1:19">
      <c r="H1" s="49"/>
      <c r="I1" s="49"/>
      <c r="J1" s="49"/>
      <c r="K1" s="49"/>
      <c r="L1" s="49"/>
      <c r="O1" s="13"/>
      <c r="P1" s="13"/>
      <c r="Q1" s="13"/>
      <c r="R1" s="13"/>
    </row>
    <row r="2" spans="1:19" ht="15.75">
      <c r="A2" s="1" t="s">
        <v>0</v>
      </c>
      <c r="B2" s="1" t="s">
        <v>39</v>
      </c>
      <c r="C2" s="468" t="s">
        <v>1</v>
      </c>
      <c r="D2" s="468"/>
      <c r="E2" s="468"/>
      <c r="F2" s="472"/>
      <c r="G2" s="43"/>
      <c r="H2" s="34"/>
      <c r="I2" s="34"/>
      <c r="J2" s="34"/>
      <c r="K2" s="34"/>
      <c r="L2" s="34"/>
      <c r="M2" t="s">
        <v>19</v>
      </c>
    </row>
    <row r="3" spans="1:19" ht="15.75">
      <c r="A3" s="34"/>
      <c r="B3" s="34" t="s">
        <v>83</v>
      </c>
      <c r="C3" s="34"/>
      <c r="D3" s="34"/>
      <c r="E3" s="34"/>
      <c r="F3" s="42"/>
      <c r="G3" s="44"/>
      <c r="H3" s="50"/>
      <c r="I3" s="50"/>
      <c r="J3" s="50"/>
      <c r="K3" s="50"/>
      <c r="L3" s="50"/>
      <c r="O3" s="36"/>
      <c r="P3" s="36"/>
      <c r="Q3" s="36"/>
      <c r="R3" s="36"/>
    </row>
    <row r="4" spans="1:19" ht="31.5">
      <c r="A4" s="3">
        <v>1</v>
      </c>
      <c r="B4" s="3" t="s">
        <v>2</v>
      </c>
      <c r="C4" s="4" t="s">
        <v>3</v>
      </c>
      <c r="D4" s="4" t="s">
        <v>4</v>
      </c>
      <c r="E4" s="4" t="s">
        <v>5</v>
      </c>
      <c r="F4" s="4" t="s">
        <v>22</v>
      </c>
      <c r="G4" s="45"/>
      <c r="H4" s="37"/>
      <c r="I4" s="37"/>
      <c r="J4" s="37"/>
      <c r="K4" s="37"/>
      <c r="L4" s="37"/>
      <c r="M4" s="10" t="s">
        <v>29</v>
      </c>
      <c r="N4" s="19"/>
      <c r="O4" s="20" t="s">
        <v>44</v>
      </c>
      <c r="P4" s="20" t="s">
        <v>42</v>
      </c>
      <c r="Q4" s="469" t="s">
        <v>21</v>
      </c>
      <c r="R4" s="469"/>
    </row>
    <row r="5" spans="1:19" ht="15.75">
      <c r="A5" s="5"/>
      <c r="B5" s="6" t="s">
        <v>6</v>
      </c>
      <c r="C5" s="6">
        <v>0.4</v>
      </c>
      <c r="D5" s="6">
        <v>0.6</v>
      </c>
      <c r="E5" s="6">
        <v>0.8</v>
      </c>
      <c r="F5" s="17">
        <v>1</v>
      </c>
      <c r="G5" s="46"/>
      <c r="H5" s="38"/>
      <c r="I5" s="38"/>
      <c r="J5" s="38"/>
      <c r="K5" s="38"/>
      <c r="L5" s="38">
        <v>1</v>
      </c>
      <c r="O5" s="20" t="s">
        <v>20</v>
      </c>
      <c r="P5" s="21">
        <v>0.4</v>
      </c>
      <c r="Q5" s="21">
        <v>3</v>
      </c>
      <c r="R5" s="21">
        <v>10</v>
      </c>
    </row>
    <row r="6" spans="1:19" ht="31.5">
      <c r="A6" s="3">
        <v>2</v>
      </c>
      <c r="B6" s="3" t="s">
        <v>7</v>
      </c>
      <c r="C6" s="7"/>
      <c r="D6" s="4" t="s">
        <v>9</v>
      </c>
      <c r="E6" s="4" t="s">
        <v>40</v>
      </c>
      <c r="F6" s="4" t="s">
        <v>8</v>
      </c>
      <c r="G6" s="47"/>
      <c r="H6" s="39"/>
      <c r="I6" s="39"/>
      <c r="J6" s="39"/>
      <c r="K6" s="39"/>
      <c r="L6" s="39"/>
      <c r="O6" s="20" t="s">
        <v>43</v>
      </c>
      <c r="P6" s="20">
        <v>1</v>
      </c>
      <c r="Q6" s="20">
        <v>0.4</v>
      </c>
      <c r="R6" s="20">
        <v>1</v>
      </c>
    </row>
    <row r="7" spans="1:19" ht="15.75">
      <c r="A7" s="5"/>
      <c r="B7" s="6" t="s">
        <v>6</v>
      </c>
      <c r="C7" s="6"/>
      <c r="D7" s="6">
        <v>0.9</v>
      </c>
      <c r="E7" s="6">
        <v>0.95</v>
      </c>
      <c r="F7" s="17">
        <v>1</v>
      </c>
      <c r="G7" s="46"/>
      <c r="H7" s="38"/>
      <c r="I7" s="38"/>
      <c r="J7" s="38"/>
      <c r="K7" s="38"/>
      <c r="L7" s="38" t="e">
        <f>#REF!</f>
        <v>#REF!</v>
      </c>
      <c r="O7" s="22">
        <v>3.1</v>
      </c>
      <c r="P7" s="23">
        <f t="shared" ref="P7:P14" si="0">MROUND($Q$6+(($R$6-$Q$6)/($R$5-$Q$5))*(O7-$Q$5),0.05)</f>
        <v>0.4</v>
      </c>
    </row>
    <row r="8" spans="1:19" ht="47.25">
      <c r="A8" s="3">
        <v>3</v>
      </c>
      <c r="B8" s="3" t="s">
        <v>34</v>
      </c>
      <c r="C8" s="4" t="s">
        <v>35</v>
      </c>
      <c r="D8" s="4" t="s">
        <v>36</v>
      </c>
      <c r="E8" s="4" t="s">
        <v>37</v>
      </c>
      <c r="F8" s="4" t="s">
        <v>38</v>
      </c>
      <c r="G8" s="45"/>
      <c r="H8" s="37"/>
      <c r="I8" s="37"/>
      <c r="J8" s="37"/>
      <c r="K8" s="37"/>
      <c r="L8" s="37"/>
      <c r="M8" s="10" t="s">
        <v>41</v>
      </c>
      <c r="N8" s="19"/>
      <c r="O8" s="22">
        <v>3.5</v>
      </c>
      <c r="P8" s="23">
        <f t="shared" si="0"/>
        <v>0.45</v>
      </c>
    </row>
    <row r="9" spans="1:19" ht="15.75">
      <c r="A9" s="5"/>
      <c r="B9" s="6" t="s">
        <v>6</v>
      </c>
      <c r="C9" s="6">
        <v>0.5</v>
      </c>
      <c r="D9" s="6">
        <v>0.7</v>
      </c>
      <c r="E9" s="6">
        <v>0.8</v>
      </c>
      <c r="F9" s="17">
        <v>1</v>
      </c>
      <c r="G9" s="46"/>
      <c r="H9" s="38"/>
      <c r="I9" s="38"/>
      <c r="J9" s="38"/>
      <c r="K9" s="38"/>
      <c r="L9" s="38" t="e">
        <f>#REF!</f>
        <v>#REF!</v>
      </c>
      <c r="O9" s="22">
        <v>4</v>
      </c>
      <c r="P9" s="23">
        <f t="shared" si="0"/>
        <v>0.5</v>
      </c>
    </row>
    <row r="10" spans="1:19" ht="47.25">
      <c r="A10" s="3">
        <v>4</v>
      </c>
      <c r="B10" s="3" t="s">
        <v>10</v>
      </c>
      <c r="C10" s="7"/>
      <c r="D10" s="4" t="s">
        <v>11</v>
      </c>
      <c r="E10" s="4" t="s">
        <v>12</v>
      </c>
      <c r="F10" s="4" t="s">
        <v>13</v>
      </c>
      <c r="G10" s="45"/>
      <c r="H10" s="37"/>
      <c r="I10" s="37"/>
      <c r="J10" s="37"/>
      <c r="K10" s="37"/>
      <c r="L10" s="37"/>
      <c r="M10" s="10" t="s">
        <v>41</v>
      </c>
      <c r="N10" s="19"/>
      <c r="O10" s="22">
        <v>5</v>
      </c>
      <c r="P10" s="23">
        <f t="shared" si="0"/>
        <v>0.55000000000000004</v>
      </c>
    </row>
    <row r="11" spans="1:19" ht="15.75">
      <c r="A11" s="5"/>
      <c r="B11" s="6" t="s">
        <v>6</v>
      </c>
      <c r="C11" s="6"/>
      <c r="D11" s="6">
        <v>0.8</v>
      </c>
      <c r="E11" s="6">
        <v>0.9</v>
      </c>
      <c r="F11" s="17">
        <v>1</v>
      </c>
      <c r="G11" s="46"/>
      <c r="H11" s="38"/>
      <c r="I11" s="38"/>
      <c r="J11" s="38"/>
      <c r="K11" s="38"/>
      <c r="L11" s="38" t="e">
        <f>#REF!</f>
        <v>#REF!</v>
      </c>
      <c r="O11" s="22">
        <v>6.5</v>
      </c>
      <c r="P11" s="23">
        <f t="shared" si="0"/>
        <v>0.70000000000000007</v>
      </c>
    </row>
    <row r="12" spans="1:19" ht="78.75">
      <c r="A12" s="3">
        <v>5</v>
      </c>
      <c r="B12" s="3" t="s">
        <v>16</v>
      </c>
      <c r="C12" s="7"/>
      <c r="D12" s="7" t="s">
        <v>17</v>
      </c>
      <c r="E12" s="4" t="s">
        <v>23</v>
      </c>
      <c r="F12" s="4" t="s">
        <v>18</v>
      </c>
      <c r="G12" s="45"/>
      <c r="H12" s="37"/>
      <c r="I12" s="37"/>
      <c r="J12" s="37"/>
      <c r="K12" s="37"/>
      <c r="L12" s="37"/>
      <c r="M12" s="10" t="s">
        <v>41</v>
      </c>
      <c r="N12" s="19"/>
      <c r="O12" s="22">
        <v>8</v>
      </c>
      <c r="P12" s="23">
        <f t="shared" si="0"/>
        <v>0.85000000000000009</v>
      </c>
      <c r="R12" s="24" t="s">
        <v>45</v>
      </c>
      <c r="S12" s="24" t="s">
        <v>46</v>
      </c>
    </row>
    <row r="13" spans="1:19" ht="15.75">
      <c r="A13" s="5"/>
      <c r="B13" s="6" t="s">
        <v>6</v>
      </c>
      <c r="C13" s="6"/>
      <c r="D13" s="6">
        <v>0.8</v>
      </c>
      <c r="E13" s="6">
        <v>0.9</v>
      </c>
      <c r="F13" s="17">
        <v>1</v>
      </c>
      <c r="G13" s="46"/>
      <c r="H13" s="38"/>
      <c r="I13" s="38"/>
      <c r="J13" s="38"/>
      <c r="K13" s="38"/>
      <c r="L13" s="38">
        <v>0.7</v>
      </c>
      <c r="O13" s="22">
        <v>10</v>
      </c>
      <c r="P13" s="23">
        <f t="shared" si="0"/>
        <v>1</v>
      </c>
      <c r="R13" s="12">
        <f>O13/O12</f>
        <v>1.25</v>
      </c>
      <c r="S13" s="14">
        <f>P13/P12</f>
        <v>1.1764705882352939</v>
      </c>
    </row>
    <row r="14" spans="1:19" ht="15.75">
      <c r="A14" s="1">
        <v>6</v>
      </c>
      <c r="B14" s="3"/>
      <c r="C14" s="435" t="s">
        <v>14</v>
      </c>
      <c r="D14" s="439">
        <f>C5*E7*C9*D11*D13</f>
        <v>0.12160000000000003</v>
      </c>
      <c r="E14" s="8" t="s">
        <v>15</v>
      </c>
      <c r="F14" s="438">
        <v>1</v>
      </c>
      <c r="G14" s="48"/>
      <c r="H14" s="40"/>
      <c r="I14" s="40"/>
      <c r="J14" s="40"/>
      <c r="K14" s="40"/>
      <c r="L14" s="40" t="e">
        <f t="shared" ref="L14" si="1">L5*L7*L9*L11*L13</f>
        <v>#REF!</v>
      </c>
      <c r="M14">
        <f>(F14-D14)/4</f>
        <v>0.21959999999999999</v>
      </c>
      <c r="O14" s="22">
        <v>16</v>
      </c>
      <c r="P14" s="23">
        <f t="shared" si="0"/>
        <v>1.5</v>
      </c>
      <c r="R14" s="14">
        <f>O14/O12</f>
        <v>2</v>
      </c>
      <c r="S14" s="14">
        <f>P14/P12</f>
        <v>1.7647058823529409</v>
      </c>
    </row>
    <row r="15" spans="1:19" ht="15.75">
      <c r="A15" s="1">
        <v>7</v>
      </c>
      <c r="B15" s="440" t="s">
        <v>75</v>
      </c>
      <c r="C15" s="435" t="s">
        <v>649</v>
      </c>
      <c r="D15" s="435" t="s">
        <v>24</v>
      </c>
      <c r="E15" s="8" t="s">
        <v>25</v>
      </c>
      <c r="F15" s="438" t="s">
        <v>648</v>
      </c>
      <c r="G15" s="47"/>
      <c r="H15" s="41"/>
      <c r="I15" s="41"/>
      <c r="J15" s="41"/>
      <c r="K15" s="41"/>
      <c r="L15" s="41">
        <v>2</v>
      </c>
      <c r="R15" s="473" t="s">
        <v>47</v>
      </c>
      <c r="S15" s="473"/>
    </row>
    <row r="16" spans="1:19">
      <c r="C16">
        <f>D14+M14</f>
        <v>0.3412</v>
      </c>
      <c r="D16">
        <f>$C$16+$M$14</f>
        <v>0.56079999999999997</v>
      </c>
      <c r="E16">
        <f>$D$16+$M$14</f>
        <v>0.78039999999999998</v>
      </c>
      <c r="F16">
        <f>$C$16+$M$14*3</f>
        <v>1</v>
      </c>
      <c r="H16" s="35"/>
      <c r="I16" s="35"/>
      <c r="J16" s="35"/>
      <c r="K16" s="35"/>
      <c r="L16" s="16"/>
    </row>
    <row r="17" spans="2:15">
      <c r="D17">
        <f>D5*D7*E9*E11*D13</f>
        <v>0.31104000000000004</v>
      </c>
    </row>
    <row r="18" spans="2:15">
      <c r="B18" t="s">
        <v>27</v>
      </c>
      <c r="D18" t="s">
        <v>28</v>
      </c>
      <c r="M18" s="471"/>
      <c r="N18" s="471"/>
      <c r="O18" s="471"/>
    </row>
    <row r="19" spans="2:15">
      <c r="B19" t="s">
        <v>32</v>
      </c>
      <c r="D19">
        <v>1000</v>
      </c>
    </row>
    <row r="20" spans="2:15">
      <c r="B20" t="s">
        <v>33</v>
      </c>
      <c r="D20">
        <f>D19*0.1</f>
        <v>100</v>
      </c>
    </row>
    <row r="22" spans="2:15">
      <c r="B22" t="s">
        <v>30</v>
      </c>
      <c r="D22" s="11">
        <f>D19*E22</f>
        <v>890.2</v>
      </c>
      <c r="E22">
        <f>(E16+M14/2)</f>
        <v>0.89019999999999999</v>
      </c>
    </row>
    <row r="23" spans="2:15">
      <c r="B23" t="s">
        <v>31</v>
      </c>
      <c r="D23" s="26">
        <f>D19*E23</f>
        <v>231.40000000000003</v>
      </c>
      <c r="E23">
        <f>(D14+M14/2)</f>
        <v>0.23140000000000002</v>
      </c>
    </row>
    <row r="24" spans="2:15">
      <c r="D24" s="27" t="s">
        <v>48</v>
      </c>
    </row>
    <row r="26" spans="2:15">
      <c r="C26" s="25" t="s">
        <v>14</v>
      </c>
      <c r="D26" s="12" t="s">
        <v>67</v>
      </c>
      <c r="E26" s="12" t="s">
        <v>68</v>
      </c>
      <c r="F26" s="12"/>
      <c r="G26" s="36"/>
      <c r="H26" s="36"/>
      <c r="I26" s="36"/>
      <c r="J26" s="36"/>
      <c r="K26" s="36"/>
      <c r="L26" s="13"/>
    </row>
    <row r="27" spans="2:15">
      <c r="C27" s="25">
        <v>0.4</v>
      </c>
      <c r="D27" s="12">
        <v>0.6</v>
      </c>
      <c r="E27">
        <v>0.8</v>
      </c>
    </row>
    <row r="28" spans="2:15">
      <c r="C28" s="25">
        <v>0.9</v>
      </c>
      <c r="D28" s="12">
        <v>0.9</v>
      </c>
      <c r="E28">
        <v>0.95</v>
      </c>
    </row>
    <row r="29" spans="2:15">
      <c r="C29" s="25">
        <v>0.5</v>
      </c>
      <c r="D29" s="12">
        <v>0.7</v>
      </c>
      <c r="E29">
        <v>0.8</v>
      </c>
    </row>
    <row r="30" spans="2:15">
      <c r="C30" s="25">
        <v>0.8</v>
      </c>
      <c r="D30" s="12">
        <v>0.8</v>
      </c>
      <c r="E30">
        <v>0.9</v>
      </c>
    </row>
    <row r="31" spans="2:15">
      <c r="C31" s="25">
        <v>0.7</v>
      </c>
      <c r="D31" s="12">
        <v>0.7</v>
      </c>
      <c r="E31">
        <v>0.7</v>
      </c>
    </row>
    <row r="32" spans="2:15">
      <c r="C32" s="25">
        <f>PRODUCT(C27:C31)</f>
        <v>0.1008</v>
      </c>
      <c r="D32" s="25">
        <f>PRODUCT(D27:D31)</f>
        <v>0.21167999999999998</v>
      </c>
      <c r="E32" s="25">
        <f>PRODUCT(E27:E31)</f>
        <v>0.38304000000000005</v>
      </c>
    </row>
    <row r="34" spans="2:6">
      <c r="B34" t="s">
        <v>74</v>
      </c>
      <c r="C34" s="267">
        <v>0.1</v>
      </c>
      <c r="D34">
        <v>0.33</v>
      </c>
      <c r="E34">
        <v>0.55000000000000004</v>
      </c>
      <c r="F34">
        <v>0.77</v>
      </c>
    </row>
    <row r="35" spans="2:6">
      <c r="B35" t="s">
        <v>80</v>
      </c>
      <c r="C35" s="267">
        <v>0.33</v>
      </c>
      <c r="D35">
        <v>0.55000000000000004</v>
      </c>
      <c r="E35">
        <v>0.77</v>
      </c>
      <c r="F35">
        <v>1</v>
      </c>
    </row>
    <row r="36" spans="2:6">
      <c r="B36" t="s">
        <v>77</v>
      </c>
      <c r="C36" s="268">
        <f>ROUND(AVERAGE(C34:C35),2)</f>
        <v>0.22</v>
      </c>
      <c r="D36" s="268">
        <f t="shared" ref="D36:F36" si="2">ROUND(AVERAGE(D34:D35),2)</f>
        <v>0.44</v>
      </c>
      <c r="E36" s="268">
        <f t="shared" si="2"/>
        <v>0.66</v>
      </c>
      <c r="F36" s="268">
        <f t="shared" si="2"/>
        <v>0.89</v>
      </c>
    </row>
    <row r="37" spans="2:6">
      <c r="B37" t="s">
        <v>76</v>
      </c>
    </row>
    <row r="38" spans="2:6">
      <c r="B38" t="s">
        <v>78</v>
      </c>
    </row>
    <row r="39" spans="2:6">
      <c r="B39" t="s">
        <v>79</v>
      </c>
    </row>
    <row r="41" spans="2:6">
      <c r="B41" t="s">
        <v>81</v>
      </c>
    </row>
    <row r="42" spans="2:6">
      <c r="B42" t="s">
        <v>77</v>
      </c>
    </row>
    <row r="43" spans="2:6">
      <c r="B43" t="s">
        <v>76</v>
      </c>
    </row>
    <row r="44" spans="2:6">
      <c r="B44" t="s">
        <v>78</v>
      </c>
    </row>
    <row r="45" spans="2:6">
      <c r="B45" t="s">
        <v>79</v>
      </c>
    </row>
    <row r="47" spans="2:6">
      <c r="B47" t="s">
        <v>82</v>
      </c>
    </row>
  </sheetData>
  <mergeCells count="4">
    <mergeCell ref="C2:F2"/>
    <mergeCell ref="Q4:R4"/>
    <mergeCell ref="M18:O18"/>
    <mergeCell ref="R15:S15"/>
  </mergeCells>
  <phoneticPr fontId="1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37</vt:i4>
      </vt:variant>
    </vt:vector>
  </HeadingPairs>
  <TitlesOfParts>
    <vt:vector size="55" baseType="lpstr">
      <vt:lpstr>dict</vt:lpstr>
      <vt:lpstr>Таблица объектов</vt:lpstr>
      <vt:lpstr>Шкалы</vt:lpstr>
      <vt:lpstr>Выжимка</vt:lpstr>
      <vt:lpstr>1.2 Алыкулова</vt:lpstr>
      <vt:lpstr>1.1 Алыкулова</vt:lpstr>
      <vt:lpstr>1. Алыкулова</vt:lpstr>
      <vt:lpstr>2.2 Мурманская</vt:lpstr>
      <vt:lpstr>2.1 Мурманская</vt:lpstr>
      <vt:lpstr>2. Мурманская</vt:lpstr>
      <vt:lpstr>3.2 Триод</vt:lpstr>
      <vt:lpstr>3.1 Триод</vt:lpstr>
      <vt:lpstr>3. Триод</vt:lpstr>
      <vt:lpstr>4.2 Слон</vt:lpstr>
      <vt:lpstr>4.1 Слон</vt:lpstr>
      <vt:lpstr>4. Слон</vt:lpstr>
      <vt:lpstr>Гражданские</vt:lpstr>
      <vt:lpstr>Произв-склад и спец корпусные</vt:lpstr>
      <vt:lpstr>'1.1 Алыкулова'!value_list</vt:lpstr>
      <vt:lpstr>'1.2 Алыкулова'!value_list</vt:lpstr>
      <vt:lpstr>'2.1 Мурманская'!value_list</vt:lpstr>
      <vt:lpstr>'2.2 Мурманская'!value_list</vt:lpstr>
      <vt:lpstr>'3.1 Триод'!value_list</vt:lpstr>
      <vt:lpstr>'3.2 Триод'!value_list</vt:lpstr>
      <vt:lpstr>'4.1 Слон'!value_list</vt:lpstr>
      <vt:lpstr>'4.2 Слон'!value_list</vt:lpstr>
      <vt:lpstr>value_list</vt:lpstr>
      <vt:lpstr>долл</vt:lpstr>
      <vt:lpstr>'1.1 Алыкулова'!Класс</vt:lpstr>
      <vt:lpstr>'1.2 Алыкулова'!Класс</vt:lpstr>
      <vt:lpstr>'2.1 Мурманская'!Класс</vt:lpstr>
      <vt:lpstr>'2.2 Мурманская'!Класс</vt:lpstr>
      <vt:lpstr>'3.1 Триод'!Класс</vt:lpstr>
      <vt:lpstr>'3.2 Триод'!Класс</vt:lpstr>
      <vt:lpstr>'4.1 Слон'!Класс</vt:lpstr>
      <vt:lpstr>'4.2 Слон'!Класс</vt:lpstr>
      <vt:lpstr>Класс</vt:lpstr>
      <vt:lpstr>'1.1 Алыкулова'!Объект_оценки_аналог</vt:lpstr>
      <vt:lpstr>'1.2 Алыкулова'!Объект_оценки_аналог</vt:lpstr>
      <vt:lpstr>'2.1 Мурманская'!Объект_оценки_аналог</vt:lpstr>
      <vt:lpstr>'2.2 Мурманская'!Объект_оценки_аналог</vt:lpstr>
      <vt:lpstr>'3.1 Триод'!Объект_оценки_аналог</vt:lpstr>
      <vt:lpstr>'3.2 Триод'!Объект_оценки_аналог</vt:lpstr>
      <vt:lpstr>'4.1 Слон'!Объект_оценки_аналог</vt:lpstr>
      <vt:lpstr>'4.2 Слон'!Объект_оценки_аналог</vt:lpstr>
      <vt:lpstr>Объект_оценки_аналог</vt:lpstr>
      <vt:lpstr>'1.1 Алыкулова'!Площадь</vt:lpstr>
      <vt:lpstr>'1.2 Алыкулова'!Площадь</vt:lpstr>
      <vt:lpstr>'2.1 Мурманская'!Площадь</vt:lpstr>
      <vt:lpstr>'2.2 Мурманская'!Площадь</vt:lpstr>
      <vt:lpstr>'3.1 Триод'!Площадь</vt:lpstr>
      <vt:lpstr>'3.2 Триод'!Площадь</vt:lpstr>
      <vt:lpstr>'4.1 Слон'!Площадь</vt:lpstr>
      <vt:lpstr>'4.2 Слон'!Площадь</vt:lpstr>
      <vt:lpstr>Площадь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Ниренберг Илья</dc:creator>
  <cp:lastModifiedBy>Шулин Никита</cp:lastModifiedBy>
  <cp:lastPrinted>2026-06-22T08:31:27Z</cp:lastPrinted>
  <dcterms:created xsi:type="dcterms:W3CDTF">2015-06-05T18:19:34Z</dcterms:created>
  <dcterms:modified xsi:type="dcterms:W3CDTF">2026-08-24T07:37:03Z</dcterms:modified>
</cp:coreProperties>
</file>