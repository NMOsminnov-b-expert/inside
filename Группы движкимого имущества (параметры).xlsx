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X:\Личные папки\Никита Шулин\!Работа\16. Проект (мега-тендер)\9. Мои работы по проекту из августа 2026\Проект - информация и методология\2. Движимое имущество\"/>
    </mc:Choice>
  </mc:AlternateContent>
  <xr:revisionPtr revIDLastSave="0" documentId="13_ncr:1_{624EB945-8354-4120-94B1-CB4696349B83}" xr6:coauthVersionLast="47" xr6:coauthVersionMax="47" xr10:uidLastSave="{00000000-0000-0000-0000-000000000000}"/>
  <bookViews>
    <workbookView xWindow="-28920" yWindow="-105" windowWidth="29040" windowHeight="15720" activeTab="1" xr2:uid="{00000000-000D-0000-FFFF-FFFF00000000}"/>
  </bookViews>
  <sheets>
    <sheet name="Схема движки" sheetId="4" r:id="rId1"/>
    <sheet name="Классификатор" sheetId="1" r:id="rId2"/>
    <sheet name="Модель" sheetId="2" r:id="rId3"/>
    <sheet name="параметры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2" l="1" a="1"/>
  <c r="E2" i="2" s="1"/>
  <c r="C2" i="3" a="1"/>
  <c r="C2" i="3" s="1"/>
  <c r="A2" i="3" a="1"/>
  <c r="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<sst xmlns="http://schemas.openxmlformats.org/spreadsheetml/2006/main" count="1261" uniqueCount="329">
  <si>
    <t>Класс</t>
  </si>
  <si>
    <t>Подгруппа</t>
  </si>
  <si>
    <t>Тип</t>
  </si>
  <si>
    <t>Энергетическое оборудование</t>
  </si>
  <si>
    <t>Трансформаторы</t>
  </si>
  <si>
    <t>Основные параметры</t>
  </si>
  <si>
    <t>Дополнительные параметры</t>
  </si>
  <si>
    <t>силовые трансформаторы</t>
  </si>
  <si>
    <t>автотрансформаторы</t>
  </si>
  <si>
    <t>трансформаторы тока</t>
  </si>
  <si>
    <t>трансформаторы напряжения</t>
  </si>
  <si>
    <t>разделительные (изолирующие) трансформаторы</t>
  </si>
  <si>
    <t>Марка (модель) и заводской номер</t>
  </si>
  <si>
    <t>№ п/п</t>
  </si>
  <si>
    <t>Базовые параметры</t>
  </si>
  <si>
    <t>Год выпуска</t>
  </si>
  <si>
    <t>Производитель (страна происхождения)</t>
  </si>
  <si>
    <t>Генераторы</t>
  </si>
  <si>
    <t>дизельные генераторы</t>
  </si>
  <si>
    <t>бензиновые генераторы</t>
  </si>
  <si>
    <t>газовые генераторы</t>
  </si>
  <si>
    <t>турбогенераторы</t>
  </si>
  <si>
    <t>гидрогенераторы</t>
  </si>
  <si>
    <t>Наработка (моточасы) / степень защиты (IP)</t>
  </si>
  <si>
    <t>Тип топлива / вид привода (дизель, бензин, газ и т.д.)</t>
  </si>
  <si>
    <t>Номинальное напряжение и частота (В, Гц)</t>
  </si>
  <si>
    <t>Номинальная мощность (кВА / МВА)</t>
  </si>
  <si>
    <t>Номинальное напряжение — первичное/вторичное (кВ)</t>
  </si>
  <si>
    <t>Тип охлаждения (масляное, сухое, естественное/принудительное)</t>
  </si>
  <si>
    <t>Распределительные устройства</t>
  </si>
  <si>
    <t>КРУ (комплектное распределительное устройство)</t>
  </si>
  <si>
    <t>КТП (комплектная трансформаторная подстанция)</t>
  </si>
  <si>
    <t>ЩО (щит освещения)</t>
  </si>
  <si>
    <t>ВРУ (вводно-распределительное устройство)</t>
  </si>
  <si>
    <t>ГРЩ (главный распределительный щит)</t>
  </si>
  <si>
    <t>Номинальный ток (А)</t>
  </si>
  <si>
    <t>Номинальное напряжение (В/кВ)</t>
  </si>
  <si>
    <t>Число присоединений/фидеров</t>
  </si>
  <si>
    <t>Степень защиты (IP)</t>
  </si>
  <si>
    <t>Котельное оборудование</t>
  </si>
  <si>
    <t>паровые котлы</t>
  </si>
  <si>
    <t>водогрейные котлы</t>
  </si>
  <si>
    <t>котлы-утилизаторы</t>
  </si>
  <si>
    <t>электрические котлы</t>
  </si>
  <si>
    <t>Тепловая мощность / производительность (Гкал/ч, кВт, т пара/ч)</t>
  </si>
  <si>
    <t>Рабочее давление (МПа/бар)</t>
  </si>
  <si>
    <t>Вид топлива (газ, жидкое, твёрдое, электричество)</t>
  </si>
  <si>
    <t>КПД / температура рабочей среды</t>
  </si>
  <si>
    <t>газовые/ жидкотопливные/ твёрдотопливные котлы</t>
  </si>
  <si>
    <t>жаротрубные/ водотрубные (по конструкции)</t>
  </si>
  <si>
    <t>РУ (распределительное устройство) низкого/ высокого напряжения</t>
  </si>
  <si>
    <t>синхронные/ асинхронные генераторы</t>
  </si>
  <si>
    <t>переносные/ стационарные</t>
  </si>
  <si>
    <t>однофазные/ трёхфазные</t>
  </si>
  <si>
    <t>масляные/ сухие (по типу охлаждающей среды)</t>
  </si>
  <si>
    <t>Электрощитовое оборудование</t>
  </si>
  <si>
    <t>главный распределительный щит (ГРЩ)</t>
  </si>
  <si>
    <t>вводно-распределительное устройство (ВРУ)</t>
  </si>
  <si>
    <t>щит автоматики</t>
  </si>
  <si>
    <t>щит управления</t>
  </si>
  <si>
    <t>силовой распределительный шкаф</t>
  </si>
  <si>
    <t>этажный/квартирный электрощит</t>
  </si>
  <si>
    <t>Номинальное напряжение (В)</t>
  </si>
  <si>
    <t>Количество и тип модулей/автоматов в составе щита</t>
  </si>
  <si>
    <t>Значение</t>
  </si>
  <si>
    <t>Наименование</t>
  </si>
  <si>
    <t>Параметр</t>
  </si>
  <si>
    <t>классы</t>
  </si>
  <si>
    <t>подгруппа</t>
  </si>
  <si>
    <t>Подъёмно-транспортное оборудование</t>
  </si>
  <si>
    <t>Краны</t>
  </si>
  <si>
    <t>мостовые краны</t>
  </si>
  <si>
    <t>козловые краны</t>
  </si>
  <si>
    <t>консольные краны</t>
  </si>
  <si>
    <t>кран-балки (подвесные/опорные)</t>
  </si>
  <si>
    <t>портальные краны</t>
  </si>
  <si>
    <t>башенные краны (если рассматриваются как оборудование, а не спецтехника)</t>
  </si>
  <si>
    <t>Грузоподъёмность (т)</t>
  </si>
  <si>
    <t>Пролёт / высота подъёма (м)</t>
  </si>
  <si>
    <t>Режим работы (группа классификации по ISO/ГОСТ — лёгкий, средний, тяжёлый, весьма тяжёлый)</t>
  </si>
  <si>
    <t>Тип привода (электрический, ручной) / скорость подъёма</t>
  </si>
  <si>
    <t>Конвейеры, транспортёры</t>
  </si>
  <si>
    <t>ленточные конвейеры</t>
  </si>
  <si>
    <t>роликовые (рольганги)</t>
  </si>
  <si>
    <t>цепные конвейеры</t>
  </si>
  <si>
    <t>винтовые (шнековые) конвейеры</t>
  </si>
  <si>
    <t>скребковые конвейеры</t>
  </si>
  <si>
    <t>пневмотранспортные системы</t>
  </si>
  <si>
    <t>Производительность (т/ч, м³/ч, шт/ч)</t>
  </si>
  <si>
    <t>Длина / ширина рабочей поверхности (м, мм)</t>
  </si>
  <si>
    <t>Тип привода / мощность двигателя (кВт)</t>
  </si>
  <si>
    <t>Угол наклона (для наклонных конвейеров) / материал ленты или полотна</t>
  </si>
  <si>
    <t>Тельферы, тали, лебёдки</t>
  </si>
  <si>
    <t>электрические тали (тельферы)</t>
  </si>
  <si>
    <t>ручные тали (рычажные, червячные)</t>
  </si>
  <si>
    <t>лебёдки электрические</t>
  </si>
  <si>
    <t>лебёдки ручные</t>
  </si>
  <si>
    <t>стационарные / передвижные (на монорельсе, кран-балке)</t>
  </si>
  <si>
    <t>Грузоподъёмность (т, кг)</t>
  </si>
  <si>
    <t>Высота подъёма (м)</t>
  </si>
  <si>
    <t>Тип привода (электрический/ручной)</t>
  </si>
  <si>
    <t>Скорость подъёма (м/мин)</t>
  </si>
  <si>
    <t>Строительное и специальное оборудование</t>
  </si>
  <si>
    <t>Бетоносмесительное и растворосмесительное оборудование</t>
  </si>
  <si>
    <t>бетоносмесители гравитационные (циклические)</t>
  </si>
  <si>
    <t>бетоносмесители принудительного действия</t>
  </si>
  <si>
    <t>растворосмесители</t>
  </si>
  <si>
    <t>бетонные заводы (мини-БСУ) — если рассматриваются как единый агрегат</t>
  </si>
  <si>
    <t>передвижные / стационарные</t>
  </si>
  <si>
    <t>Объём готового замеса / загрузки (л, м³)</t>
  </si>
  <si>
    <t>Производительность (м³/ч)</t>
  </si>
  <si>
    <t>Тип привода (электрический, дизельный)</t>
  </si>
  <si>
    <t>Мощность двигателя (кВт)</t>
  </si>
  <si>
    <t>Вибрационное оборудование</t>
  </si>
  <si>
    <t>глубинные вибраторы</t>
  </si>
  <si>
    <t>поверхностные вибраторы (виброплиты, виброрейки)</t>
  </si>
  <si>
    <t>вибробулавы</t>
  </si>
  <si>
    <t>вибростолы</t>
  </si>
  <si>
    <t>Тип привода (электрический, пневматический, бензиновый)</t>
  </si>
  <si>
    <t>Частота колебаний (Гц) / возмущающая сила (кН)</t>
  </si>
  <si>
    <t>Мощность двигателя (кВт/л.с.)</t>
  </si>
  <si>
    <t>Масса оборудования (кг)</t>
  </si>
  <si>
    <t>Инструмент (электро-, пневмо-, ручной)</t>
  </si>
  <si>
    <t>электроинструмент (перфораторы, дрели, углошлифовальные машины (болгарки), электропилы и т.д.)</t>
  </si>
  <si>
    <t>пневмоинструмент (гайковёрты, отбойные молотки и т.д.)</t>
  </si>
  <si>
    <t>ручной инструмент (без встроенного привода — если оценивается отдельно, обычно в составе малоценных активов)</t>
  </si>
  <si>
    <t>Тип и назначение инструмента (сверление, резка, шлифовка и т.д.)</t>
  </si>
  <si>
    <t>Мощность / рабочее давление (Вт, кВт / бар — в зависимости от типа привода)</t>
  </si>
  <si>
    <t>Марка (модель) и заводской номер (при наличии)</t>
  </si>
  <si>
    <t>Тип питания (сетевой, аккумуляторный, пневматический)</t>
  </si>
  <si>
    <t>Комплектность (наличие оснастки, кейса, дополнительных насадок)</t>
  </si>
  <si>
    <t>Медицинское оборудование</t>
  </si>
  <si>
    <t>Диагностическое оборудование</t>
  </si>
  <si>
    <t>рентгеновские аппараты (стационарные, передвижные)</t>
  </si>
  <si>
    <t>аппараты УЗИ (ультразвуковой диагностики)</t>
  </si>
  <si>
    <t>компьютерные томографы (КТ)</t>
  </si>
  <si>
    <t>магнитно-резонансные томографы (МРТ)</t>
  </si>
  <si>
    <t>электрокардиографы (ЭКГ)</t>
  </si>
  <si>
    <t>эндоскопическое оборудование (гастроскопы, колоноскопы и т.д.)</t>
  </si>
  <si>
    <t>лабораторные анализаторы (биохимические, гематологические)</t>
  </si>
  <si>
    <t>Марка (модель) и заводской (серийный) номер</t>
  </si>
  <si>
    <t>Основные технические характеристики (разрешающая способность, мощность излучения, частота датчика и т.д. — в зависимости от типа)</t>
  </si>
  <si>
    <t>Регистрационное удостоверение (номер РУ) / соответствие требованиям для медицинских изделий</t>
  </si>
  <si>
    <t>Комплектность (наличие датчиков, катушек, дополнительных модулей)</t>
  </si>
  <si>
    <t>Регистрационное удостоверение (номер РУ)/ соответствие требованиям для медицинских изделий</t>
  </si>
  <si>
    <t>5. Наработка/ остаточный ресурс (моточасы, количество исследований, если фиксируется)</t>
  </si>
  <si>
    <t>Лечебное (терапевтическое) оборудование</t>
  </si>
  <si>
    <t>аппараты физиотерапии (магнитотерапия, электрофорез, лазеротерапия и т.д.)</t>
  </si>
  <si>
    <t>аппараты ИВЛ (искусственной вентиляции лёгких)</t>
  </si>
  <si>
    <t>дефибрилляторы</t>
  </si>
  <si>
    <t>инфузионные и шприцевые насосы</t>
  </si>
  <si>
    <t>хирургическое оборудование (электрокоагуляторы, операционные лампы, наркозно-дыхательные аппараты)</t>
  </si>
  <si>
    <t>стерилизационное оборудование (автоклавы, сухожаровые шкафы)</t>
  </si>
  <si>
    <t>Основные технические параметры (мощность, объём камеры, диапазон рабочих температур/давления — в зависимости от типа)</t>
  </si>
  <si>
    <t>Комплектность (наличие насадок, электродов, расходных компонентов многоразового использования)</t>
  </si>
  <si>
    <t>Наработка/ остаточный ресурс (моточасы, количество исследований, если фиксируется)</t>
  </si>
  <si>
    <t>Наработка/ остаточный ресурс</t>
  </si>
  <si>
    <t>Стоматологическое оборудование</t>
  </si>
  <si>
    <t>компрессоры стоматологические.</t>
  </si>
  <si>
    <t>стоматологические установки (юниты)</t>
  </si>
  <si>
    <t>стоматологические рентген-аппараты (в т.ч. визиографы, ортопантомографы)</t>
  </si>
  <si>
    <t>автоклавы и стерилизаторы стоматологические</t>
  </si>
  <si>
    <t>фрезерные и CAD/CAM системы для зуботехнических лабораторий</t>
  </si>
  <si>
    <t>Основные технические характеристики (число рабочих позиций, мощность, разрешающая способность и т.д.)</t>
  </si>
  <si>
    <t>Комплектность (наличие наконечников, кресла, дополнительных модулей)</t>
  </si>
  <si>
    <t>Наработка / остаточный ресурс</t>
  </si>
  <si>
    <t>Медицинская мебель и оснащение кабинетов</t>
  </si>
  <si>
    <t>медицинские кушетки, кресла</t>
  </si>
  <si>
    <t>операционные и смотровые столы</t>
  </si>
  <si>
    <t>медицинские шкафы, стеллажи для хранения инструментов и препаратов</t>
  </si>
  <si>
    <t>каталки, кресла-коляски (стационарные, для оснащения)</t>
  </si>
  <si>
    <t>бактерицидные облучатели, рециркуляторы воздуха</t>
  </si>
  <si>
    <t>Марка (модель) и заводской (инвентарный) номер</t>
  </si>
  <si>
    <t>Материал изготовления / основные конструктивные характеристики (размеры, грузоподъёмность — для функциональной мебели)</t>
  </si>
  <si>
    <t>Назначение (для какого кабинета/процедуры предназначено)</t>
  </si>
  <si>
    <t>Наличие электропривода / регулировок (для функциональных кроватей, столов)</t>
  </si>
  <si>
    <t>Комплектность (аксессуары, принадлежности)</t>
  </si>
  <si>
    <t>Лабораторное и измерительное оборудование</t>
  </si>
  <si>
    <t>Лабораторные приборы и установки</t>
  </si>
  <si>
    <t>спектрометры/ спектрофотометры</t>
  </si>
  <si>
    <t>микроскопы (оптические, электронные)</t>
  </si>
  <si>
    <t>центрифуги</t>
  </si>
  <si>
    <t>термостаты, сушильные шкафы, муфельные печи</t>
  </si>
  <si>
    <t>дистилляторы, автоклавы лабораторные</t>
  </si>
  <si>
    <t>хроматографы (газовые, жидкостные)</t>
  </si>
  <si>
    <t>Основные технические характеристики (диапазон измерений/рабочих температур, разрешающая способность, объём камеры/ротора — в зависимости от типа)</t>
  </si>
  <si>
    <t>Область применения / назначение (химический, биологический, физический анализ и т.д.)</t>
  </si>
  <si>
    <t>Комплектность (наличие принадлежностей, кювет, роторов, программного обеспечения)</t>
  </si>
  <si>
    <t>Наличие поверки/калибровки (срок действия, дата последней поверки)</t>
  </si>
  <si>
    <t>Контрольно-измерительные приборы (КИП)</t>
  </si>
  <si>
    <t>манометры, термометры технические</t>
  </si>
  <si>
    <t>расходомеры, счётчики (воды, газа, электроэнергии)</t>
  </si>
  <si>
    <t>весы (лабораторные, технические, промышленные)</t>
  </si>
  <si>
    <t>осциллографы, мультиметры, тестеры</t>
  </si>
  <si>
    <t>датчики и преобразователи (давления, температуры, уровня)</t>
  </si>
  <si>
    <t>Тип вывода данных (аналоговый, цифровой, с возможностью подключения к АСУ ТП)</t>
  </si>
  <si>
    <t>Диапазон измерений и класс точности</t>
  </si>
  <si>
    <t>Область применения (среда/параметр измерения — давление, температура, масса, электрические величины и т.д.)</t>
  </si>
  <si>
    <t>Офисное оборудование и мебель</t>
  </si>
  <si>
    <t>Компьютерная и оргтехника</t>
  </si>
  <si>
    <t>персональные компьютеры (настольные, моноблоки)</t>
  </si>
  <si>
    <t>ноутбуки</t>
  </si>
  <si>
    <t>серверы</t>
  </si>
  <si>
    <t>принтеры, МФУ, сканеры, копировальные аппараты</t>
  </si>
  <si>
    <t>проекторы, интерактивные доски</t>
  </si>
  <si>
    <t>сетевое оборудование (роутеры, коммутаторы, точки доступа)</t>
  </si>
  <si>
    <t>Марка (модель) и серийный номер</t>
  </si>
  <si>
    <t>Основные технические характеристики (для ПК/ноутбуков — процессор, объём ОЗУ и накопителя; для принтеров/МФУ — тип печати, формат, скорость печати)</t>
  </si>
  <si>
    <t>Назначение/ тип устройства</t>
  </si>
  <si>
    <t>Комплектность (наличие периферии — монитора, клавиатуры, мыши, картриджей и т.д.)</t>
  </si>
  <si>
    <t>Установленное программное обеспечение (ОС, специализированный софт — если учитывается в связке с оборудованием)</t>
  </si>
  <si>
    <t>Системы связи и видеонаблюдения</t>
  </si>
  <si>
    <t>IP-телефоны, мини-АТС</t>
  </si>
  <si>
    <t>камеры видеонаблюдения (аналоговые, IP)</t>
  </si>
  <si>
    <t>видеорегистраторы</t>
  </si>
  <si>
    <t>системы контроля доступа (СКУД) — считыватели, турникеты, электронные замки</t>
  </si>
  <si>
    <t>системы охранно-пожарной сигнализации (если учитываются в данной группе)</t>
  </si>
  <si>
    <t>Основные технические характеристики (разрешение камер, количество каналов регистратора, ёмкость АТС и т.д.)</t>
  </si>
  <si>
    <t>Назначение / зона применения (внутреннее/наружное наблюдение, периметр, вход и т.д.)</t>
  </si>
  <si>
    <t>Комплектность (кабели, кронштейны, блоки питания)</t>
  </si>
  <si>
    <t>Объём хранения / срок записи (для видеорегистраторов)</t>
  </si>
  <si>
    <t>Офисная мебель</t>
  </si>
  <si>
    <t>толы (рабочие, переговорные, руководителя)</t>
  </si>
  <si>
    <t>кресла и стулья офисные</t>
  </si>
  <si>
    <t>шкафы, стеллажи, тумбы</t>
  </si>
  <si>
    <t>перегородки офисные (стационарные, мобильные)</t>
  </si>
  <si>
    <t>ресепшн-стойки</t>
  </si>
  <si>
    <t>Марка (модель)/ коллекция (при наличии) и инвентарный номер</t>
  </si>
  <si>
    <t>Материал изготовления (ЛДСП, массив, металл, пластик и т.д.)</t>
  </si>
  <si>
    <t>Габаритные размеры</t>
  </si>
  <si>
    <t>Комплектность (фурнитура, доп. модули — тумбы, надставки)</t>
  </si>
  <si>
    <t>Степень износа/ наличие механических повреждений</t>
  </si>
  <si>
    <t>Торговое оборудование</t>
  </si>
  <si>
    <t>Холодильное и морозильное оборудование</t>
  </si>
  <si>
    <t>холодильные витрины (пристенные, островные)</t>
  </si>
  <si>
    <t>морозильные лари/бонеты</t>
  </si>
  <si>
    <t>холодильные шкафы и камеры</t>
  </si>
  <si>
    <t>холодильные и морозильные среднетемпературные/низкотемпературные установки</t>
  </si>
  <si>
    <t>моноблоки, сплит-системы для торгового холода</t>
  </si>
  <si>
    <t>Объём камеры (л, м³) / полезная площадь выкладки</t>
  </si>
  <si>
    <t>Температурный режим (среднетемпературный, низкотемпературный, диапазон °C)</t>
  </si>
  <si>
    <t>Тип хладагента</t>
  </si>
  <si>
    <t>Тип загрузки/остекления (открытая витрина, глухие двери, стеклянные двери и т.д.)</t>
  </si>
  <si>
    <t>Стеллажи и складское оборудование</t>
  </si>
  <si>
    <t>стеллажи архивные, мобильные (передвижные)</t>
  </si>
  <si>
    <t>торговые стеллажи (пристенные, островные)</t>
  </si>
  <si>
    <t>складские стеллажи (паллетные, фронтальные, консольные, мезонинные)</t>
  </si>
  <si>
    <t>паллетное оборудование (роклы, штабелёры — если не относятся к спецтехнике/ТС)</t>
  </si>
  <si>
    <t>Марка (модель) и инвентарный номер</t>
  </si>
  <si>
    <t>Габаритные размеры (высота, ширина, глубина)</t>
  </si>
  <si>
    <t>Грузоподъёмность (на полку/ярус, общая)</t>
  </si>
  <si>
    <t>Материал изготовления (металл, комбинированный и т.д.)</t>
  </si>
  <si>
    <t>Комплектность (наличие полок, ограничителей, дополнительных ярусов)</t>
  </si>
  <si>
    <t>Кассовое оборудование и весы</t>
  </si>
  <si>
    <t>кассовые аппараты / онлайн-кассы</t>
  </si>
  <si>
    <t>POS-терминалы</t>
  </si>
  <si>
    <t>весы торговые (настольные, платформенные, с печатью этикеток)</t>
  </si>
  <si>
    <t>сканеры штрихкодов, детекторы валют</t>
  </si>
  <si>
    <t>Основные технические характеристики (для весов — максимальная нагрузка и погрешность; для касс — наличие фискального накопителя и его тип)</t>
  </si>
  <si>
    <t>Назначение (розничная касса, весы для фасовки, для взвешивания крупногабаритных товаров и т.д.)</t>
  </si>
  <si>
    <t>Наличие поверки (для весов) / срок действия фискального накопителя (для касс)</t>
  </si>
  <si>
    <t>Комплектность (сканер, денежный ящик, принтер чеков и т.д.)</t>
  </si>
  <si>
    <t>Нематериальные компоненты движимого имущества</t>
  </si>
  <si>
    <t>Встроенное и системное программное обеспечение</t>
  </si>
  <si>
    <t>Наименование и версия программного обеспечения</t>
  </si>
  <si>
    <t>Тип и номер лицензии (при наличии) / способ использования (лицензионное, свободно распространяемое, встроенное неотчуждаемое от оборудования)</t>
  </si>
  <si>
    <t>Оборудование (носитель), с которым ПО функционально связано</t>
  </si>
  <si>
    <t>Срок действия лицензии (бессрочная/ограниченная, дата окончания)</t>
  </si>
  <si>
    <t>Возможность автономного использования/передачи отдельно от оборудования</t>
  </si>
  <si>
    <t>Прикладное программное обеспечение и цифровые лицензии</t>
  </si>
  <si>
    <t>операционные системы, установленные на оборудование (ПК, серверы, станки с ЧПУ)</t>
  </si>
  <si>
    <t>встроенное программное обеспечение (firmware/прошивка) технологического оборудования</t>
  </si>
  <si>
    <t>системы числового программного управления (ЧПУ, PLC-контроллеры)</t>
  </si>
  <si>
    <t>SCADA-системы и системы автоматизации технологических процессов</t>
  </si>
  <si>
    <t>офисное и специализированное прикладное ПО (бухгалтерское, инженерное, CAD/CAM, аналитическое)</t>
  </si>
  <si>
    <t>корпоративные информационные системы (ERP, CRM)</t>
  </si>
  <si>
    <t>ключи активации, электронные лицензии, подписки (SaaS)</t>
  </si>
  <si>
    <t>Тип и номер лицензии (per-user, per-device, серверная, корпоративная и т.д.)</t>
  </si>
  <si>
    <t>Количество лицензированных пользователей/устройств (если применимо)</t>
  </si>
  <si>
    <t>Срок действия лицензии / периодичность продления (для подписочных моделей)</t>
  </si>
  <si>
    <t>Наличие технической поддержки/обновлений в рамках лицензии</t>
  </si>
  <si>
    <t>Технологические базы данных и конфигурации</t>
  </si>
  <si>
    <t>технологические программы обработки (управляющие программы для станков с ЧПУ)</t>
  </si>
  <si>
    <t>базы данных технологических параметров, рецептур, настроек оборудования</t>
  </si>
  <si>
    <t>индивидуальные конфигурации и настройки систем автоматизации</t>
  </si>
  <si>
    <t>Наименование и назначение (для какого оборудования/процесса разработано)</t>
  </si>
  <si>
    <t>Носитель хранения (встроенная память оборудования, отдельный сервер, внешний носитель)</t>
  </si>
  <si>
    <t>Уникальность/оригинальность (разработано индивидуально под объект либо является типовым продуктом)</t>
  </si>
  <si>
    <t>Возможность переноса на аналогичное оборудование</t>
  </si>
  <si>
    <t>Наличие резервной копии / документации по восстановлению</t>
  </si>
  <si>
    <t>Спецтехника</t>
  </si>
  <si>
    <t>Экскаваторы (гусеничные, колёсные)</t>
  </si>
  <si>
    <t>Бульдозеры</t>
  </si>
  <si>
    <t>Автогрейдеры</t>
  </si>
  <si>
    <t>Самосвалы карьерные</t>
  </si>
  <si>
    <t>Автобетоносмесители</t>
  </si>
  <si>
    <t>Строительная спецтехника</t>
  </si>
  <si>
    <t>Марка (модель) и заводской/серийный номер (VIN)</t>
  </si>
  <si>
    <t>Эксплуатационная масса / грузоподъёмность (т)</t>
  </si>
  <si>
    <t>Наработка (моточасы/пробег)</t>
  </si>
  <si>
    <t>Тип ходовой части (гусеничная/колёсная)</t>
  </si>
  <si>
    <t>Коммунальная спецтехника</t>
  </si>
  <si>
    <t>Буровые установки</t>
  </si>
  <si>
    <t>Мусоровозы</t>
  </si>
  <si>
    <t>Поливомоечные машины</t>
  </si>
  <si>
    <t>Снегоуборочная техника</t>
  </si>
  <si>
    <t>Вакуумные илососы</t>
  </si>
  <si>
    <t>Подметально-уборочные машины</t>
  </si>
  <si>
    <t>Объём кузова/цистерны/бункера (м³)</t>
  </si>
  <si>
    <t>Наличие сменного/навесного оборудования</t>
  </si>
  <si>
    <t>Сельскохозяйственная спецтехника</t>
  </si>
  <si>
    <t>Тракторы</t>
  </si>
  <si>
    <t>Зерноуборочные и кормоуборочные комбайны</t>
  </si>
  <si>
    <t>Прицепная и навесная сельхозтехника (плуги, сеялки, опрыскиватели)</t>
  </si>
  <si>
    <t>Самоходные опрыскиватели</t>
  </si>
  <si>
    <t>Производительность / ширина захвата (га/ч, м)</t>
  </si>
  <si>
    <t>Наработка (моточасы)</t>
  </si>
  <si>
    <t>Тип агрегатирования (навесное, прицепное, самоходное)</t>
  </si>
  <si>
    <t>Погрузочно-разгрузочная спецтехника</t>
  </si>
  <si>
    <t>Вилочные погрузчики (дизельные, электрические, газовые)</t>
  </si>
  <si>
    <t>Фронтальные погрузчики</t>
  </si>
  <si>
    <t>Телескопические погрузчики</t>
  </si>
  <si>
    <t>Тип питания (дизель/электро/газ)</t>
  </si>
  <si>
    <t>Грузоподъёмная самоходная спецтехника</t>
  </si>
  <si>
    <t>Автокраны</t>
  </si>
  <si>
    <t>Автовышки (телескопические, коленчатые)</t>
  </si>
  <si>
    <t>Манипуляторы (краны-манипуляторы на шасси)</t>
  </si>
  <si>
    <t>Максимальный вылет стрелы / высота подъёма (м)</t>
  </si>
  <si>
    <r>
      <t>Объём двигателя (см</t>
    </r>
    <r>
      <rPr>
        <vertAlign val="superscript"/>
        <sz val="11"/>
        <color theme="1"/>
        <rFont val="Cambria"/>
        <family val="1"/>
        <charset val="204"/>
        <scheme val="minor"/>
      </rPr>
      <t>3</t>
    </r>
    <r>
      <rPr>
        <sz val="11"/>
        <color theme="1"/>
        <rFont val="Cambria"/>
        <family val="2"/>
        <scheme val="minor"/>
      </rPr>
      <t>)/ мощность двигателя (л.с. / кВт)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</si>
</sst>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mbria"/>
      <family val="2"/>
      <scheme val="minor"/>
    </font>
    <font>
      <b/>
      <sz val="11"/>
      <color theme="1"/>
      <name val="Cambria"/>
      <family val="2"/>
      <charset val="204"/>
      <scheme val="minor"/>
    </font>
    <font>
      <b/>
      <sz val="11"/>
      <color theme="1"/>
      <name val="Cambria"/>
      <family val="1"/>
      <charset val="204"/>
      <scheme val="minor"/>
    </font>
    <font>
      <vertAlign val="superscript"/>
      <sz val="11"/>
      <color theme="1"/>
      <name val="Cambria"/>
      <family val="1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justify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569628</xdr:colOff>
      <xdr:row>36</xdr:row>
      <xdr:rowOff>113471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E3F11D1-B260-0F17-7052-8F0C78E2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0" y="0"/>
          <a:ext cx="14971428" cy="66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mbria">
      <a:majorFont>
        <a:latin typeface="Cambria"/>
        <a:ea typeface=""/>
        <a:cs typeface=""/>
      </a:majorFont>
      <a:minorFont>
        <a:latin typeface="Cambr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BB74-759A-4663-92DF-8B47C530F0BB}">
  <dimension ref="A1"/>
  <sheetViews>
    <sheetView workbookViewId="0"/>
  </sheetViews>
  <sheetFormatPr defaultRowHeight="14.2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zoomScale="80" zoomScaleNormal="80" workbookViewId="0">
      <pane xSplit="4" ySplit="2" topLeftCell="E146" activePane="bottomRight" state="frozen"/>
      <selection pane="topRight" activeCell="E1" sqref="E1"/>
      <selection pane="bottomLeft" activeCell="A3" sqref="A3"/>
      <selection pane="bottomRight" activeCell="G158" sqref="G158"/>
    </sheetView>
  </sheetViews>
  <sheetFormatPr defaultRowHeight="14.25" outlineLevelCol="1" x14ac:dyDescent="0.2"/>
  <cols>
    <col min="1" max="1" width="5.625" style="3" customWidth="1"/>
    <col min="2" max="2" width="27.375" style="2" bestFit="1" customWidth="1"/>
    <col min="3" max="3" width="23.5" style="2" customWidth="1"/>
    <col min="4" max="4" width="30.375" style="11" customWidth="1"/>
    <col min="5" max="5" width="12.375" style="2" hidden="1" customWidth="1" outlineLevel="1"/>
    <col min="6" max="6" width="20.875" style="2" hidden="1" customWidth="1" outlineLevel="1"/>
    <col min="7" max="7" width="41.25" style="2" customWidth="1" collapsed="1"/>
    <col min="8" max="11" width="41.25" style="2" customWidth="1"/>
    <col min="12" max="16384" width="9" style="2"/>
  </cols>
  <sheetData>
    <row r="1" spans="1:14" x14ac:dyDescent="0.2">
      <c r="A1" s="16" t="s">
        <v>13</v>
      </c>
      <c r="B1" s="17" t="s">
        <v>0</v>
      </c>
      <c r="C1" s="17" t="s">
        <v>1</v>
      </c>
      <c r="D1" s="16" t="s">
        <v>2</v>
      </c>
      <c r="E1" s="17" t="s">
        <v>14</v>
      </c>
      <c r="F1" s="17"/>
      <c r="G1" s="18" t="s">
        <v>5</v>
      </c>
      <c r="H1" s="18"/>
      <c r="I1" s="18"/>
      <c r="J1" s="19" t="s">
        <v>6</v>
      </c>
      <c r="K1" s="19"/>
    </row>
    <row r="2" spans="1:14" ht="42.75" x14ac:dyDescent="0.2">
      <c r="A2" s="16"/>
      <c r="B2" s="17"/>
      <c r="C2" s="17"/>
      <c r="D2" s="16"/>
      <c r="E2" s="5" t="s">
        <v>15</v>
      </c>
      <c r="F2" s="12" t="s">
        <v>16</v>
      </c>
      <c r="G2" s="7">
        <v>1</v>
      </c>
      <c r="H2" s="7">
        <v>2</v>
      </c>
      <c r="I2" s="7">
        <v>3</v>
      </c>
      <c r="J2" s="8">
        <v>4</v>
      </c>
      <c r="K2" s="8">
        <v>5</v>
      </c>
    </row>
    <row r="3" spans="1:14" ht="28.5" x14ac:dyDescent="0.2">
      <c r="A3" s="5">
        <v>1</v>
      </c>
      <c r="B3" s="6" t="s">
        <v>3</v>
      </c>
      <c r="C3" s="6" t="s">
        <v>4</v>
      </c>
      <c r="D3" s="9" t="s">
        <v>7</v>
      </c>
      <c r="E3" s="6"/>
      <c r="F3" s="6"/>
      <c r="G3" s="4" t="s">
        <v>26</v>
      </c>
      <c r="H3" s="4" t="s">
        <v>27</v>
      </c>
      <c r="I3" s="4" t="s">
        <v>12</v>
      </c>
      <c r="J3" s="4" t="s">
        <v>28</v>
      </c>
      <c r="K3" s="4"/>
    </row>
    <row r="4" spans="1:14" ht="57" x14ac:dyDescent="0.2">
      <c r="A4" s="5"/>
      <c r="B4" s="4" t="s">
        <v>3</v>
      </c>
      <c r="C4" s="4" t="s">
        <v>4</v>
      </c>
      <c r="D4" s="9" t="s">
        <v>8</v>
      </c>
      <c r="E4" s="6"/>
      <c r="F4" s="6"/>
      <c r="G4" s="4" t="s">
        <v>26</v>
      </c>
      <c r="H4" s="4" t="s">
        <v>27</v>
      </c>
      <c r="I4" s="4" t="s">
        <v>12</v>
      </c>
      <c r="J4" s="4" t="s">
        <v>28</v>
      </c>
      <c r="K4" s="4"/>
      <c r="M4" s="6" t="s">
        <v>0</v>
      </c>
      <c r="N4" s="4" t="s">
        <v>3</v>
      </c>
    </row>
    <row r="5" spans="1:14" ht="28.5" x14ac:dyDescent="0.2">
      <c r="A5" s="5"/>
      <c r="B5" s="4" t="s">
        <v>3</v>
      </c>
      <c r="C5" s="4" t="s">
        <v>4</v>
      </c>
      <c r="D5" s="9" t="s">
        <v>9</v>
      </c>
      <c r="E5" s="6"/>
      <c r="F5" s="6"/>
      <c r="G5" s="4" t="s">
        <v>26</v>
      </c>
      <c r="H5" s="4" t="s">
        <v>27</v>
      </c>
      <c r="I5" s="4" t="s">
        <v>12</v>
      </c>
      <c r="J5" s="4" t="s">
        <v>28</v>
      </c>
      <c r="K5" s="4"/>
      <c r="M5" s="6" t="s">
        <v>1</v>
      </c>
    </row>
    <row r="6" spans="1:14" ht="28.5" x14ac:dyDescent="0.2">
      <c r="A6" s="5"/>
      <c r="B6" s="4" t="s">
        <v>3</v>
      </c>
      <c r="C6" s="4" t="s">
        <v>4</v>
      </c>
      <c r="D6" s="9" t="s">
        <v>10</v>
      </c>
      <c r="E6" s="6"/>
      <c r="F6" s="6"/>
      <c r="G6" s="4" t="s">
        <v>26</v>
      </c>
      <c r="H6" s="4" t="s">
        <v>27</v>
      </c>
      <c r="I6" s="4" t="s">
        <v>12</v>
      </c>
      <c r="J6" s="4" t="s">
        <v>28</v>
      </c>
      <c r="K6" s="4"/>
      <c r="M6" s="6" t="s">
        <v>2</v>
      </c>
    </row>
    <row r="7" spans="1:14" ht="28.5" x14ac:dyDescent="0.2">
      <c r="A7" s="5"/>
      <c r="B7" s="4" t="s">
        <v>3</v>
      </c>
      <c r="C7" s="4" t="s">
        <v>4</v>
      </c>
      <c r="D7" s="9" t="s">
        <v>11</v>
      </c>
      <c r="E7" s="6"/>
      <c r="F7" s="6"/>
      <c r="G7" s="4" t="s">
        <v>26</v>
      </c>
      <c r="H7" s="4" t="s">
        <v>27</v>
      </c>
      <c r="I7" s="4" t="s">
        <v>12</v>
      </c>
      <c r="J7" s="4" t="s">
        <v>28</v>
      </c>
      <c r="K7" s="4"/>
    </row>
    <row r="8" spans="1:14" ht="28.5" x14ac:dyDescent="0.2">
      <c r="A8" s="5"/>
      <c r="B8" s="4" t="s">
        <v>3</v>
      </c>
      <c r="C8" s="4" t="s">
        <v>4</v>
      </c>
      <c r="D8" s="9" t="s">
        <v>54</v>
      </c>
      <c r="E8" s="6"/>
      <c r="F8" s="6"/>
      <c r="G8" s="4" t="s">
        <v>26</v>
      </c>
      <c r="H8" s="4" t="s">
        <v>27</v>
      </c>
      <c r="I8" s="4" t="s">
        <v>12</v>
      </c>
      <c r="J8" s="4" t="s">
        <v>28</v>
      </c>
      <c r="K8" s="4"/>
    </row>
    <row r="9" spans="1:14" ht="28.5" x14ac:dyDescent="0.2">
      <c r="A9" s="5"/>
      <c r="B9" s="4" t="s">
        <v>3</v>
      </c>
      <c r="C9" s="4" t="s">
        <v>4</v>
      </c>
      <c r="D9" s="9" t="s">
        <v>53</v>
      </c>
      <c r="E9" s="6"/>
      <c r="F9" s="6"/>
      <c r="G9" s="4" t="s">
        <v>26</v>
      </c>
      <c r="H9" s="4" t="s">
        <v>27</v>
      </c>
      <c r="I9" s="4" t="s">
        <v>12</v>
      </c>
      <c r="J9" s="4" t="s">
        <v>28</v>
      </c>
      <c r="K9" s="4"/>
    </row>
    <row r="10" spans="1:14" ht="28.5" x14ac:dyDescent="0.2">
      <c r="A10" s="5"/>
      <c r="B10" s="4" t="s">
        <v>3</v>
      </c>
      <c r="C10" s="1" t="s">
        <v>17</v>
      </c>
      <c r="D10" s="9" t="s">
        <v>18</v>
      </c>
      <c r="E10" s="4"/>
      <c r="F10" s="4"/>
      <c r="G10" s="4" t="s">
        <v>26</v>
      </c>
      <c r="H10" s="4" t="s">
        <v>25</v>
      </c>
      <c r="I10" s="4" t="s">
        <v>12</v>
      </c>
      <c r="J10" s="4" t="s">
        <v>24</v>
      </c>
      <c r="K10" s="4" t="s">
        <v>23</v>
      </c>
    </row>
    <row r="11" spans="1:14" ht="28.5" x14ac:dyDescent="0.2">
      <c r="A11" s="5"/>
      <c r="B11" s="4" t="s">
        <v>3</v>
      </c>
      <c r="C11" s="4" t="s">
        <v>17</v>
      </c>
      <c r="D11" s="9" t="s">
        <v>19</v>
      </c>
      <c r="E11" s="4"/>
      <c r="F11" s="4"/>
      <c r="G11" s="4" t="s">
        <v>26</v>
      </c>
      <c r="H11" s="4" t="s">
        <v>25</v>
      </c>
      <c r="I11" s="4" t="s">
        <v>12</v>
      </c>
      <c r="J11" s="4" t="s">
        <v>24</v>
      </c>
      <c r="K11" s="4" t="s">
        <v>23</v>
      </c>
    </row>
    <row r="12" spans="1:14" ht="28.5" x14ac:dyDescent="0.2">
      <c r="A12" s="5"/>
      <c r="B12" s="4" t="s">
        <v>3</v>
      </c>
      <c r="C12" s="4" t="s">
        <v>17</v>
      </c>
      <c r="D12" s="9" t="s">
        <v>20</v>
      </c>
      <c r="E12" s="4"/>
      <c r="F12" s="4"/>
      <c r="G12" s="4" t="s">
        <v>26</v>
      </c>
      <c r="H12" s="4" t="s">
        <v>25</v>
      </c>
      <c r="I12" s="4" t="s">
        <v>12</v>
      </c>
      <c r="J12" s="4" t="s">
        <v>24</v>
      </c>
      <c r="K12" s="4" t="s">
        <v>23</v>
      </c>
    </row>
    <row r="13" spans="1:14" ht="28.5" x14ac:dyDescent="0.2">
      <c r="A13" s="5"/>
      <c r="B13" s="4" t="s">
        <v>3</v>
      </c>
      <c r="C13" s="4" t="s">
        <v>17</v>
      </c>
      <c r="D13" s="9" t="s">
        <v>21</v>
      </c>
      <c r="E13" s="4"/>
      <c r="F13" s="4"/>
      <c r="G13" s="4" t="s">
        <v>26</v>
      </c>
      <c r="H13" s="4" t="s">
        <v>25</v>
      </c>
      <c r="I13" s="4" t="s">
        <v>12</v>
      </c>
      <c r="J13" s="4" t="s">
        <v>24</v>
      </c>
      <c r="K13" s="4" t="s">
        <v>23</v>
      </c>
    </row>
    <row r="14" spans="1:14" ht="28.5" x14ac:dyDescent="0.2">
      <c r="A14" s="5"/>
      <c r="B14" s="4" t="s">
        <v>3</v>
      </c>
      <c r="C14" s="4" t="s">
        <v>17</v>
      </c>
      <c r="D14" s="9" t="s">
        <v>22</v>
      </c>
      <c r="E14" s="4"/>
      <c r="F14" s="4"/>
      <c r="G14" s="4" t="s">
        <v>26</v>
      </c>
      <c r="H14" s="4" t="s">
        <v>25</v>
      </c>
      <c r="I14" s="4" t="s">
        <v>12</v>
      </c>
      <c r="J14" s="4" t="s">
        <v>24</v>
      </c>
      <c r="K14" s="4" t="s">
        <v>23</v>
      </c>
      <c r="M14" s="1"/>
    </row>
    <row r="15" spans="1:14" ht="28.5" x14ac:dyDescent="0.2">
      <c r="A15" s="5"/>
      <c r="B15" s="4" t="s">
        <v>3</v>
      </c>
      <c r="C15" s="4" t="s">
        <v>17</v>
      </c>
      <c r="D15" s="9" t="s">
        <v>51</v>
      </c>
      <c r="E15" s="4"/>
      <c r="F15" s="4"/>
      <c r="G15" s="4" t="s">
        <v>26</v>
      </c>
      <c r="H15" s="4" t="s">
        <v>25</v>
      </c>
      <c r="I15" s="4" t="s">
        <v>12</v>
      </c>
      <c r="J15" s="4" t="s">
        <v>24</v>
      </c>
      <c r="K15" s="4" t="s">
        <v>23</v>
      </c>
      <c r="M15" s="1"/>
    </row>
    <row r="16" spans="1:14" ht="28.5" x14ac:dyDescent="0.2">
      <c r="A16" s="5"/>
      <c r="B16" s="4" t="s">
        <v>3</v>
      </c>
      <c r="C16" s="4" t="s">
        <v>17</v>
      </c>
      <c r="D16" s="9" t="s">
        <v>52</v>
      </c>
      <c r="E16" s="4"/>
      <c r="F16" s="4"/>
      <c r="G16" s="4" t="s">
        <v>26</v>
      </c>
      <c r="H16" s="4" t="s">
        <v>25</v>
      </c>
      <c r="I16" s="4" t="s">
        <v>12</v>
      </c>
      <c r="J16" s="4" t="s">
        <v>24</v>
      </c>
      <c r="K16" s="4" t="s">
        <v>23</v>
      </c>
    </row>
    <row r="17" spans="1:14" ht="28.5" x14ac:dyDescent="0.2">
      <c r="A17" s="5"/>
      <c r="B17" s="4" t="s">
        <v>3</v>
      </c>
      <c r="C17" s="4" t="s">
        <v>29</v>
      </c>
      <c r="D17" s="10" t="s">
        <v>30</v>
      </c>
      <c r="E17" s="4"/>
      <c r="F17" s="4"/>
      <c r="G17" s="4" t="s">
        <v>35</v>
      </c>
      <c r="H17" s="4" t="s">
        <v>36</v>
      </c>
      <c r="I17" s="4" t="s">
        <v>12</v>
      </c>
      <c r="J17" s="4" t="s">
        <v>37</v>
      </c>
      <c r="K17" s="4" t="s">
        <v>38</v>
      </c>
      <c r="N17"/>
    </row>
    <row r="18" spans="1:14" ht="28.5" x14ac:dyDescent="0.2">
      <c r="A18" s="5"/>
      <c r="B18" s="4" t="s">
        <v>3</v>
      </c>
      <c r="C18" s="4" t="s">
        <v>29</v>
      </c>
      <c r="D18" s="10" t="s">
        <v>31</v>
      </c>
      <c r="E18" s="4"/>
      <c r="F18" s="4"/>
      <c r="G18" s="4" t="s">
        <v>35</v>
      </c>
      <c r="H18" s="4" t="s">
        <v>36</v>
      </c>
      <c r="I18" s="4" t="s">
        <v>12</v>
      </c>
      <c r="J18" s="4" t="s">
        <v>37</v>
      </c>
      <c r="K18" s="4" t="s">
        <v>38</v>
      </c>
      <c r="N18"/>
    </row>
    <row r="19" spans="1:14" ht="28.5" x14ac:dyDescent="0.2">
      <c r="A19" s="5"/>
      <c r="B19" s="4" t="s">
        <v>3</v>
      </c>
      <c r="C19" s="4" t="s">
        <v>29</v>
      </c>
      <c r="D19" s="10" t="s">
        <v>32</v>
      </c>
      <c r="E19" s="4"/>
      <c r="F19" s="4"/>
      <c r="G19" s="4" t="s">
        <v>35</v>
      </c>
      <c r="H19" s="4" t="s">
        <v>36</v>
      </c>
      <c r="I19" s="4" t="s">
        <v>12</v>
      </c>
      <c r="J19" s="4" t="s">
        <v>37</v>
      </c>
      <c r="K19" s="4" t="s">
        <v>38</v>
      </c>
      <c r="N19"/>
    </row>
    <row r="20" spans="1:14" ht="28.5" x14ac:dyDescent="0.2">
      <c r="A20" s="5"/>
      <c r="B20" s="4" t="s">
        <v>3</v>
      </c>
      <c r="C20" s="4" t="s">
        <v>29</v>
      </c>
      <c r="D20" s="10" t="s">
        <v>33</v>
      </c>
      <c r="E20" s="4"/>
      <c r="F20" s="4"/>
      <c r="G20" s="4" t="s">
        <v>35</v>
      </c>
      <c r="H20" s="4" t="s">
        <v>36</v>
      </c>
      <c r="I20" s="4" t="s">
        <v>12</v>
      </c>
      <c r="J20" s="4" t="s">
        <v>37</v>
      </c>
      <c r="K20" s="4" t="s">
        <v>38</v>
      </c>
    </row>
    <row r="21" spans="1:14" ht="42.75" x14ac:dyDescent="0.2">
      <c r="A21" s="5"/>
      <c r="B21" s="4" t="s">
        <v>3</v>
      </c>
      <c r="C21" s="4" t="s">
        <v>29</v>
      </c>
      <c r="D21" s="10" t="s">
        <v>50</v>
      </c>
      <c r="E21" s="4"/>
      <c r="F21" s="4"/>
      <c r="G21" s="4" t="s">
        <v>35</v>
      </c>
      <c r="H21" s="4" t="s">
        <v>36</v>
      </c>
      <c r="I21" s="4" t="s">
        <v>12</v>
      </c>
      <c r="J21" s="4" t="s">
        <v>37</v>
      </c>
      <c r="K21" s="4" t="s">
        <v>38</v>
      </c>
    </row>
    <row r="22" spans="1:14" ht="28.5" x14ac:dyDescent="0.2">
      <c r="A22" s="5"/>
      <c r="B22" s="4" t="s">
        <v>3</v>
      </c>
      <c r="C22" s="4" t="s">
        <v>29</v>
      </c>
      <c r="D22" s="10" t="s">
        <v>34</v>
      </c>
      <c r="E22" s="4"/>
      <c r="F22" s="4"/>
      <c r="G22" s="4" t="s">
        <v>35</v>
      </c>
      <c r="H22" s="4" t="s">
        <v>36</v>
      </c>
      <c r="I22" s="4" t="s">
        <v>12</v>
      </c>
      <c r="J22" s="4" t="s">
        <v>37</v>
      </c>
      <c r="K22" s="4" t="s">
        <v>38</v>
      </c>
    </row>
    <row r="23" spans="1:14" ht="28.5" x14ac:dyDescent="0.2">
      <c r="A23" s="5"/>
      <c r="B23" s="4" t="s">
        <v>3</v>
      </c>
      <c r="C23" s="4" t="s">
        <v>39</v>
      </c>
      <c r="D23" s="10" t="s">
        <v>40</v>
      </c>
      <c r="E23" s="4"/>
      <c r="F23" s="4"/>
      <c r="G23" s="4" t="s">
        <v>44</v>
      </c>
      <c r="H23" s="4" t="s">
        <v>45</v>
      </c>
      <c r="I23" s="4" t="s">
        <v>12</v>
      </c>
      <c r="J23" s="4" t="s">
        <v>46</v>
      </c>
      <c r="K23" s="4" t="s">
        <v>47</v>
      </c>
    </row>
    <row r="24" spans="1:14" ht="28.5" x14ac:dyDescent="0.2">
      <c r="A24" s="5"/>
      <c r="B24" s="4" t="s">
        <v>3</v>
      </c>
      <c r="C24" s="4" t="s">
        <v>39</v>
      </c>
      <c r="D24" s="10" t="s">
        <v>41</v>
      </c>
      <c r="E24" s="4"/>
      <c r="F24" s="4"/>
      <c r="G24" s="4" t="s">
        <v>44</v>
      </c>
      <c r="H24" s="4" t="s">
        <v>45</v>
      </c>
      <c r="I24" s="4" t="s">
        <v>12</v>
      </c>
      <c r="J24" s="4" t="s">
        <v>46</v>
      </c>
      <c r="K24" s="4" t="s">
        <v>47</v>
      </c>
    </row>
    <row r="25" spans="1:14" ht="28.5" x14ac:dyDescent="0.2">
      <c r="A25" s="5"/>
      <c r="B25" s="4" t="s">
        <v>3</v>
      </c>
      <c r="C25" s="4" t="s">
        <v>39</v>
      </c>
      <c r="D25" s="10" t="s">
        <v>42</v>
      </c>
      <c r="E25" s="4"/>
      <c r="F25" s="4"/>
      <c r="G25" s="4" t="s">
        <v>44</v>
      </c>
      <c r="H25" s="4" t="s">
        <v>45</v>
      </c>
      <c r="I25" s="4" t="s">
        <v>12</v>
      </c>
      <c r="J25" s="4" t="s">
        <v>46</v>
      </c>
      <c r="K25" s="4" t="s">
        <v>47</v>
      </c>
    </row>
    <row r="26" spans="1:14" ht="28.5" x14ac:dyDescent="0.2">
      <c r="A26" s="5"/>
      <c r="B26" s="4" t="s">
        <v>3</v>
      </c>
      <c r="C26" s="4" t="s">
        <v>39</v>
      </c>
      <c r="D26" s="10" t="s">
        <v>43</v>
      </c>
      <c r="E26" s="4"/>
      <c r="F26" s="4"/>
      <c r="G26" s="4" t="s">
        <v>44</v>
      </c>
      <c r="H26" s="4" t="s">
        <v>45</v>
      </c>
      <c r="I26" s="4" t="s">
        <v>12</v>
      </c>
      <c r="J26" s="4" t="s">
        <v>46</v>
      </c>
      <c r="K26" s="4" t="s">
        <v>47</v>
      </c>
    </row>
    <row r="27" spans="1:14" ht="28.5" x14ac:dyDescent="0.2">
      <c r="A27" s="5"/>
      <c r="B27" s="4" t="s">
        <v>3</v>
      </c>
      <c r="C27" s="4" t="s">
        <v>39</v>
      </c>
      <c r="D27" s="10" t="s">
        <v>48</v>
      </c>
      <c r="E27" s="4"/>
      <c r="F27" s="4"/>
      <c r="G27" s="4" t="s">
        <v>44</v>
      </c>
      <c r="H27" s="4" t="s">
        <v>45</v>
      </c>
      <c r="I27" s="4" t="s">
        <v>12</v>
      </c>
      <c r="J27" s="4" t="s">
        <v>46</v>
      </c>
      <c r="K27" s="4" t="s">
        <v>47</v>
      </c>
    </row>
    <row r="28" spans="1:14" ht="28.5" x14ac:dyDescent="0.2">
      <c r="A28" s="5"/>
      <c r="B28" s="4" t="s">
        <v>3</v>
      </c>
      <c r="C28" s="4" t="s">
        <v>39</v>
      </c>
      <c r="D28" s="10" t="s">
        <v>49</v>
      </c>
      <c r="E28" s="4"/>
      <c r="F28" s="4"/>
      <c r="G28" s="4" t="s">
        <v>44</v>
      </c>
      <c r="H28" s="4" t="s">
        <v>45</v>
      </c>
      <c r="I28" s="4" t="s">
        <v>12</v>
      </c>
      <c r="J28" s="4" t="s">
        <v>46</v>
      </c>
      <c r="K28" s="4" t="s">
        <v>47</v>
      </c>
    </row>
    <row r="29" spans="1:14" ht="28.5" x14ac:dyDescent="0.2">
      <c r="A29" s="5"/>
      <c r="B29" s="4" t="s">
        <v>3</v>
      </c>
      <c r="C29" s="4" t="s">
        <v>55</v>
      </c>
      <c r="D29" s="10" t="s">
        <v>56</v>
      </c>
      <c r="E29" s="4"/>
      <c r="F29" s="4"/>
      <c r="G29" s="4" t="s">
        <v>35</v>
      </c>
      <c r="H29" s="4" t="s">
        <v>62</v>
      </c>
      <c r="I29" s="4" t="s">
        <v>12</v>
      </c>
      <c r="J29" s="4" t="s">
        <v>38</v>
      </c>
      <c r="K29" s="4" t="s">
        <v>63</v>
      </c>
    </row>
    <row r="30" spans="1:14" ht="28.5" x14ac:dyDescent="0.2">
      <c r="A30" s="5"/>
      <c r="B30" s="4" t="s">
        <v>3</v>
      </c>
      <c r="C30" s="4" t="s">
        <v>55</v>
      </c>
      <c r="D30" s="10" t="s">
        <v>57</v>
      </c>
      <c r="E30" s="4"/>
      <c r="F30" s="4"/>
      <c r="G30" s="4" t="s">
        <v>35</v>
      </c>
      <c r="H30" s="4" t="s">
        <v>62</v>
      </c>
      <c r="I30" s="4" t="s">
        <v>12</v>
      </c>
      <c r="J30" s="4" t="s">
        <v>38</v>
      </c>
      <c r="K30" s="4" t="s">
        <v>63</v>
      </c>
    </row>
    <row r="31" spans="1:14" ht="28.5" x14ac:dyDescent="0.2">
      <c r="A31" s="5"/>
      <c r="B31" s="4" t="s">
        <v>3</v>
      </c>
      <c r="C31" s="4" t="s">
        <v>55</v>
      </c>
      <c r="D31" s="10" t="s">
        <v>58</v>
      </c>
      <c r="E31" s="4"/>
      <c r="F31" s="4"/>
      <c r="G31" s="4" t="s">
        <v>35</v>
      </c>
      <c r="H31" s="4" t="s">
        <v>62</v>
      </c>
      <c r="I31" s="4" t="s">
        <v>12</v>
      </c>
      <c r="J31" s="4" t="s">
        <v>38</v>
      </c>
      <c r="K31" s="4" t="s">
        <v>63</v>
      </c>
    </row>
    <row r="32" spans="1:14" ht="28.5" x14ac:dyDescent="0.2">
      <c r="A32" s="5"/>
      <c r="B32" s="4" t="s">
        <v>3</v>
      </c>
      <c r="C32" s="4" t="s">
        <v>55</v>
      </c>
      <c r="D32" s="10" t="s">
        <v>59</v>
      </c>
      <c r="E32" s="4"/>
      <c r="F32" s="4"/>
      <c r="G32" s="4" t="s">
        <v>35</v>
      </c>
      <c r="H32" s="4" t="s">
        <v>62</v>
      </c>
      <c r="I32" s="4" t="s">
        <v>12</v>
      </c>
      <c r="J32" s="4" t="s">
        <v>38</v>
      </c>
      <c r="K32" s="4" t="s">
        <v>63</v>
      </c>
    </row>
    <row r="33" spans="1:11" ht="28.5" x14ac:dyDescent="0.2">
      <c r="A33" s="5"/>
      <c r="B33" s="4" t="s">
        <v>3</v>
      </c>
      <c r="C33" s="4" t="s">
        <v>55</v>
      </c>
      <c r="D33" s="10" t="s">
        <v>60</v>
      </c>
      <c r="E33" s="4"/>
      <c r="F33" s="4"/>
      <c r="G33" s="4" t="s">
        <v>35</v>
      </c>
      <c r="H33" s="4" t="s">
        <v>62</v>
      </c>
      <c r="I33" s="4" t="s">
        <v>12</v>
      </c>
      <c r="J33" s="4" t="s">
        <v>38</v>
      </c>
      <c r="K33" s="4" t="s">
        <v>63</v>
      </c>
    </row>
    <row r="34" spans="1:11" ht="28.5" x14ac:dyDescent="0.2">
      <c r="A34" s="5"/>
      <c r="B34" s="4" t="s">
        <v>3</v>
      </c>
      <c r="C34" s="4" t="s">
        <v>55</v>
      </c>
      <c r="D34" s="10" t="s">
        <v>61</v>
      </c>
      <c r="E34" s="4"/>
      <c r="F34" s="4"/>
      <c r="G34" s="4" t="s">
        <v>35</v>
      </c>
      <c r="H34" s="4" t="s">
        <v>62</v>
      </c>
      <c r="I34" s="4" t="s">
        <v>12</v>
      </c>
      <c r="J34" s="4" t="s">
        <v>38</v>
      </c>
      <c r="K34" s="4" t="s">
        <v>63</v>
      </c>
    </row>
    <row r="35" spans="1:11" ht="42.75" x14ac:dyDescent="0.2">
      <c r="A35" s="5">
        <v>2</v>
      </c>
      <c r="B35" s="4" t="s">
        <v>69</v>
      </c>
      <c r="C35" s="10" t="s">
        <v>70</v>
      </c>
      <c r="D35" s="10" t="s">
        <v>71</v>
      </c>
      <c r="E35" s="4"/>
      <c r="F35" s="4"/>
      <c r="G35" s="4" t="s">
        <v>77</v>
      </c>
      <c r="H35" s="4" t="s">
        <v>78</v>
      </c>
      <c r="I35" s="4" t="s">
        <v>12</v>
      </c>
      <c r="J35" s="4" t="s">
        <v>79</v>
      </c>
      <c r="K35" s="4" t="s">
        <v>80</v>
      </c>
    </row>
    <row r="36" spans="1:11" ht="42.75" x14ac:dyDescent="0.2">
      <c r="A36" s="5"/>
      <c r="B36" s="4" t="s">
        <v>69</v>
      </c>
      <c r="C36" s="10" t="s">
        <v>70</v>
      </c>
      <c r="D36" s="10" t="s">
        <v>72</v>
      </c>
      <c r="E36" s="4"/>
      <c r="F36" s="4"/>
      <c r="G36" s="4" t="s">
        <v>77</v>
      </c>
      <c r="H36" s="4" t="s">
        <v>78</v>
      </c>
      <c r="I36" s="4" t="s">
        <v>12</v>
      </c>
      <c r="J36" s="4" t="s">
        <v>79</v>
      </c>
      <c r="K36" s="4" t="s">
        <v>80</v>
      </c>
    </row>
    <row r="37" spans="1:11" ht="42.75" x14ac:dyDescent="0.2">
      <c r="A37" s="5"/>
      <c r="B37" s="4" t="s">
        <v>69</v>
      </c>
      <c r="C37" s="10" t="s">
        <v>70</v>
      </c>
      <c r="D37" s="10" t="s">
        <v>73</v>
      </c>
      <c r="E37" s="4"/>
      <c r="F37" s="4"/>
      <c r="G37" s="4" t="s">
        <v>77</v>
      </c>
      <c r="H37" s="4" t="s">
        <v>78</v>
      </c>
      <c r="I37" s="4" t="s">
        <v>12</v>
      </c>
      <c r="J37" s="4" t="s">
        <v>79</v>
      </c>
      <c r="K37" s="4" t="s">
        <v>80</v>
      </c>
    </row>
    <row r="38" spans="1:11" ht="42.75" x14ac:dyDescent="0.2">
      <c r="A38" s="5"/>
      <c r="B38" s="4" t="s">
        <v>69</v>
      </c>
      <c r="C38" s="10" t="s">
        <v>70</v>
      </c>
      <c r="D38" s="10" t="s">
        <v>74</v>
      </c>
      <c r="E38" s="4"/>
      <c r="F38" s="4"/>
      <c r="G38" s="4" t="s">
        <v>77</v>
      </c>
      <c r="H38" s="4" t="s">
        <v>78</v>
      </c>
      <c r="I38" s="4" t="s">
        <v>12</v>
      </c>
      <c r="J38" s="4" t="s">
        <v>79</v>
      </c>
      <c r="K38" s="4" t="s">
        <v>80</v>
      </c>
    </row>
    <row r="39" spans="1:11" ht="42.75" x14ac:dyDescent="0.2">
      <c r="A39" s="5"/>
      <c r="B39" s="4" t="s">
        <v>69</v>
      </c>
      <c r="C39" s="10" t="s">
        <v>70</v>
      </c>
      <c r="D39" s="10" t="s">
        <v>75</v>
      </c>
      <c r="E39" s="4"/>
      <c r="F39" s="4"/>
      <c r="G39" s="4" t="s">
        <v>77</v>
      </c>
      <c r="H39" s="4" t="s">
        <v>78</v>
      </c>
      <c r="I39" s="4" t="s">
        <v>12</v>
      </c>
      <c r="J39" s="4" t="s">
        <v>79</v>
      </c>
      <c r="K39" s="4" t="s">
        <v>80</v>
      </c>
    </row>
    <row r="40" spans="1:11" ht="42.75" x14ac:dyDescent="0.2">
      <c r="A40" s="5"/>
      <c r="B40" s="4" t="s">
        <v>69</v>
      </c>
      <c r="C40" s="10" t="s">
        <v>70</v>
      </c>
      <c r="D40" s="10" t="s">
        <v>76</v>
      </c>
      <c r="E40" s="4"/>
      <c r="F40" s="4"/>
      <c r="G40" s="4" t="s">
        <v>77</v>
      </c>
      <c r="H40" s="4" t="s">
        <v>78</v>
      </c>
      <c r="I40" s="4" t="s">
        <v>12</v>
      </c>
      <c r="J40" s="4" t="s">
        <v>79</v>
      </c>
      <c r="K40" s="4" t="s">
        <v>80</v>
      </c>
    </row>
    <row r="41" spans="1:11" ht="28.5" x14ac:dyDescent="0.2">
      <c r="A41" s="5"/>
      <c r="B41" s="4" t="s">
        <v>69</v>
      </c>
      <c r="C41" s="4" t="s">
        <v>81</v>
      </c>
      <c r="D41" s="10" t="s">
        <v>82</v>
      </c>
      <c r="E41" s="4"/>
      <c r="F41" s="4"/>
      <c r="G41" s="4" t="s">
        <v>88</v>
      </c>
      <c r="H41" s="4" t="s">
        <v>89</v>
      </c>
      <c r="I41" s="4" t="s">
        <v>12</v>
      </c>
      <c r="J41" s="4" t="s">
        <v>90</v>
      </c>
      <c r="K41" s="4" t="s">
        <v>91</v>
      </c>
    </row>
    <row r="42" spans="1:11" ht="28.5" x14ac:dyDescent="0.2">
      <c r="A42" s="5"/>
      <c r="B42" s="4" t="s">
        <v>69</v>
      </c>
      <c r="C42" s="4" t="s">
        <v>81</v>
      </c>
      <c r="D42" s="10" t="s">
        <v>83</v>
      </c>
      <c r="E42" s="4"/>
      <c r="F42" s="4"/>
      <c r="G42" s="4" t="s">
        <v>88</v>
      </c>
      <c r="H42" s="4" t="s">
        <v>89</v>
      </c>
      <c r="I42" s="4" t="s">
        <v>12</v>
      </c>
      <c r="J42" s="4" t="s">
        <v>90</v>
      </c>
      <c r="K42" s="4" t="s">
        <v>91</v>
      </c>
    </row>
    <row r="43" spans="1:11" ht="28.5" x14ac:dyDescent="0.2">
      <c r="A43" s="5"/>
      <c r="B43" s="4" t="s">
        <v>69</v>
      </c>
      <c r="C43" s="4" t="s">
        <v>81</v>
      </c>
      <c r="D43" s="10" t="s">
        <v>84</v>
      </c>
      <c r="E43" s="4"/>
      <c r="F43" s="4"/>
      <c r="G43" s="4" t="s">
        <v>88</v>
      </c>
      <c r="H43" s="4" t="s">
        <v>89</v>
      </c>
      <c r="I43" s="4" t="s">
        <v>12</v>
      </c>
      <c r="J43" s="4" t="s">
        <v>90</v>
      </c>
      <c r="K43" s="4" t="s">
        <v>91</v>
      </c>
    </row>
    <row r="44" spans="1:11" ht="28.5" x14ac:dyDescent="0.2">
      <c r="A44" s="5"/>
      <c r="B44" s="4" t="s">
        <v>69</v>
      </c>
      <c r="C44" s="4" t="s">
        <v>81</v>
      </c>
      <c r="D44" s="10" t="s">
        <v>85</v>
      </c>
      <c r="E44" s="4"/>
      <c r="F44" s="4"/>
      <c r="G44" s="4" t="s">
        <v>88</v>
      </c>
      <c r="H44" s="4" t="s">
        <v>89</v>
      </c>
      <c r="I44" s="4" t="s">
        <v>12</v>
      </c>
      <c r="J44" s="4" t="s">
        <v>90</v>
      </c>
      <c r="K44" s="4" t="s">
        <v>91</v>
      </c>
    </row>
    <row r="45" spans="1:11" ht="28.5" x14ac:dyDescent="0.2">
      <c r="A45" s="5"/>
      <c r="B45" s="4" t="s">
        <v>69</v>
      </c>
      <c r="C45" s="4" t="s">
        <v>81</v>
      </c>
      <c r="D45" s="10" t="s">
        <v>86</v>
      </c>
      <c r="E45" s="4"/>
      <c r="F45" s="4"/>
      <c r="G45" s="4" t="s">
        <v>88</v>
      </c>
      <c r="H45" s="4" t="s">
        <v>89</v>
      </c>
      <c r="I45" s="4" t="s">
        <v>12</v>
      </c>
      <c r="J45" s="4" t="s">
        <v>90</v>
      </c>
      <c r="K45" s="4" t="s">
        <v>91</v>
      </c>
    </row>
    <row r="46" spans="1:11" ht="28.5" x14ac:dyDescent="0.2">
      <c r="A46" s="5"/>
      <c r="B46" s="4" t="s">
        <v>69</v>
      </c>
      <c r="C46" s="4" t="s">
        <v>81</v>
      </c>
      <c r="D46" s="10" t="s">
        <v>87</v>
      </c>
      <c r="E46" s="4"/>
      <c r="F46" s="4"/>
      <c r="G46" s="4" t="s">
        <v>88</v>
      </c>
      <c r="H46" s="4" t="s">
        <v>89</v>
      </c>
      <c r="I46" s="4" t="s">
        <v>12</v>
      </c>
      <c r="J46" s="4" t="s">
        <v>90</v>
      </c>
      <c r="K46" s="4" t="s">
        <v>91</v>
      </c>
    </row>
    <row r="47" spans="1:11" ht="28.5" x14ac:dyDescent="0.2">
      <c r="A47" s="5"/>
      <c r="B47" s="4" t="s">
        <v>69</v>
      </c>
      <c r="C47" s="4" t="s">
        <v>92</v>
      </c>
      <c r="D47" s="10" t="s">
        <v>93</v>
      </c>
      <c r="E47" s="4"/>
      <c r="F47" s="4"/>
      <c r="G47" s="4" t="s">
        <v>98</v>
      </c>
      <c r="H47" s="4" t="s">
        <v>99</v>
      </c>
      <c r="I47" s="4" t="s">
        <v>12</v>
      </c>
      <c r="J47" s="4" t="s">
        <v>100</v>
      </c>
      <c r="K47" s="4" t="s">
        <v>101</v>
      </c>
    </row>
    <row r="48" spans="1:11" ht="28.5" x14ac:dyDescent="0.2">
      <c r="A48" s="5"/>
      <c r="B48" s="4" t="s">
        <v>69</v>
      </c>
      <c r="C48" s="4" t="s">
        <v>92</v>
      </c>
      <c r="D48" s="10" t="s">
        <v>94</v>
      </c>
      <c r="E48" s="4"/>
      <c r="F48" s="4"/>
      <c r="G48" s="4" t="s">
        <v>98</v>
      </c>
      <c r="H48" s="4" t="s">
        <v>99</v>
      </c>
      <c r="I48" s="4" t="s">
        <v>12</v>
      </c>
      <c r="J48" s="4" t="s">
        <v>100</v>
      </c>
      <c r="K48" s="4" t="s">
        <v>101</v>
      </c>
    </row>
    <row r="49" spans="1:11" ht="28.5" x14ac:dyDescent="0.2">
      <c r="A49" s="5"/>
      <c r="B49" s="4" t="s">
        <v>69</v>
      </c>
      <c r="C49" s="4" t="s">
        <v>92</v>
      </c>
      <c r="D49" s="10" t="s">
        <v>95</v>
      </c>
      <c r="E49" s="4"/>
      <c r="F49" s="4"/>
      <c r="G49" s="4" t="s">
        <v>98</v>
      </c>
      <c r="H49" s="4" t="s">
        <v>99</v>
      </c>
      <c r="I49" s="4" t="s">
        <v>12</v>
      </c>
      <c r="J49" s="4" t="s">
        <v>100</v>
      </c>
      <c r="K49" s="4" t="s">
        <v>101</v>
      </c>
    </row>
    <row r="50" spans="1:11" ht="28.5" x14ac:dyDescent="0.2">
      <c r="A50" s="5"/>
      <c r="B50" s="4" t="s">
        <v>69</v>
      </c>
      <c r="C50" s="4" t="s">
        <v>92</v>
      </c>
      <c r="D50" s="10" t="s">
        <v>96</v>
      </c>
      <c r="E50" s="4"/>
      <c r="F50" s="4"/>
      <c r="G50" s="4" t="s">
        <v>98</v>
      </c>
      <c r="H50" s="4" t="s">
        <v>99</v>
      </c>
      <c r="I50" s="4" t="s">
        <v>12</v>
      </c>
      <c r="J50" s="4" t="s">
        <v>100</v>
      </c>
      <c r="K50" s="4" t="s">
        <v>101</v>
      </c>
    </row>
    <row r="51" spans="1:11" ht="28.5" x14ac:dyDescent="0.2">
      <c r="A51" s="5"/>
      <c r="B51" s="4" t="s">
        <v>69</v>
      </c>
      <c r="C51" s="4" t="s">
        <v>92</v>
      </c>
      <c r="D51" s="10" t="s">
        <v>97</v>
      </c>
      <c r="E51" s="4"/>
      <c r="F51" s="4"/>
      <c r="G51" s="4" t="s">
        <v>98</v>
      </c>
      <c r="H51" s="4" t="s">
        <v>99</v>
      </c>
      <c r="I51" s="4" t="s">
        <v>12</v>
      </c>
      <c r="J51" s="4" t="s">
        <v>100</v>
      </c>
      <c r="K51" s="4" t="s">
        <v>101</v>
      </c>
    </row>
    <row r="52" spans="1:11" ht="42.75" x14ac:dyDescent="0.2">
      <c r="A52" s="5">
        <v>3</v>
      </c>
      <c r="B52" s="4" t="s">
        <v>102</v>
      </c>
      <c r="C52" s="4" t="s">
        <v>103</v>
      </c>
      <c r="D52" s="10" t="s">
        <v>104</v>
      </c>
      <c r="E52" s="4"/>
      <c r="F52" s="4"/>
      <c r="G52" s="4" t="s">
        <v>109</v>
      </c>
      <c r="H52" s="4" t="s">
        <v>110</v>
      </c>
      <c r="I52" s="4" t="s">
        <v>12</v>
      </c>
      <c r="J52" s="4" t="s">
        <v>111</v>
      </c>
      <c r="K52" s="4" t="s">
        <v>112</v>
      </c>
    </row>
    <row r="53" spans="1:11" ht="42.75" x14ac:dyDescent="0.2">
      <c r="A53" s="5"/>
      <c r="B53" s="4" t="s">
        <v>102</v>
      </c>
      <c r="C53" s="4" t="s">
        <v>103</v>
      </c>
      <c r="D53" s="10" t="s">
        <v>105</v>
      </c>
      <c r="E53" s="4"/>
      <c r="F53" s="4"/>
      <c r="G53" s="4" t="s">
        <v>109</v>
      </c>
      <c r="H53" s="4" t="s">
        <v>110</v>
      </c>
      <c r="I53" s="4" t="s">
        <v>12</v>
      </c>
      <c r="J53" s="4" t="s">
        <v>111</v>
      </c>
      <c r="K53" s="4" t="s">
        <v>112</v>
      </c>
    </row>
    <row r="54" spans="1:11" ht="42.75" x14ac:dyDescent="0.2">
      <c r="A54" s="5"/>
      <c r="B54" s="4" t="s">
        <v>102</v>
      </c>
      <c r="C54" s="4" t="s">
        <v>103</v>
      </c>
      <c r="D54" s="10" t="s">
        <v>106</v>
      </c>
      <c r="E54" s="4"/>
      <c r="F54" s="4"/>
      <c r="G54" s="4" t="s">
        <v>109</v>
      </c>
      <c r="H54" s="4" t="s">
        <v>110</v>
      </c>
      <c r="I54" s="4" t="s">
        <v>12</v>
      </c>
      <c r="J54" s="4" t="s">
        <v>111</v>
      </c>
      <c r="K54" s="4" t="s">
        <v>112</v>
      </c>
    </row>
    <row r="55" spans="1:11" ht="42.75" x14ac:dyDescent="0.2">
      <c r="A55" s="5"/>
      <c r="B55" s="4" t="s">
        <v>102</v>
      </c>
      <c r="C55" s="4" t="s">
        <v>103</v>
      </c>
      <c r="D55" s="10" t="s">
        <v>107</v>
      </c>
      <c r="E55" s="4"/>
      <c r="F55" s="4"/>
      <c r="G55" s="4" t="s">
        <v>109</v>
      </c>
      <c r="H55" s="4" t="s">
        <v>110</v>
      </c>
      <c r="I55" s="4" t="s">
        <v>12</v>
      </c>
      <c r="J55" s="4" t="s">
        <v>111</v>
      </c>
      <c r="K55" s="4" t="s">
        <v>112</v>
      </c>
    </row>
    <row r="56" spans="1:11" ht="42.75" x14ac:dyDescent="0.2">
      <c r="A56" s="5"/>
      <c r="B56" s="4" t="s">
        <v>102</v>
      </c>
      <c r="C56" s="4" t="s">
        <v>103</v>
      </c>
      <c r="D56" s="10" t="s">
        <v>108</v>
      </c>
      <c r="E56" s="4"/>
      <c r="F56" s="4"/>
      <c r="G56" s="4" t="s">
        <v>109</v>
      </c>
      <c r="H56" s="4" t="s">
        <v>110</v>
      </c>
      <c r="I56" s="4" t="s">
        <v>12</v>
      </c>
      <c r="J56" s="4" t="s">
        <v>111</v>
      </c>
      <c r="K56" s="4" t="s">
        <v>112</v>
      </c>
    </row>
    <row r="57" spans="1:11" ht="28.5" x14ac:dyDescent="0.2">
      <c r="A57" s="5"/>
      <c r="B57" s="4" t="s">
        <v>102</v>
      </c>
      <c r="C57" s="4" t="s">
        <v>113</v>
      </c>
      <c r="D57" s="10" t="s">
        <v>114</v>
      </c>
      <c r="E57" s="4"/>
      <c r="F57" s="4"/>
      <c r="G57" s="4" t="s">
        <v>118</v>
      </c>
      <c r="H57" s="4" t="s">
        <v>119</v>
      </c>
      <c r="I57" s="4" t="s">
        <v>12</v>
      </c>
      <c r="J57" s="4" t="s">
        <v>120</v>
      </c>
      <c r="K57" s="4" t="s">
        <v>121</v>
      </c>
    </row>
    <row r="58" spans="1:11" ht="28.5" x14ac:dyDescent="0.2">
      <c r="A58" s="5"/>
      <c r="B58" s="4" t="s">
        <v>102</v>
      </c>
      <c r="C58" s="4" t="s">
        <v>113</v>
      </c>
      <c r="D58" s="10" t="s">
        <v>115</v>
      </c>
      <c r="E58" s="4"/>
      <c r="F58" s="4"/>
      <c r="G58" s="4" t="s">
        <v>118</v>
      </c>
      <c r="H58" s="4" t="s">
        <v>119</v>
      </c>
      <c r="I58" s="4" t="s">
        <v>12</v>
      </c>
      <c r="J58" s="4" t="s">
        <v>120</v>
      </c>
      <c r="K58" s="4" t="s">
        <v>121</v>
      </c>
    </row>
    <row r="59" spans="1:11" ht="28.5" x14ac:dyDescent="0.2">
      <c r="A59" s="5"/>
      <c r="B59" s="4" t="s">
        <v>102</v>
      </c>
      <c r="C59" s="4" t="s">
        <v>113</v>
      </c>
      <c r="D59" s="10" t="s">
        <v>116</v>
      </c>
      <c r="E59" s="4"/>
      <c r="F59" s="4"/>
      <c r="G59" s="4" t="s">
        <v>118</v>
      </c>
      <c r="H59" s="4" t="s">
        <v>119</v>
      </c>
      <c r="I59" s="4" t="s">
        <v>12</v>
      </c>
      <c r="J59" s="4" t="s">
        <v>120</v>
      </c>
      <c r="K59" s="4" t="s">
        <v>121</v>
      </c>
    </row>
    <row r="60" spans="1:11" ht="28.5" x14ac:dyDescent="0.2">
      <c r="A60" s="5"/>
      <c r="B60" s="4" t="s">
        <v>102</v>
      </c>
      <c r="C60" s="4" t="s">
        <v>113</v>
      </c>
      <c r="D60" s="10" t="s">
        <v>117</v>
      </c>
      <c r="E60" s="4"/>
      <c r="F60" s="4"/>
      <c r="G60" s="4" t="s">
        <v>118</v>
      </c>
      <c r="H60" s="4" t="s">
        <v>119</v>
      </c>
      <c r="I60" s="4" t="s">
        <v>12</v>
      </c>
      <c r="J60" s="4" t="s">
        <v>120</v>
      </c>
      <c r="K60" s="4" t="s">
        <v>121</v>
      </c>
    </row>
    <row r="61" spans="1:11" ht="57" x14ac:dyDescent="0.2">
      <c r="A61" s="5"/>
      <c r="B61" s="4" t="s">
        <v>102</v>
      </c>
      <c r="C61" s="4" t="s">
        <v>122</v>
      </c>
      <c r="D61" s="10" t="s">
        <v>123</v>
      </c>
      <c r="E61" s="4"/>
      <c r="F61" s="4"/>
      <c r="G61" s="4" t="s">
        <v>126</v>
      </c>
      <c r="H61" s="4" t="s">
        <v>127</v>
      </c>
      <c r="I61" s="4" t="s">
        <v>128</v>
      </c>
      <c r="J61" s="4" t="s">
        <v>129</v>
      </c>
      <c r="K61" s="4" t="s">
        <v>130</v>
      </c>
    </row>
    <row r="62" spans="1:11" ht="28.5" x14ac:dyDescent="0.2">
      <c r="A62" s="5"/>
      <c r="B62" s="4" t="s">
        <v>102</v>
      </c>
      <c r="C62" s="4" t="s">
        <v>122</v>
      </c>
      <c r="D62" s="10" t="s">
        <v>124</v>
      </c>
      <c r="E62" s="4"/>
      <c r="F62" s="4"/>
      <c r="G62" s="4" t="s">
        <v>126</v>
      </c>
      <c r="H62" s="4" t="s">
        <v>127</v>
      </c>
      <c r="I62" s="4" t="s">
        <v>128</v>
      </c>
      <c r="J62" s="4" t="s">
        <v>129</v>
      </c>
      <c r="K62" s="4" t="s">
        <v>130</v>
      </c>
    </row>
    <row r="63" spans="1:11" ht="57" x14ac:dyDescent="0.2">
      <c r="A63" s="5"/>
      <c r="B63" s="4" t="s">
        <v>102</v>
      </c>
      <c r="C63" s="4" t="s">
        <v>122</v>
      </c>
      <c r="D63" s="10" t="s">
        <v>125</v>
      </c>
      <c r="E63" s="4"/>
      <c r="F63" s="4"/>
      <c r="G63" s="4" t="s">
        <v>126</v>
      </c>
      <c r="H63" s="4" t="s">
        <v>127</v>
      </c>
      <c r="I63" s="4" t="s">
        <v>128</v>
      </c>
      <c r="J63" s="4" t="s">
        <v>129</v>
      </c>
      <c r="K63" s="4" t="s">
        <v>130</v>
      </c>
    </row>
    <row r="64" spans="1:11" ht="57" x14ac:dyDescent="0.2">
      <c r="A64" s="5">
        <v>4</v>
      </c>
      <c r="B64" s="4" t="s">
        <v>131</v>
      </c>
      <c r="C64" s="4" t="s">
        <v>132</v>
      </c>
      <c r="D64" s="10" t="s">
        <v>133</v>
      </c>
      <c r="E64" s="4"/>
      <c r="F64" s="4"/>
      <c r="G64" s="4" t="s">
        <v>140</v>
      </c>
      <c r="H64" s="4" t="s">
        <v>141</v>
      </c>
      <c r="I64" s="4" t="s">
        <v>144</v>
      </c>
      <c r="J64" s="4" t="s">
        <v>143</v>
      </c>
      <c r="K64" s="4" t="s">
        <v>145</v>
      </c>
    </row>
    <row r="65" spans="1:11" ht="57" x14ac:dyDescent="0.2">
      <c r="A65" s="5"/>
      <c r="B65" s="4" t="s">
        <v>131</v>
      </c>
      <c r="C65" s="4" t="s">
        <v>132</v>
      </c>
      <c r="D65" s="10" t="s">
        <v>134</v>
      </c>
      <c r="E65" s="4"/>
      <c r="F65" s="4"/>
      <c r="G65" s="4" t="s">
        <v>140</v>
      </c>
      <c r="H65" s="4" t="s">
        <v>141</v>
      </c>
      <c r="I65" s="4" t="s">
        <v>144</v>
      </c>
      <c r="J65" s="4" t="s">
        <v>143</v>
      </c>
      <c r="K65" s="4" t="s">
        <v>155</v>
      </c>
    </row>
    <row r="66" spans="1:11" ht="57" x14ac:dyDescent="0.2">
      <c r="A66" s="5"/>
      <c r="B66" s="4" t="s">
        <v>131</v>
      </c>
      <c r="C66" s="4" t="s">
        <v>132</v>
      </c>
      <c r="D66" s="10" t="s">
        <v>135</v>
      </c>
      <c r="E66" s="4"/>
      <c r="F66" s="4"/>
      <c r="G66" s="4" t="s">
        <v>140</v>
      </c>
      <c r="H66" s="4" t="s">
        <v>141</v>
      </c>
      <c r="I66" s="4" t="s">
        <v>144</v>
      </c>
      <c r="J66" s="4" t="s">
        <v>143</v>
      </c>
      <c r="K66" s="4" t="s">
        <v>155</v>
      </c>
    </row>
    <row r="67" spans="1:11" ht="57" x14ac:dyDescent="0.2">
      <c r="A67" s="5"/>
      <c r="B67" s="4" t="s">
        <v>131</v>
      </c>
      <c r="C67" s="4" t="s">
        <v>132</v>
      </c>
      <c r="D67" s="10" t="s">
        <v>136</v>
      </c>
      <c r="E67" s="4"/>
      <c r="F67" s="4"/>
      <c r="G67" s="4" t="s">
        <v>140</v>
      </c>
      <c r="H67" s="4" t="s">
        <v>141</v>
      </c>
      <c r="I67" s="4" t="s">
        <v>144</v>
      </c>
      <c r="J67" s="4" t="s">
        <v>143</v>
      </c>
      <c r="K67" s="4" t="s">
        <v>155</v>
      </c>
    </row>
    <row r="68" spans="1:11" ht="57" x14ac:dyDescent="0.2">
      <c r="A68" s="5"/>
      <c r="B68" s="4" t="s">
        <v>131</v>
      </c>
      <c r="C68" s="4" t="s">
        <v>132</v>
      </c>
      <c r="D68" s="10" t="s">
        <v>137</v>
      </c>
      <c r="E68" s="4"/>
      <c r="F68" s="4"/>
      <c r="G68" s="4" t="s">
        <v>140</v>
      </c>
      <c r="H68" s="4" t="s">
        <v>141</v>
      </c>
      <c r="I68" s="4" t="s">
        <v>144</v>
      </c>
      <c r="J68" s="4" t="s">
        <v>143</v>
      </c>
      <c r="K68" s="4" t="s">
        <v>155</v>
      </c>
    </row>
    <row r="69" spans="1:11" ht="57" x14ac:dyDescent="0.2">
      <c r="A69" s="5"/>
      <c r="B69" s="4" t="s">
        <v>131</v>
      </c>
      <c r="C69" s="4" t="s">
        <v>132</v>
      </c>
      <c r="D69" s="10" t="s">
        <v>138</v>
      </c>
      <c r="E69" s="4"/>
      <c r="F69" s="4"/>
      <c r="G69" s="4" t="s">
        <v>140</v>
      </c>
      <c r="H69" s="4" t="s">
        <v>141</v>
      </c>
      <c r="I69" s="4" t="s">
        <v>144</v>
      </c>
      <c r="J69" s="4" t="s">
        <v>143</v>
      </c>
      <c r="K69" s="4" t="s">
        <v>155</v>
      </c>
    </row>
    <row r="70" spans="1:11" ht="57" x14ac:dyDescent="0.2">
      <c r="A70" s="5"/>
      <c r="B70" s="4" t="s">
        <v>131</v>
      </c>
      <c r="C70" s="4" t="s">
        <v>132</v>
      </c>
      <c r="D70" s="10" t="s">
        <v>139</v>
      </c>
      <c r="E70" s="4"/>
      <c r="F70" s="4"/>
      <c r="G70" s="4" t="s">
        <v>140</v>
      </c>
      <c r="H70" s="4" t="s">
        <v>141</v>
      </c>
      <c r="I70" s="4" t="s">
        <v>144</v>
      </c>
      <c r="J70" s="4" t="s">
        <v>143</v>
      </c>
      <c r="K70" s="4" t="s">
        <v>155</v>
      </c>
    </row>
    <row r="71" spans="1:11" ht="57" x14ac:dyDescent="0.2">
      <c r="A71" s="5"/>
      <c r="B71" s="4" t="s">
        <v>131</v>
      </c>
      <c r="C71" s="4" t="s">
        <v>146</v>
      </c>
      <c r="D71" s="10" t="s">
        <v>147</v>
      </c>
      <c r="E71" s="4"/>
      <c r="F71" s="4"/>
      <c r="G71" s="4" t="s">
        <v>140</v>
      </c>
      <c r="H71" s="4" t="s">
        <v>153</v>
      </c>
      <c r="I71" s="4" t="s">
        <v>144</v>
      </c>
      <c r="J71" s="4" t="s">
        <v>154</v>
      </c>
      <c r="K71" s="4" t="s">
        <v>156</v>
      </c>
    </row>
    <row r="72" spans="1:11" ht="57" x14ac:dyDescent="0.2">
      <c r="A72" s="5"/>
      <c r="B72" s="4" t="s">
        <v>131</v>
      </c>
      <c r="C72" s="4" t="s">
        <v>146</v>
      </c>
      <c r="D72" s="10" t="s">
        <v>148</v>
      </c>
      <c r="E72" s="4"/>
      <c r="F72" s="4"/>
      <c r="G72" s="4" t="s">
        <v>140</v>
      </c>
      <c r="H72" s="4" t="s">
        <v>153</v>
      </c>
      <c r="I72" s="4" t="s">
        <v>144</v>
      </c>
      <c r="J72" s="4" t="s">
        <v>154</v>
      </c>
      <c r="K72" s="4" t="s">
        <v>156</v>
      </c>
    </row>
    <row r="73" spans="1:11" ht="57" x14ac:dyDescent="0.2">
      <c r="A73" s="5"/>
      <c r="B73" s="4" t="s">
        <v>131</v>
      </c>
      <c r="C73" s="4" t="s">
        <v>146</v>
      </c>
      <c r="D73" s="10" t="s">
        <v>149</v>
      </c>
      <c r="E73" s="4"/>
      <c r="F73" s="4"/>
      <c r="G73" s="4" t="s">
        <v>140</v>
      </c>
      <c r="H73" s="4" t="s">
        <v>153</v>
      </c>
      <c r="I73" s="4" t="s">
        <v>144</v>
      </c>
      <c r="J73" s="4" t="s">
        <v>154</v>
      </c>
      <c r="K73" s="4" t="s">
        <v>156</v>
      </c>
    </row>
    <row r="74" spans="1:11" ht="57" x14ac:dyDescent="0.2">
      <c r="A74" s="5"/>
      <c r="B74" s="4" t="s">
        <v>131</v>
      </c>
      <c r="C74" s="4" t="s">
        <v>146</v>
      </c>
      <c r="D74" s="10" t="s">
        <v>150</v>
      </c>
      <c r="E74" s="4"/>
      <c r="F74" s="4"/>
      <c r="G74" s="4" t="s">
        <v>140</v>
      </c>
      <c r="H74" s="4" t="s">
        <v>153</v>
      </c>
      <c r="I74" s="4" t="s">
        <v>144</v>
      </c>
      <c r="J74" s="4" t="s">
        <v>154</v>
      </c>
      <c r="K74" s="4" t="s">
        <v>156</v>
      </c>
    </row>
    <row r="75" spans="1:11" ht="57" x14ac:dyDescent="0.2">
      <c r="A75" s="5"/>
      <c r="B75" s="4" t="s">
        <v>131</v>
      </c>
      <c r="C75" s="4" t="s">
        <v>146</v>
      </c>
      <c r="D75" s="10" t="s">
        <v>151</v>
      </c>
      <c r="E75" s="4"/>
      <c r="F75" s="4"/>
      <c r="G75" s="4" t="s">
        <v>140</v>
      </c>
      <c r="H75" s="4" t="s">
        <v>153</v>
      </c>
      <c r="I75" s="4" t="s">
        <v>144</v>
      </c>
      <c r="J75" s="4" t="s">
        <v>154</v>
      </c>
      <c r="K75" s="4" t="s">
        <v>156</v>
      </c>
    </row>
    <row r="76" spans="1:11" ht="57" x14ac:dyDescent="0.2">
      <c r="A76" s="5"/>
      <c r="B76" s="4" t="s">
        <v>131</v>
      </c>
      <c r="C76" s="4" t="s">
        <v>146</v>
      </c>
      <c r="D76" s="10" t="s">
        <v>152</v>
      </c>
      <c r="E76" s="4"/>
      <c r="F76" s="4"/>
      <c r="G76" s="4" t="s">
        <v>140</v>
      </c>
      <c r="H76" s="4" t="s">
        <v>153</v>
      </c>
      <c r="I76" s="4" t="s">
        <v>144</v>
      </c>
      <c r="J76" s="4" t="s">
        <v>154</v>
      </c>
      <c r="K76" s="4" t="s">
        <v>156</v>
      </c>
    </row>
    <row r="77" spans="1:11" ht="42.75" x14ac:dyDescent="0.2">
      <c r="A77" s="5"/>
      <c r="B77" s="4" t="s">
        <v>131</v>
      </c>
      <c r="C77" s="4" t="s">
        <v>157</v>
      </c>
      <c r="D77" s="10" t="s">
        <v>159</v>
      </c>
      <c r="E77" s="4"/>
      <c r="F77" s="4"/>
      <c r="G77" s="4" t="s">
        <v>140</v>
      </c>
      <c r="H77" s="4" t="s">
        <v>163</v>
      </c>
      <c r="I77" s="4" t="s">
        <v>142</v>
      </c>
      <c r="J77" s="4" t="s">
        <v>164</v>
      </c>
      <c r="K77" s="4" t="s">
        <v>165</v>
      </c>
    </row>
    <row r="78" spans="1:11" ht="42.75" x14ac:dyDescent="0.2">
      <c r="A78" s="5"/>
      <c r="B78" s="4" t="s">
        <v>131</v>
      </c>
      <c r="C78" s="4" t="s">
        <v>157</v>
      </c>
      <c r="D78" s="10" t="s">
        <v>160</v>
      </c>
      <c r="E78" s="4"/>
      <c r="F78" s="4"/>
      <c r="G78" s="4" t="s">
        <v>140</v>
      </c>
      <c r="H78" s="4" t="s">
        <v>163</v>
      </c>
      <c r="I78" s="4" t="s">
        <v>142</v>
      </c>
      <c r="J78" s="4" t="s">
        <v>164</v>
      </c>
      <c r="K78" s="4" t="s">
        <v>165</v>
      </c>
    </row>
    <row r="79" spans="1:11" ht="42.75" x14ac:dyDescent="0.2">
      <c r="A79" s="5"/>
      <c r="B79" s="4" t="s">
        <v>131</v>
      </c>
      <c r="C79" s="4" t="s">
        <v>157</v>
      </c>
      <c r="D79" s="10" t="s">
        <v>161</v>
      </c>
      <c r="E79" s="4"/>
      <c r="F79" s="4"/>
      <c r="G79" s="4" t="s">
        <v>140</v>
      </c>
      <c r="H79" s="4" t="s">
        <v>163</v>
      </c>
      <c r="I79" s="4" t="s">
        <v>142</v>
      </c>
      <c r="J79" s="4" t="s">
        <v>164</v>
      </c>
      <c r="K79" s="4" t="s">
        <v>165</v>
      </c>
    </row>
    <row r="80" spans="1:11" ht="42.75" x14ac:dyDescent="0.2">
      <c r="A80" s="5"/>
      <c r="B80" s="4" t="s">
        <v>131</v>
      </c>
      <c r="C80" s="4" t="s">
        <v>157</v>
      </c>
      <c r="D80" s="10" t="s">
        <v>162</v>
      </c>
      <c r="E80" s="4"/>
      <c r="F80" s="4"/>
      <c r="G80" s="4" t="s">
        <v>140</v>
      </c>
      <c r="H80" s="4" t="s">
        <v>163</v>
      </c>
      <c r="I80" s="4" t="s">
        <v>142</v>
      </c>
      <c r="J80" s="4" t="s">
        <v>164</v>
      </c>
      <c r="K80" s="4" t="s">
        <v>165</v>
      </c>
    </row>
    <row r="81" spans="1:11" ht="42.75" x14ac:dyDescent="0.2">
      <c r="A81" s="5"/>
      <c r="B81" s="4" t="s">
        <v>131</v>
      </c>
      <c r="C81" s="4" t="s">
        <v>157</v>
      </c>
      <c r="D81" s="10" t="s">
        <v>158</v>
      </c>
      <c r="E81" s="4"/>
      <c r="F81" s="4"/>
      <c r="G81" s="4" t="s">
        <v>140</v>
      </c>
      <c r="H81" s="4" t="s">
        <v>163</v>
      </c>
      <c r="I81" s="4" t="s">
        <v>142</v>
      </c>
      <c r="J81" s="4" t="s">
        <v>164</v>
      </c>
      <c r="K81" s="4" t="s">
        <v>165</v>
      </c>
    </row>
    <row r="82" spans="1:11" ht="57" x14ac:dyDescent="0.2">
      <c r="A82" s="5"/>
      <c r="B82" s="4" t="s">
        <v>131</v>
      </c>
      <c r="C82" s="4" t="s">
        <v>166</v>
      </c>
      <c r="D82" s="10" t="s">
        <v>167</v>
      </c>
      <c r="E82" s="4"/>
      <c r="F82" s="4"/>
      <c r="G82" s="4" t="s">
        <v>172</v>
      </c>
      <c r="H82" s="4" t="s">
        <v>173</v>
      </c>
      <c r="I82" s="4" t="s">
        <v>174</v>
      </c>
      <c r="J82" s="4" t="s">
        <v>175</v>
      </c>
      <c r="K82" s="4" t="s">
        <v>176</v>
      </c>
    </row>
    <row r="83" spans="1:11" ht="57" x14ac:dyDescent="0.2">
      <c r="A83" s="5"/>
      <c r="B83" s="4" t="s">
        <v>131</v>
      </c>
      <c r="C83" s="4" t="s">
        <v>166</v>
      </c>
      <c r="D83" s="10" t="s">
        <v>168</v>
      </c>
      <c r="E83" s="4"/>
      <c r="F83" s="4"/>
      <c r="G83" s="4" t="s">
        <v>172</v>
      </c>
      <c r="H83" s="4" t="s">
        <v>173</v>
      </c>
      <c r="I83" s="4" t="s">
        <v>174</v>
      </c>
      <c r="J83" s="4" t="s">
        <v>175</v>
      </c>
      <c r="K83" s="4" t="s">
        <v>176</v>
      </c>
    </row>
    <row r="84" spans="1:11" ht="57" x14ac:dyDescent="0.2">
      <c r="A84" s="5"/>
      <c r="B84" s="4" t="s">
        <v>131</v>
      </c>
      <c r="C84" s="4" t="s">
        <v>166</v>
      </c>
      <c r="D84" s="10" t="s">
        <v>169</v>
      </c>
      <c r="E84" s="4"/>
      <c r="F84" s="4"/>
      <c r="G84" s="4" t="s">
        <v>172</v>
      </c>
      <c r="H84" s="4" t="s">
        <v>173</v>
      </c>
      <c r="I84" s="4" t="s">
        <v>174</v>
      </c>
      <c r="J84" s="4" t="s">
        <v>175</v>
      </c>
      <c r="K84" s="4" t="s">
        <v>176</v>
      </c>
    </row>
    <row r="85" spans="1:11" ht="57" x14ac:dyDescent="0.2">
      <c r="A85" s="5"/>
      <c r="B85" s="4" t="s">
        <v>131</v>
      </c>
      <c r="C85" s="4" t="s">
        <v>166</v>
      </c>
      <c r="D85" s="10" t="s">
        <v>170</v>
      </c>
      <c r="E85" s="4"/>
      <c r="F85" s="4"/>
      <c r="G85" s="4" t="s">
        <v>172</v>
      </c>
      <c r="H85" s="4" t="s">
        <v>173</v>
      </c>
      <c r="I85" s="4" t="s">
        <v>174</v>
      </c>
      <c r="J85" s="4" t="s">
        <v>175</v>
      </c>
      <c r="K85" s="4" t="s">
        <v>176</v>
      </c>
    </row>
    <row r="86" spans="1:11" ht="57" x14ac:dyDescent="0.2">
      <c r="A86" s="5"/>
      <c r="B86" s="4" t="s">
        <v>131</v>
      </c>
      <c r="C86" s="4" t="s">
        <v>166</v>
      </c>
      <c r="D86" s="10" t="s">
        <v>171</v>
      </c>
      <c r="E86" s="4"/>
      <c r="F86" s="4"/>
      <c r="G86" s="4" t="s">
        <v>172</v>
      </c>
      <c r="H86" s="4" t="s">
        <v>173</v>
      </c>
      <c r="I86" s="4" t="s">
        <v>174</v>
      </c>
      <c r="J86" s="4" t="s">
        <v>175</v>
      </c>
      <c r="K86" s="4" t="s">
        <v>176</v>
      </c>
    </row>
    <row r="87" spans="1:11" ht="57" x14ac:dyDescent="0.2">
      <c r="A87" s="5">
        <v>5</v>
      </c>
      <c r="B87" s="4" t="s">
        <v>177</v>
      </c>
      <c r="C87" s="4" t="s">
        <v>178</v>
      </c>
      <c r="D87" s="10" t="s">
        <v>179</v>
      </c>
      <c r="E87" s="4"/>
      <c r="F87" s="4"/>
      <c r="G87" s="4" t="s">
        <v>140</v>
      </c>
      <c r="H87" s="4" t="s">
        <v>185</v>
      </c>
      <c r="I87" s="4" t="s">
        <v>186</v>
      </c>
      <c r="J87" s="4" t="s">
        <v>187</v>
      </c>
      <c r="K87" s="4" t="s">
        <v>188</v>
      </c>
    </row>
    <row r="88" spans="1:11" ht="57" x14ac:dyDescent="0.2">
      <c r="A88" s="5"/>
      <c r="B88" s="4" t="s">
        <v>177</v>
      </c>
      <c r="C88" s="4" t="s">
        <v>178</v>
      </c>
      <c r="D88" s="10" t="s">
        <v>180</v>
      </c>
      <c r="E88" s="4"/>
      <c r="F88" s="4"/>
      <c r="G88" s="4" t="s">
        <v>140</v>
      </c>
      <c r="H88" s="4" t="s">
        <v>185</v>
      </c>
      <c r="I88" s="4" t="s">
        <v>186</v>
      </c>
      <c r="J88" s="4" t="s">
        <v>187</v>
      </c>
      <c r="K88" s="4" t="s">
        <v>188</v>
      </c>
    </row>
    <row r="89" spans="1:11" ht="57" x14ac:dyDescent="0.2">
      <c r="A89" s="5"/>
      <c r="B89" s="4" t="s">
        <v>177</v>
      </c>
      <c r="C89" s="4" t="s">
        <v>178</v>
      </c>
      <c r="D89" s="10" t="s">
        <v>181</v>
      </c>
      <c r="E89" s="4"/>
      <c r="F89" s="4"/>
      <c r="G89" s="4" t="s">
        <v>140</v>
      </c>
      <c r="H89" s="4" t="s">
        <v>185</v>
      </c>
      <c r="I89" s="4" t="s">
        <v>186</v>
      </c>
      <c r="J89" s="4" t="s">
        <v>187</v>
      </c>
      <c r="K89" s="4" t="s">
        <v>188</v>
      </c>
    </row>
    <row r="90" spans="1:11" ht="57" x14ac:dyDescent="0.2">
      <c r="A90" s="5"/>
      <c r="B90" s="4" t="s">
        <v>177</v>
      </c>
      <c r="C90" s="4" t="s">
        <v>178</v>
      </c>
      <c r="D90" s="10" t="s">
        <v>182</v>
      </c>
      <c r="E90" s="4"/>
      <c r="F90" s="4"/>
      <c r="G90" s="4" t="s">
        <v>140</v>
      </c>
      <c r="H90" s="4" t="s">
        <v>185</v>
      </c>
      <c r="I90" s="4" t="s">
        <v>186</v>
      </c>
      <c r="J90" s="4" t="s">
        <v>187</v>
      </c>
      <c r="K90" s="4" t="s">
        <v>188</v>
      </c>
    </row>
    <row r="91" spans="1:11" ht="57" x14ac:dyDescent="0.2">
      <c r="A91" s="5"/>
      <c r="B91" s="4" t="s">
        <v>177</v>
      </c>
      <c r="C91" s="4" t="s">
        <v>178</v>
      </c>
      <c r="D91" s="10" t="s">
        <v>183</v>
      </c>
      <c r="E91" s="4"/>
      <c r="F91" s="4"/>
      <c r="G91" s="4" t="s">
        <v>140</v>
      </c>
      <c r="H91" s="4" t="s">
        <v>185</v>
      </c>
      <c r="I91" s="4" t="s">
        <v>186</v>
      </c>
      <c r="J91" s="4" t="s">
        <v>187</v>
      </c>
      <c r="K91" s="4" t="s">
        <v>188</v>
      </c>
    </row>
    <row r="92" spans="1:11" ht="57" x14ac:dyDescent="0.2">
      <c r="A92" s="5"/>
      <c r="B92" s="4" t="s">
        <v>177</v>
      </c>
      <c r="C92" s="4" t="s">
        <v>178</v>
      </c>
      <c r="D92" s="10" t="s">
        <v>184</v>
      </c>
      <c r="E92" s="4"/>
      <c r="F92" s="4"/>
      <c r="G92" s="4" t="s">
        <v>140</v>
      </c>
      <c r="H92" s="4" t="s">
        <v>185</v>
      </c>
      <c r="I92" s="4" t="s">
        <v>186</v>
      </c>
      <c r="J92" s="4" t="s">
        <v>187</v>
      </c>
      <c r="K92" s="4" t="s">
        <v>188</v>
      </c>
    </row>
    <row r="93" spans="1:11" ht="42.75" x14ac:dyDescent="0.2">
      <c r="A93" s="5"/>
      <c r="B93" s="4" t="s">
        <v>177</v>
      </c>
      <c r="C93" s="4" t="s">
        <v>189</v>
      </c>
      <c r="D93" s="10" t="s">
        <v>190</v>
      </c>
      <c r="E93" s="4"/>
      <c r="F93" s="4"/>
      <c r="G93" s="4" t="s">
        <v>140</v>
      </c>
      <c r="H93" s="4" t="s">
        <v>196</v>
      </c>
      <c r="I93" s="4" t="s">
        <v>197</v>
      </c>
      <c r="J93" s="4" t="s">
        <v>188</v>
      </c>
      <c r="K93" s="4" t="s">
        <v>195</v>
      </c>
    </row>
    <row r="94" spans="1:11" ht="42.75" x14ac:dyDescent="0.2">
      <c r="A94" s="5"/>
      <c r="B94" s="4" t="s">
        <v>177</v>
      </c>
      <c r="C94" s="4" t="s">
        <v>189</v>
      </c>
      <c r="D94" s="10" t="s">
        <v>191</v>
      </c>
      <c r="E94" s="4"/>
      <c r="F94" s="4"/>
      <c r="G94" s="4" t="s">
        <v>140</v>
      </c>
      <c r="H94" s="4" t="s">
        <v>196</v>
      </c>
      <c r="I94" s="4" t="s">
        <v>197</v>
      </c>
      <c r="J94" s="4" t="s">
        <v>188</v>
      </c>
      <c r="K94" s="4" t="s">
        <v>195</v>
      </c>
    </row>
    <row r="95" spans="1:11" ht="42.75" x14ac:dyDescent="0.2">
      <c r="A95" s="5"/>
      <c r="B95" s="4" t="s">
        <v>177</v>
      </c>
      <c r="C95" s="4" t="s">
        <v>189</v>
      </c>
      <c r="D95" s="10" t="s">
        <v>192</v>
      </c>
      <c r="E95" s="4"/>
      <c r="F95" s="4"/>
      <c r="G95" s="4" t="s">
        <v>140</v>
      </c>
      <c r="H95" s="4" t="s">
        <v>196</v>
      </c>
      <c r="I95" s="4" t="s">
        <v>197</v>
      </c>
      <c r="J95" s="4" t="s">
        <v>188</v>
      </c>
      <c r="K95" s="4" t="s">
        <v>195</v>
      </c>
    </row>
    <row r="96" spans="1:11" ht="42.75" x14ac:dyDescent="0.2">
      <c r="A96" s="5"/>
      <c r="B96" s="4" t="s">
        <v>177</v>
      </c>
      <c r="C96" s="4" t="s">
        <v>189</v>
      </c>
      <c r="D96" s="10" t="s">
        <v>193</v>
      </c>
      <c r="E96" s="4"/>
      <c r="F96" s="4"/>
      <c r="G96" s="4" t="s">
        <v>140</v>
      </c>
      <c r="H96" s="4" t="s">
        <v>196</v>
      </c>
      <c r="I96" s="4" t="s">
        <v>197</v>
      </c>
      <c r="J96" s="4" t="s">
        <v>188</v>
      </c>
      <c r="K96" s="4" t="s">
        <v>195</v>
      </c>
    </row>
    <row r="97" spans="1:11" ht="42.75" x14ac:dyDescent="0.2">
      <c r="A97" s="5"/>
      <c r="B97" s="4" t="s">
        <v>177</v>
      </c>
      <c r="C97" s="4" t="s">
        <v>189</v>
      </c>
      <c r="D97" s="10" t="s">
        <v>194</v>
      </c>
      <c r="E97" s="4"/>
      <c r="F97" s="4"/>
      <c r="G97" s="4" t="s">
        <v>140</v>
      </c>
      <c r="H97" s="4" t="s">
        <v>196</v>
      </c>
      <c r="I97" s="4" t="s">
        <v>197</v>
      </c>
      <c r="J97" s="4" t="s">
        <v>188</v>
      </c>
      <c r="K97" s="4" t="s">
        <v>195</v>
      </c>
    </row>
    <row r="98" spans="1:11" ht="57" x14ac:dyDescent="0.2">
      <c r="A98" s="5">
        <v>6</v>
      </c>
      <c r="B98" s="4" t="s">
        <v>198</v>
      </c>
      <c r="C98" s="4" t="s">
        <v>199</v>
      </c>
      <c r="D98" s="10" t="s">
        <v>200</v>
      </c>
      <c r="E98" s="4"/>
      <c r="F98" s="4"/>
      <c r="G98" s="4" t="s">
        <v>206</v>
      </c>
      <c r="H98" s="4" t="s">
        <v>207</v>
      </c>
      <c r="I98" s="4" t="s">
        <v>208</v>
      </c>
      <c r="J98" s="4" t="s">
        <v>209</v>
      </c>
      <c r="K98" s="4" t="s">
        <v>210</v>
      </c>
    </row>
    <row r="99" spans="1:11" ht="57" x14ac:dyDescent="0.2">
      <c r="A99" s="5"/>
      <c r="B99" s="4" t="s">
        <v>198</v>
      </c>
      <c r="C99" s="4" t="s">
        <v>199</v>
      </c>
      <c r="D99" s="10" t="s">
        <v>201</v>
      </c>
      <c r="E99" s="4"/>
      <c r="F99" s="4"/>
      <c r="G99" s="4" t="s">
        <v>206</v>
      </c>
      <c r="H99" s="4" t="s">
        <v>207</v>
      </c>
      <c r="I99" s="4" t="s">
        <v>208</v>
      </c>
      <c r="J99" s="4" t="s">
        <v>209</v>
      </c>
      <c r="K99" s="4" t="s">
        <v>210</v>
      </c>
    </row>
    <row r="100" spans="1:11" ht="57" x14ac:dyDescent="0.2">
      <c r="A100" s="5"/>
      <c r="B100" s="4" t="s">
        <v>198</v>
      </c>
      <c r="C100" s="4" t="s">
        <v>199</v>
      </c>
      <c r="D100" s="10" t="s">
        <v>202</v>
      </c>
      <c r="E100" s="4"/>
      <c r="F100" s="4"/>
      <c r="G100" s="4" t="s">
        <v>206</v>
      </c>
      <c r="H100" s="4" t="s">
        <v>207</v>
      </c>
      <c r="I100" s="4" t="s">
        <v>208</v>
      </c>
      <c r="J100" s="4" t="s">
        <v>209</v>
      </c>
      <c r="K100" s="4" t="s">
        <v>210</v>
      </c>
    </row>
    <row r="101" spans="1:11" ht="57" x14ac:dyDescent="0.2">
      <c r="A101" s="5"/>
      <c r="B101" s="4" t="s">
        <v>198</v>
      </c>
      <c r="C101" s="4" t="s">
        <v>199</v>
      </c>
      <c r="D101" s="10" t="s">
        <v>203</v>
      </c>
      <c r="E101" s="4"/>
      <c r="F101" s="4"/>
      <c r="G101" s="4" t="s">
        <v>206</v>
      </c>
      <c r="H101" s="4" t="s">
        <v>207</v>
      </c>
      <c r="I101" s="4" t="s">
        <v>208</v>
      </c>
      <c r="J101" s="4" t="s">
        <v>209</v>
      </c>
      <c r="K101" s="4" t="s">
        <v>210</v>
      </c>
    </row>
    <row r="102" spans="1:11" ht="57" x14ac:dyDescent="0.2">
      <c r="A102" s="5"/>
      <c r="B102" s="4" t="s">
        <v>198</v>
      </c>
      <c r="C102" s="4" t="s">
        <v>199</v>
      </c>
      <c r="D102" s="10" t="s">
        <v>204</v>
      </c>
      <c r="E102" s="4"/>
      <c r="F102" s="4"/>
      <c r="G102" s="4" t="s">
        <v>206</v>
      </c>
      <c r="H102" s="4" t="s">
        <v>207</v>
      </c>
      <c r="I102" s="4" t="s">
        <v>208</v>
      </c>
      <c r="J102" s="4" t="s">
        <v>209</v>
      </c>
      <c r="K102" s="4" t="s">
        <v>210</v>
      </c>
    </row>
    <row r="103" spans="1:11" ht="57" x14ac:dyDescent="0.2">
      <c r="A103" s="5"/>
      <c r="B103" s="4" t="s">
        <v>198</v>
      </c>
      <c r="C103" s="4" t="s">
        <v>199</v>
      </c>
      <c r="D103" s="10" t="s">
        <v>205</v>
      </c>
      <c r="E103" s="4"/>
      <c r="F103" s="4"/>
      <c r="G103" s="4" t="s">
        <v>206</v>
      </c>
      <c r="H103" s="4" t="s">
        <v>207</v>
      </c>
      <c r="I103" s="4" t="s">
        <v>208</v>
      </c>
      <c r="J103" s="4" t="s">
        <v>209</v>
      </c>
      <c r="K103" s="4" t="s">
        <v>210</v>
      </c>
    </row>
    <row r="104" spans="1:11" ht="42.75" x14ac:dyDescent="0.2">
      <c r="A104" s="5"/>
      <c r="B104" s="4" t="s">
        <v>198</v>
      </c>
      <c r="C104" s="4" t="s">
        <v>211</v>
      </c>
      <c r="D104" s="10" t="s">
        <v>212</v>
      </c>
      <c r="E104" s="4"/>
      <c r="F104" s="4"/>
      <c r="G104" s="4" t="s">
        <v>206</v>
      </c>
      <c r="H104" s="4" t="s">
        <v>217</v>
      </c>
      <c r="I104" s="4" t="s">
        <v>218</v>
      </c>
      <c r="J104" s="4" t="s">
        <v>219</v>
      </c>
      <c r="K104" s="4" t="s">
        <v>220</v>
      </c>
    </row>
    <row r="105" spans="1:11" ht="42.75" x14ac:dyDescent="0.2">
      <c r="A105" s="5"/>
      <c r="B105" s="4" t="s">
        <v>198</v>
      </c>
      <c r="C105" s="4" t="s">
        <v>211</v>
      </c>
      <c r="D105" s="10" t="s">
        <v>213</v>
      </c>
      <c r="E105" s="4"/>
      <c r="F105" s="4"/>
      <c r="G105" s="4" t="s">
        <v>206</v>
      </c>
      <c r="H105" s="4" t="s">
        <v>217</v>
      </c>
      <c r="I105" s="4" t="s">
        <v>218</v>
      </c>
      <c r="J105" s="4" t="s">
        <v>219</v>
      </c>
      <c r="K105" s="4" t="s">
        <v>220</v>
      </c>
    </row>
    <row r="106" spans="1:11" ht="42.75" x14ac:dyDescent="0.2">
      <c r="A106" s="5"/>
      <c r="B106" s="4" t="s">
        <v>198</v>
      </c>
      <c r="C106" s="4" t="s">
        <v>211</v>
      </c>
      <c r="D106" s="10" t="s">
        <v>214</v>
      </c>
      <c r="E106" s="4"/>
      <c r="F106" s="4"/>
      <c r="G106" s="4" t="s">
        <v>206</v>
      </c>
      <c r="H106" s="4" t="s">
        <v>217</v>
      </c>
      <c r="I106" s="4" t="s">
        <v>218</v>
      </c>
      <c r="J106" s="4" t="s">
        <v>219</v>
      </c>
      <c r="K106" s="4" t="s">
        <v>220</v>
      </c>
    </row>
    <row r="107" spans="1:11" ht="42.75" x14ac:dyDescent="0.2">
      <c r="A107" s="5"/>
      <c r="B107" s="4" t="s">
        <v>198</v>
      </c>
      <c r="C107" s="4" t="s">
        <v>211</v>
      </c>
      <c r="D107" s="10" t="s">
        <v>215</v>
      </c>
      <c r="E107" s="4"/>
      <c r="F107" s="4"/>
      <c r="G107" s="4" t="s">
        <v>206</v>
      </c>
      <c r="H107" s="4" t="s">
        <v>217</v>
      </c>
      <c r="I107" s="4" t="s">
        <v>218</v>
      </c>
      <c r="J107" s="4" t="s">
        <v>219</v>
      </c>
      <c r="K107" s="4" t="s">
        <v>220</v>
      </c>
    </row>
    <row r="108" spans="1:11" ht="42.75" x14ac:dyDescent="0.2">
      <c r="A108" s="5"/>
      <c r="B108" s="4" t="s">
        <v>198</v>
      </c>
      <c r="C108" s="4" t="s">
        <v>211</v>
      </c>
      <c r="D108" s="10" t="s">
        <v>216</v>
      </c>
      <c r="E108" s="4"/>
      <c r="F108" s="4"/>
      <c r="G108" s="4" t="s">
        <v>206</v>
      </c>
      <c r="H108" s="4" t="s">
        <v>217</v>
      </c>
      <c r="I108" s="4" t="s">
        <v>218</v>
      </c>
      <c r="J108" s="4" t="s">
        <v>219</v>
      </c>
      <c r="K108" s="4" t="s">
        <v>220</v>
      </c>
    </row>
    <row r="109" spans="1:11" ht="28.5" x14ac:dyDescent="0.2">
      <c r="A109" s="5"/>
      <c r="B109" s="4" t="s">
        <v>198</v>
      </c>
      <c r="C109" s="4" t="s">
        <v>221</v>
      </c>
      <c r="D109" s="10" t="s">
        <v>222</v>
      </c>
      <c r="E109" s="4"/>
      <c r="F109" s="4"/>
      <c r="G109" s="4" t="s">
        <v>227</v>
      </c>
      <c r="H109" s="4" t="s">
        <v>228</v>
      </c>
      <c r="I109" s="4" t="s">
        <v>229</v>
      </c>
      <c r="J109" s="4" t="s">
        <v>230</v>
      </c>
      <c r="K109" s="4" t="s">
        <v>231</v>
      </c>
    </row>
    <row r="110" spans="1:11" ht="28.5" x14ac:dyDescent="0.2">
      <c r="A110" s="5"/>
      <c r="B110" s="4" t="s">
        <v>198</v>
      </c>
      <c r="C110" s="4" t="s">
        <v>221</v>
      </c>
      <c r="D110" s="10" t="s">
        <v>223</v>
      </c>
      <c r="E110" s="4"/>
      <c r="F110" s="4"/>
      <c r="G110" s="4" t="s">
        <v>227</v>
      </c>
      <c r="H110" s="4" t="s">
        <v>228</v>
      </c>
      <c r="I110" s="4" t="s">
        <v>229</v>
      </c>
      <c r="J110" s="4" t="s">
        <v>230</v>
      </c>
      <c r="K110" s="4" t="s">
        <v>231</v>
      </c>
    </row>
    <row r="111" spans="1:11" ht="28.5" x14ac:dyDescent="0.2">
      <c r="A111" s="5"/>
      <c r="B111" s="4" t="s">
        <v>198</v>
      </c>
      <c r="C111" s="4" t="s">
        <v>221</v>
      </c>
      <c r="D111" s="10" t="s">
        <v>224</v>
      </c>
      <c r="E111" s="4"/>
      <c r="F111" s="4"/>
      <c r="G111" s="4" t="s">
        <v>227</v>
      </c>
      <c r="H111" s="4" t="s">
        <v>228</v>
      </c>
      <c r="I111" s="4" t="s">
        <v>229</v>
      </c>
      <c r="J111" s="4" t="s">
        <v>230</v>
      </c>
      <c r="K111" s="4" t="s">
        <v>231</v>
      </c>
    </row>
    <row r="112" spans="1:11" ht="28.5" x14ac:dyDescent="0.2">
      <c r="A112" s="5"/>
      <c r="B112" s="4" t="s">
        <v>198</v>
      </c>
      <c r="C112" s="4" t="s">
        <v>221</v>
      </c>
      <c r="D112" s="10" t="s">
        <v>225</v>
      </c>
      <c r="E112" s="4"/>
      <c r="F112" s="4"/>
      <c r="G112" s="4" t="s">
        <v>227</v>
      </c>
      <c r="H112" s="4" t="s">
        <v>228</v>
      </c>
      <c r="I112" s="4" t="s">
        <v>229</v>
      </c>
      <c r="J112" s="4" t="s">
        <v>230</v>
      </c>
      <c r="K112" s="4" t="s">
        <v>231</v>
      </c>
    </row>
    <row r="113" spans="1:11" ht="28.5" x14ac:dyDescent="0.2">
      <c r="A113" s="5"/>
      <c r="B113" s="4" t="s">
        <v>198</v>
      </c>
      <c r="C113" s="4" t="s">
        <v>221</v>
      </c>
      <c r="D113" s="10" t="s">
        <v>226</v>
      </c>
      <c r="E113" s="4"/>
      <c r="F113" s="4"/>
      <c r="G113" s="4" t="s">
        <v>227</v>
      </c>
      <c r="H113" s="4" t="s">
        <v>228</v>
      </c>
      <c r="I113" s="4" t="s">
        <v>229</v>
      </c>
      <c r="J113" s="4" t="s">
        <v>230</v>
      </c>
      <c r="K113" s="4" t="s">
        <v>231</v>
      </c>
    </row>
    <row r="114" spans="1:11" ht="42.75" x14ac:dyDescent="0.2">
      <c r="A114" s="5">
        <v>7</v>
      </c>
      <c r="B114" s="4" t="s">
        <v>232</v>
      </c>
      <c r="C114" s="4" t="s">
        <v>233</v>
      </c>
      <c r="D114" s="10" t="s">
        <v>234</v>
      </c>
      <c r="E114" s="4"/>
      <c r="F114" s="4"/>
      <c r="G114" s="4" t="s">
        <v>140</v>
      </c>
      <c r="H114" s="4" t="s">
        <v>239</v>
      </c>
      <c r="I114" s="4" t="s">
        <v>240</v>
      </c>
      <c r="J114" s="4" t="s">
        <v>241</v>
      </c>
      <c r="K114" s="4" t="s">
        <v>242</v>
      </c>
    </row>
    <row r="115" spans="1:11" ht="42.75" x14ac:dyDescent="0.2">
      <c r="A115" s="5"/>
      <c r="B115" s="4" t="s">
        <v>232</v>
      </c>
      <c r="C115" s="4" t="s">
        <v>233</v>
      </c>
      <c r="D115" s="10" t="s">
        <v>235</v>
      </c>
      <c r="E115" s="4"/>
      <c r="F115" s="4"/>
      <c r="G115" s="4" t="s">
        <v>140</v>
      </c>
      <c r="H115" s="4" t="s">
        <v>239</v>
      </c>
      <c r="I115" s="4" t="s">
        <v>240</v>
      </c>
      <c r="J115" s="4" t="s">
        <v>241</v>
      </c>
      <c r="K115" s="4" t="s">
        <v>242</v>
      </c>
    </row>
    <row r="116" spans="1:11" ht="42.75" x14ac:dyDescent="0.2">
      <c r="A116" s="5"/>
      <c r="B116" s="4" t="s">
        <v>232</v>
      </c>
      <c r="C116" s="4" t="s">
        <v>233</v>
      </c>
      <c r="D116" s="10" t="s">
        <v>236</v>
      </c>
      <c r="E116" s="4"/>
      <c r="F116" s="4"/>
      <c r="G116" s="4" t="s">
        <v>140</v>
      </c>
      <c r="H116" s="4" t="s">
        <v>239</v>
      </c>
      <c r="I116" s="4" t="s">
        <v>240</v>
      </c>
      <c r="J116" s="4" t="s">
        <v>241</v>
      </c>
      <c r="K116" s="4" t="s">
        <v>242</v>
      </c>
    </row>
    <row r="117" spans="1:11" ht="42.75" x14ac:dyDescent="0.2">
      <c r="A117" s="5"/>
      <c r="B117" s="4" t="s">
        <v>232</v>
      </c>
      <c r="C117" s="4" t="s">
        <v>233</v>
      </c>
      <c r="D117" s="10" t="s">
        <v>237</v>
      </c>
      <c r="E117" s="4"/>
      <c r="F117" s="4"/>
      <c r="G117" s="4" t="s">
        <v>140</v>
      </c>
      <c r="H117" s="4" t="s">
        <v>239</v>
      </c>
      <c r="I117" s="4" t="s">
        <v>240</v>
      </c>
      <c r="J117" s="4" t="s">
        <v>241</v>
      </c>
      <c r="K117" s="4" t="s">
        <v>242</v>
      </c>
    </row>
    <row r="118" spans="1:11" ht="42.75" x14ac:dyDescent="0.2">
      <c r="A118" s="5"/>
      <c r="B118" s="4" t="s">
        <v>232</v>
      </c>
      <c r="C118" s="4" t="s">
        <v>233</v>
      </c>
      <c r="D118" s="10" t="s">
        <v>238</v>
      </c>
      <c r="E118" s="4"/>
      <c r="F118" s="4"/>
      <c r="G118" s="4" t="s">
        <v>140</v>
      </c>
      <c r="H118" s="4" t="s">
        <v>239</v>
      </c>
      <c r="I118" s="4" t="s">
        <v>240</v>
      </c>
      <c r="J118" s="4" t="s">
        <v>241</v>
      </c>
      <c r="K118" s="4" t="s">
        <v>242</v>
      </c>
    </row>
    <row r="119" spans="1:11" ht="28.5" x14ac:dyDescent="0.2">
      <c r="A119" s="5"/>
      <c r="B119" s="4" t="s">
        <v>232</v>
      </c>
      <c r="C119" s="4" t="s">
        <v>243</v>
      </c>
      <c r="D119" s="10" t="s">
        <v>245</v>
      </c>
      <c r="E119" s="4"/>
      <c r="F119" s="4"/>
      <c r="G119" s="4" t="s">
        <v>248</v>
      </c>
      <c r="H119" s="4" t="s">
        <v>249</v>
      </c>
      <c r="I119" s="4" t="s">
        <v>250</v>
      </c>
      <c r="J119" s="4" t="s">
        <v>251</v>
      </c>
      <c r="K119" s="4" t="s">
        <v>252</v>
      </c>
    </row>
    <row r="120" spans="1:11" ht="42.75" x14ac:dyDescent="0.2">
      <c r="A120" s="5"/>
      <c r="B120" s="4" t="s">
        <v>232</v>
      </c>
      <c r="C120" s="4" t="s">
        <v>243</v>
      </c>
      <c r="D120" s="10" t="s">
        <v>246</v>
      </c>
      <c r="E120" s="4"/>
      <c r="F120" s="4"/>
      <c r="G120" s="4" t="s">
        <v>248</v>
      </c>
      <c r="H120" s="4" t="s">
        <v>249</v>
      </c>
      <c r="I120" s="4" t="s">
        <v>250</v>
      </c>
      <c r="J120" s="4" t="s">
        <v>251</v>
      </c>
      <c r="K120" s="4" t="s">
        <v>252</v>
      </c>
    </row>
    <row r="121" spans="1:11" ht="42.75" x14ac:dyDescent="0.2">
      <c r="A121" s="5"/>
      <c r="B121" s="4" t="s">
        <v>232</v>
      </c>
      <c r="C121" s="4" t="s">
        <v>243</v>
      </c>
      <c r="D121" s="10" t="s">
        <v>247</v>
      </c>
      <c r="E121" s="4"/>
      <c r="F121" s="4"/>
      <c r="G121" s="4" t="s">
        <v>248</v>
      </c>
      <c r="H121" s="4" t="s">
        <v>249</v>
      </c>
      <c r="I121" s="4" t="s">
        <v>250</v>
      </c>
      <c r="J121" s="4" t="s">
        <v>251</v>
      </c>
      <c r="K121" s="4" t="s">
        <v>252</v>
      </c>
    </row>
    <row r="122" spans="1:11" ht="28.5" x14ac:dyDescent="0.2">
      <c r="A122" s="5"/>
      <c r="B122" s="4" t="s">
        <v>232</v>
      </c>
      <c r="C122" s="4" t="s">
        <v>243</v>
      </c>
      <c r="D122" s="10" t="s">
        <v>244</v>
      </c>
      <c r="E122" s="4"/>
      <c r="F122" s="4"/>
      <c r="G122" s="4" t="s">
        <v>248</v>
      </c>
      <c r="H122" s="4" t="s">
        <v>249</v>
      </c>
      <c r="I122" s="4" t="s">
        <v>250</v>
      </c>
      <c r="J122" s="4" t="s">
        <v>251</v>
      </c>
      <c r="K122" s="4" t="s">
        <v>252</v>
      </c>
    </row>
    <row r="123" spans="1:11" ht="57" x14ac:dyDescent="0.2">
      <c r="A123" s="5"/>
      <c r="B123" s="4" t="s">
        <v>232</v>
      </c>
      <c r="C123" s="4" t="s">
        <v>253</v>
      </c>
      <c r="D123" s="10" t="s">
        <v>254</v>
      </c>
      <c r="E123" s="4"/>
      <c r="F123" s="4"/>
      <c r="G123" s="4" t="s">
        <v>140</v>
      </c>
      <c r="H123" s="4" t="s">
        <v>258</v>
      </c>
      <c r="I123" s="4" t="s">
        <v>259</v>
      </c>
      <c r="J123" s="4" t="s">
        <v>260</v>
      </c>
      <c r="K123" s="4" t="s">
        <v>261</v>
      </c>
    </row>
    <row r="124" spans="1:11" ht="57" x14ac:dyDescent="0.2">
      <c r="A124" s="5"/>
      <c r="B124" s="4" t="s">
        <v>232</v>
      </c>
      <c r="C124" s="4" t="s">
        <v>253</v>
      </c>
      <c r="D124" s="10" t="s">
        <v>255</v>
      </c>
      <c r="E124" s="4"/>
      <c r="F124" s="4"/>
      <c r="G124" s="4" t="s">
        <v>140</v>
      </c>
      <c r="H124" s="4" t="s">
        <v>258</v>
      </c>
      <c r="I124" s="4" t="s">
        <v>259</v>
      </c>
      <c r="J124" s="4" t="s">
        <v>260</v>
      </c>
      <c r="K124" s="4" t="s">
        <v>261</v>
      </c>
    </row>
    <row r="125" spans="1:11" ht="57" x14ac:dyDescent="0.2">
      <c r="A125" s="5"/>
      <c r="B125" s="4" t="s">
        <v>232</v>
      </c>
      <c r="C125" s="4" t="s">
        <v>253</v>
      </c>
      <c r="D125" s="10" t="s">
        <v>256</v>
      </c>
      <c r="E125" s="4"/>
      <c r="F125" s="4"/>
      <c r="G125" s="4" t="s">
        <v>140</v>
      </c>
      <c r="H125" s="4" t="s">
        <v>258</v>
      </c>
      <c r="I125" s="4" t="s">
        <v>259</v>
      </c>
      <c r="J125" s="4" t="s">
        <v>260</v>
      </c>
      <c r="K125" s="4" t="s">
        <v>261</v>
      </c>
    </row>
    <row r="126" spans="1:11" ht="57" x14ac:dyDescent="0.2">
      <c r="A126" s="5"/>
      <c r="B126" s="4" t="s">
        <v>232</v>
      </c>
      <c r="C126" s="4" t="s">
        <v>253</v>
      </c>
      <c r="D126" s="10" t="s">
        <v>257</v>
      </c>
      <c r="E126" s="4"/>
      <c r="F126" s="4"/>
      <c r="G126" s="4" t="s">
        <v>140</v>
      </c>
      <c r="H126" s="4" t="s">
        <v>258</v>
      </c>
      <c r="I126" s="4" t="s">
        <v>259</v>
      </c>
      <c r="J126" s="4" t="s">
        <v>260</v>
      </c>
      <c r="K126" s="4" t="s">
        <v>261</v>
      </c>
    </row>
    <row r="127" spans="1:11" ht="57" x14ac:dyDescent="0.2">
      <c r="A127" s="5">
        <v>8</v>
      </c>
      <c r="B127" s="4" t="s">
        <v>262</v>
      </c>
      <c r="C127" s="4" t="s">
        <v>263</v>
      </c>
      <c r="D127" s="10" t="s">
        <v>270</v>
      </c>
      <c r="E127" s="4"/>
      <c r="F127" s="4"/>
      <c r="G127" s="4" t="s">
        <v>264</v>
      </c>
      <c r="H127" s="4" t="s">
        <v>265</v>
      </c>
      <c r="I127" s="4" t="s">
        <v>266</v>
      </c>
      <c r="J127" s="4" t="s">
        <v>267</v>
      </c>
      <c r="K127" s="4" t="s">
        <v>268</v>
      </c>
    </row>
    <row r="128" spans="1:11" ht="57" x14ac:dyDescent="0.2">
      <c r="A128" s="5"/>
      <c r="B128" s="4" t="s">
        <v>262</v>
      </c>
      <c r="C128" s="4" t="s">
        <v>263</v>
      </c>
      <c r="D128" s="10" t="s">
        <v>271</v>
      </c>
      <c r="E128" s="4"/>
      <c r="F128" s="4"/>
      <c r="G128" s="4" t="s">
        <v>264</v>
      </c>
      <c r="H128" s="4" t="s">
        <v>265</v>
      </c>
      <c r="I128" s="4" t="s">
        <v>266</v>
      </c>
      <c r="J128" s="4" t="s">
        <v>267</v>
      </c>
      <c r="K128" s="4" t="s">
        <v>268</v>
      </c>
    </row>
    <row r="129" spans="1:11" ht="57" x14ac:dyDescent="0.2">
      <c r="A129" s="15"/>
      <c r="B129" s="4" t="s">
        <v>262</v>
      </c>
      <c r="C129" s="4" t="s">
        <v>263</v>
      </c>
      <c r="D129" s="10" t="s">
        <v>272</v>
      </c>
      <c r="E129" s="4"/>
      <c r="F129" s="4"/>
      <c r="G129" s="4" t="s">
        <v>264</v>
      </c>
      <c r="H129" s="4" t="s">
        <v>265</v>
      </c>
      <c r="I129" s="4" t="s">
        <v>266</v>
      </c>
      <c r="J129" s="4" t="s">
        <v>267</v>
      </c>
      <c r="K129" s="4" t="s">
        <v>268</v>
      </c>
    </row>
    <row r="130" spans="1:11" ht="57" x14ac:dyDescent="0.2">
      <c r="A130" s="15"/>
      <c r="B130" s="4" t="s">
        <v>262</v>
      </c>
      <c r="C130" s="4" t="s">
        <v>263</v>
      </c>
      <c r="D130" s="10" t="s">
        <v>273</v>
      </c>
      <c r="E130" s="4"/>
      <c r="F130" s="4"/>
      <c r="G130" s="4" t="s">
        <v>264</v>
      </c>
      <c r="H130" s="4" t="s">
        <v>265</v>
      </c>
      <c r="I130" s="4" t="s">
        <v>266</v>
      </c>
      <c r="J130" s="4" t="s">
        <v>267</v>
      </c>
      <c r="K130" s="4" t="s">
        <v>268</v>
      </c>
    </row>
    <row r="131" spans="1:11" ht="57" x14ac:dyDescent="0.2">
      <c r="A131" s="15"/>
      <c r="B131" s="4" t="s">
        <v>262</v>
      </c>
      <c r="C131" s="4" t="s">
        <v>269</v>
      </c>
      <c r="D131" s="10" t="s">
        <v>274</v>
      </c>
      <c r="E131" s="4"/>
      <c r="F131" s="4"/>
      <c r="G131" s="4" t="s">
        <v>264</v>
      </c>
      <c r="H131" s="4" t="s">
        <v>277</v>
      </c>
      <c r="I131" s="4" t="s">
        <v>278</v>
      </c>
      <c r="J131" s="4" t="s">
        <v>279</v>
      </c>
      <c r="K131" s="4" t="s">
        <v>280</v>
      </c>
    </row>
    <row r="132" spans="1:11" ht="42.75" x14ac:dyDescent="0.2">
      <c r="A132" s="5"/>
      <c r="B132" s="4" t="s">
        <v>262</v>
      </c>
      <c r="C132" s="4" t="s">
        <v>269</v>
      </c>
      <c r="D132" s="10" t="s">
        <v>275</v>
      </c>
      <c r="E132" s="4"/>
      <c r="F132" s="4"/>
      <c r="G132" s="4" t="s">
        <v>264</v>
      </c>
      <c r="H132" s="4" t="s">
        <v>277</v>
      </c>
      <c r="I132" s="4" t="s">
        <v>278</v>
      </c>
      <c r="J132" s="4" t="s">
        <v>279</v>
      </c>
      <c r="K132" s="4" t="s">
        <v>280</v>
      </c>
    </row>
    <row r="133" spans="1:11" ht="42.75" x14ac:dyDescent="0.2">
      <c r="A133" s="5"/>
      <c r="B133" s="4" t="s">
        <v>262</v>
      </c>
      <c r="C133" s="4" t="s">
        <v>269</v>
      </c>
      <c r="D133" s="10" t="s">
        <v>276</v>
      </c>
      <c r="E133" s="4"/>
      <c r="F133" s="4"/>
      <c r="G133" s="4" t="s">
        <v>264</v>
      </c>
      <c r="H133" s="4" t="s">
        <v>277</v>
      </c>
      <c r="I133" s="4" t="s">
        <v>278</v>
      </c>
      <c r="J133" s="4" t="s">
        <v>279</v>
      </c>
      <c r="K133" s="4" t="s">
        <v>280</v>
      </c>
    </row>
    <row r="134" spans="1:11" ht="42.75" x14ac:dyDescent="0.2">
      <c r="A134" s="5"/>
      <c r="B134" s="4" t="s">
        <v>262</v>
      </c>
      <c r="C134" s="4" t="s">
        <v>281</v>
      </c>
      <c r="D134" s="10" t="s">
        <v>282</v>
      </c>
      <c r="E134" s="4"/>
      <c r="F134" s="4"/>
      <c r="G134" s="4" t="s">
        <v>285</v>
      </c>
      <c r="H134" s="4" t="s">
        <v>286</v>
      </c>
      <c r="I134" s="4" t="s">
        <v>287</v>
      </c>
      <c r="J134" s="4" t="s">
        <v>288</v>
      </c>
      <c r="K134" s="4" t="s">
        <v>289</v>
      </c>
    </row>
    <row r="135" spans="1:11" ht="42.75" x14ac:dyDescent="0.2">
      <c r="A135" s="5"/>
      <c r="B135" s="4" t="s">
        <v>262</v>
      </c>
      <c r="C135" s="4" t="s">
        <v>281</v>
      </c>
      <c r="D135" s="10" t="s">
        <v>283</v>
      </c>
      <c r="E135" s="4"/>
      <c r="F135" s="4"/>
      <c r="G135" s="4" t="s">
        <v>285</v>
      </c>
      <c r="H135" s="4" t="s">
        <v>286</v>
      </c>
      <c r="I135" s="4" t="s">
        <v>287</v>
      </c>
      <c r="J135" s="4" t="s">
        <v>288</v>
      </c>
      <c r="K135" s="4" t="s">
        <v>289</v>
      </c>
    </row>
    <row r="136" spans="1:11" ht="42.75" x14ac:dyDescent="0.2">
      <c r="A136" s="5"/>
      <c r="B136" s="4" t="s">
        <v>262</v>
      </c>
      <c r="C136" s="4" t="s">
        <v>281</v>
      </c>
      <c r="D136" s="10" t="s">
        <v>284</v>
      </c>
      <c r="E136" s="4"/>
      <c r="F136" s="4"/>
      <c r="G136" s="4" t="s">
        <v>285</v>
      </c>
      <c r="H136" s="4" t="s">
        <v>286</v>
      </c>
      <c r="I136" s="4" t="s">
        <v>287</v>
      </c>
      <c r="J136" s="4" t="s">
        <v>288</v>
      </c>
      <c r="K136" s="4" t="s">
        <v>289</v>
      </c>
    </row>
    <row r="137" spans="1:11" ht="30.75" x14ac:dyDescent="0.2">
      <c r="A137" s="5">
        <v>9</v>
      </c>
      <c r="B137" s="4" t="s">
        <v>290</v>
      </c>
      <c r="C137" s="4" t="s">
        <v>296</v>
      </c>
      <c r="D137" s="4" t="s">
        <v>291</v>
      </c>
      <c r="E137" s="4"/>
      <c r="F137" s="4"/>
      <c r="G137" s="4" t="s">
        <v>297</v>
      </c>
      <c r="H137" s="4" t="s">
        <v>328</v>
      </c>
      <c r="I137" s="4" t="s">
        <v>298</v>
      </c>
      <c r="J137" s="4" t="s">
        <v>299</v>
      </c>
      <c r="K137" s="4" t="s">
        <v>300</v>
      </c>
    </row>
    <row r="138" spans="1:11" ht="30.75" x14ac:dyDescent="0.2">
      <c r="A138" s="5"/>
      <c r="B138" s="4" t="s">
        <v>290</v>
      </c>
      <c r="C138" s="4" t="s">
        <v>296</v>
      </c>
      <c r="D138" s="4" t="s">
        <v>292</v>
      </c>
      <c r="E138" s="4"/>
      <c r="F138" s="4"/>
      <c r="G138" s="4" t="s">
        <v>297</v>
      </c>
      <c r="H138" s="4" t="s">
        <v>328</v>
      </c>
      <c r="I138" s="4" t="s">
        <v>298</v>
      </c>
      <c r="J138" s="4" t="s">
        <v>299</v>
      </c>
      <c r="K138" s="4" t="s">
        <v>300</v>
      </c>
    </row>
    <row r="139" spans="1:11" ht="30.75" x14ac:dyDescent="0.2">
      <c r="A139" s="5"/>
      <c r="B139" s="4" t="s">
        <v>290</v>
      </c>
      <c r="C139" s="4" t="s">
        <v>296</v>
      </c>
      <c r="D139" s="4" t="s">
        <v>293</v>
      </c>
      <c r="E139" s="4"/>
      <c r="F139" s="4"/>
      <c r="G139" s="4" t="s">
        <v>297</v>
      </c>
      <c r="H139" s="4" t="s">
        <v>328</v>
      </c>
      <c r="I139" s="4" t="s">
        <v>298</v>
      </c>
      <c r="J139" s="4" t="s">
        <v>299</v>
      </c>
      <c r="K139" s="4" t="s">
        <v>300</v>
      </c>
    </row>
    <row r="140" spans="1:11" ht="30.75" x14ac:dyDescent="0.2">
      <c r="A140" s="5"/>
      <c r="B140" s="4" t="s">
        <v>290</v>
      </c>
      <c r="C140" s="4" t="s">
        <v>296</v>
      </c>
      <c r="D140" s="4" t="s">
        <v>294</v>
      </c>
      <c r="E140" s="4"/>
      <c r="F140" s="4"/>
      <c r="G140" s="4" t="s">
        <v>297</v>
      </c>
      <c r="H140" s="4" t="s">
        <v>328</v>
      </c>
      <c r="I140" s="4" t="s">
        <v>298</v>
      </c>
      <c r="J140" s="4" t="s">
        <v>299</v>
      </c>
      <c r="K140" s="4" t="s">
        <v>300</v>
      </c>
    </row>
    <row r="141" spans="1:11" ht="30.75" x14ac:dyDescent="0.2">
      <c r="A141" s="5"/>
      <c r="B141" s="4" t="s">
        <v>290</v>
      </c>
      <c r="C141" s="4" t="s">
        <v>296</v>
      </c>
      <c r="D141" s="4" t="s">
        <v>295</v>
      </c>
      <c r="E141" s="4"/>
      <c r="F141" s="4"/>
      <c r="G141" s="4" t="s">
        <v>297</v>
      </c>
      <c r="H141" s="4" t="s">
        <v>328</v>
      </c>
      <c r="I141" s="4" t="s">
        <v>298</v>
      </c>
      <c r="J141" s="4" t="s">
        <v>299</v>
      </c>
      <c r="K141" s="4" t="s">
        <v>300</v>
      </c>
    </row>
    <row r="142" spans="1:11" ht="30.75" x14ac:dyDescent="0.2">
      <c r="A142" s="5"/>
      <c r="B142" s="4" t="s">
        <v>290</v>
      </c>
      <c r="C142" s="4" t="s">
        <v>296</v>
      </c>
      <c r="D142" s="4" t="s">
        <v>302</v>
      </c>
      <c r="E142" s="4"/>
      <c r="F142" s="4"/>
      <c r="G142" s="4" t="s">
        <v>297</v>
      </c>
      <c r="H142" s="4" t="s">
        <v>328</v>
      </c>
      <c r="I142" s="4" t="s">
        <v>298</v>
      </c>
      <c r="J142" s="4" t="s">
        <v>299</v>
      </c>
      <c r="K142" s="4" t="s">
        <v>300</v>
      </c>
    </row>
    <row r="143" spans="1:11" ht="30.75" x14ac:dyDescent="0.2">
      <c r="A143" s="5"/>
      <c r="B143" s="4" t="s">
        <v>290</v>
      </c>
      <c r="C143" s="4" t="s">
        <v>301</v>
      </c>
      <c r="D143" s="10" t="s">
        <v>303</v>
      </c>
      <c r="E143" s="4"/>
      <c r="F143" s="4"/>
      <c r="G143" s="4" t="s">
        <v>297</v>
      </c>
      <c r="H143" s="4" t="s">
        <v>328</v>
      </c>
      <c r="I143" s="4" t="s">
        <v>308</v>
      </c>
      <c r="J143" s="4" t="s">
        <v>299</v>
      </c>
      <c r="K143" s="4" t="s">
        <v>309</v>
      </c>
    </row>
    <row r="144" spans="1:11" ht="30.75" x14ac:dyDescent="0.2">
      <c r="A144" s="5"/>
      <c r="B144" s="4" t="s">
        <v>290</v>
      </c>
      <c r="C144" s="4" t="s">
        <v>301</v>
      </c>
      <c r="D144" s="10" t="s">
        <v>304</v>
      </c>
      <c r="E144" s="4"/>
      <c r="F144" s="4"/>
      <c r="G144" s="4" t="s">
        <v>297</v>
      </c>
      <c r="H144" s="4" t="s">
        <v>328</v>
      </c>
      <c r="I144" s="4" t="s">
        <v>308</v>
      </c>
      <c r="J144" s="4" t="s">
        <v>299</v>
      </c>
      <c r="K144" s="4" t="s">
        <v>309</v>
      </c>
    </row>
    <row r="145" spans="1:11" ht="30.75" x14ac:dyDescent="0.2">
      <c r="A145" s="5"/>
      <c r="B145" s="4" t="s">
        <v>290</v>
      </c>
      <c r="C145" s="4" t="s">
        <v>301</v>
      </c>
      <c r="D145" s="10" t="s">
        <v>305</v>
      </c>
      <c r="E145" s="4"/>
      <c r="F145" s="4"/>
      <c r="G145" s="4" t="s">
        <v>297</v>
      </c>
      <c r="H145" s="4" t="s">
        <v>328</v>
      </c>
      <c r="I145" s="4" t="s">
        <v>308</v>
      </c>
      <c r="J145" s="4" t="s">
        <v>299</v>
      </c>
      <c r="K145" s="4" t="s">
        <v>309</v>
      </c>
    </row>
    <row r="146" spans="1:11" ht="30.75" x14ac:dyDescent="0.2">
      <c r="A146" s="5"/>
      <c r="B146" s="4" t="s">
        <v>290</v>
      </c>
      <c r="C146" s="4" t="s">
        <v>301</v>
      </c>
      <c r="D146" s="10" t="s">
        <v>306</v>
      </c>
      <c r="E146" s="4"/>
      <c r="F146" s="4"/>
      <c r="G146" s="4" t="s">
        <v>297</v>
      </c>
      <c r="H146" s="4" t="s">
        <v>328</v>
      </c>
      <c r="I146" s="4" t="s">
        <v>308</v>
      </c>
      <c r="J146" s="4" t="s">
        <v>299</v>
      </c>
      <c r="K146" s="4" t="s">
        <v>309</v>
      </c>
    </row>
    <row r="147" spans="1:11" ht="30.75" x14ac:dyDescent="0.2">
      <c r="A147" s="5"/>
      <c r="B147" s="4" t="s">
        <v>290</v>
      </c>
      <c r="C147" s="4" t="s">
        <v>301</v>
      </c>
      <c r="D147" s="10" t="s">
        <v>307</v>
      </c>
      <c r="E147" s="4"/>
      <c r="F147" s="4"/>
      <c r="G147" s="4" t="s">
        <v>297</v>
      </c>
      <c r="H147" s="4" t="s">
        <v>328</v>
      </c>
      <c r="I147" s="4" t="s">
        <v>308</v>
      </c>
      <c r="J147" s="4" t="s">
        <v>299</v>
      </c>
      <c r="K147" s="4" t="s">
        <v>309</v>
      </c>
    </row>
    <row r="148" spans="1:11" ht="30.75" x14ac:dyDescent="0.2">
      <c r="A148" s="5"/>
      <c r="B148" s="4" t="s">
        <v>290</v>
      </c>
      <c r="C148" s="4" t="s">
        <v>310</v>
      </c>
      <c r="D148" s="10" t="s">
        <v>311</v>
      </c>
      <c r="E148" s="4"/>
      <c r="F148" s="4"/>
      <c r="G148" s="4" t="s">
        <v>297</v>
      </c>
      <c r="H148" s="4" t="s">
        <v>328</v>
      </c>
      <c r="I148" s="4" t="s">
        <v>315</v>
      </c>
      <c r="J148" s="4" t="s">
        <v>316</v>
      </c>
      <c r="K148" s="4" t="s">
        <v>317</v>
      </c>
    </row>
    <row r="149" spans="1:11" ht="30.75" x14ac:dyDescent="0.2">
      <c r="A149" s="5"/>
      <c r="B149" s="4" t="s">
        <v>290</v>
      </c>
      <c r="C149" s="4" t="s">
        <v>310</v>
      </c>
      <c r="D149" s="10" t="s">
        <v>312</v>
      </c>
      <c r="E149" s="4"/>
      <c r="F149" s="4"/>
      <c r="G149" s="4" t="s">
        <v>297</v>
      </c>
      <c r="H149" s="4" t="s">
        <v>328</v>
      </c>
      <c r="I149" s="4" t="s">
        <v>315</v>
      </c>
      <c r="J149" s="4" t="s">
        <v>316</v>
      </c>
      <c r="K149" s="4" t="s">
        <v>317</v>
      </c>
    </row>
    <row r="150" spans="1:11" ht="42.75" x14ac:dyDescent="0.2">
      <c r="A150" s="5"/>
      <c r="B150" s="4" t="s">
        <v>290</v>
      </c>
      <c r="C150" s="4" t="s">
        <v>310</v>
      </c>
      <c r="D150" s="10" t="s">
        <v>313</v>
      </c>
      <c r="E150" s="4"/>
      <c r="F150" s="4"/>
      <c r="G150" s="4" t="s">
        <v>297</v>
      </c>
      <c r="H150" s="4" t="s">
        <v>328</v>
      </c>
      <c r="I150" s="4" t="s">
        <v>315</v>
      </c>
      <c r="J150" s="4" t="s">
        <v>316</v>
      </c>
      <c r="K150" s="4" t="s">
        <v>317</v>
      </c>
    </row>
    <row r="151" spans="1:11" ht="30.75" x14ac:dyDescent="0.2">
      <c r="A151" s="5"/>
      <c r="B151" s="4" t="s">
        <v>290</v>
      </c>
      <c r="C151" s="4" t="s">
        <v>310</v>
      </c>
      <c r="D151" s="10" t="s">
        <v>314</v>
      </c>
      <c r="E151" s="4"/>
      <c r="F151" s="4"/>
      <c r="G151" s="4" t="s">
        <v>297</v>
      </c>
      <c r="H151" s="4" t="s">
        <v>328</v>
      </c>
      <c r="I151" s="4" t="s">
        <v>315</v>
      </c>
      <c r="J151" s="4" t="s">
        <v>316</v>
      </c>
      <c r="K151" s="4" t="s">
        <v>317</v>
      </c>
    </row>
    <row r="152" spans="1:11" ht="42.75" x14ac:dyDescent="0.2">
      <c r="A152" s="5"/>
      <c r="B152" s="4" t="s">
        <v>290</v>
      </c>
      <c r="C152" s="4" t="s">
        <v>318</v>
      </c>
      <c r="D152" s="10" t="s">
        <v>319</v>
      </c>
      <c r="E152" s="4"/>
      <c r="F152" s="4"/>
      <c r="G152" s="4" t="s">
        <v>297</v>
      </c>
      <c r="H152" s="4" t="s">
        <v>328</v>
      </c>
      <c r="I152" s="4" t="s">
        <v>77</v>
      </c>
      <c r="J152" s="4" t="s">
        <v>99</v>
      </c>
      <c r="K152" s="4" t="s">
        <v>322</v>
      </c>
    </row>
    <row r="153" spans="1:11" ht="30.75" x14ac:dyDescent="0.2">
      <c r="A153" s="5"/>
      <c r="B153" s="4" t="s">
        <v>290</v>
      </c>
      <c r="C153" s="4" t="s">
        <v>318</v>
      </c>
      <c r="D153" s="10" t="s">
        <v>320</v>
      </c>
      <c r="E153" s="4"/>
      <c r="F153" s="4"/>
      <c r="G153" s="4" t="s">
        <v>297</v>
      </c>
      <c r="H153" s="4" t="s">
        <v>328</v>
      </c>
      <c r="I153" s="4" t="s">
        <v>77</v>
      </c>
      <c r="J153" s="4" t="s">
        <v>99</v>
      </c>
      <c r="K153" s="4" t="s">
        <v>322</v>
      </c>
    </row>
    <row r="154" spans="1:11" ht="30.75" x14ac:dyDescent="0.2">
      <c r="A154" s="5"/>
      <c r="B154" s="4" t="s">
        <v>290</v>
      </c>
      <c r="C154" s="4" t="s">
        <v>318</v>
      </c>
      <c r="D154" s="10" t="s">
        <v>321</v>
      </c>
      <c r="E154" s="4"/>
      <c r="F154" s="4"/>
      <c r="G154" s="4" t="s">
        <v>297</v>
      </c>
      <c r="H154" s="4" t="s">
        <v>328</v>
      </c>
      <c r="I154" s="4" t="s">
        <v>77</v>
      </c>
      <c r="J154" s="4" t="s">
        <v>99</v>
      </c>
      <c r="K154" s="4" t="s">
        <v>322</v>
      </c>
    </row>
    <row r="155" spans="1:11" ht="30.75" x14ac:dyDescent="0.2">
      <c r="A155" s="5"/>
      <c r="B155" s="4" t="s">
        <v>290</v>
      </c>
      <c r="C155" s="4" t="s">
        <v>323</v>
      </c>
      <c r="D155" s="10" t="s">
        <v>324</v>
      </c>
      <c r="E155" s="4"/>
      <c r="F155" s="4"/>
      <c r="G155" s="4" t="s">
        <v>297</v>
      </c>
      <c r="H155" s="4" t="s">
        <v>328</v>
      </c>
      <c r="I155" s="4" t="s">
        <v>77</v>
      </c>
      <c r="J155" s="4" t="s">
        <v>327</v>
      </c>
      <c r="K155" s="4" t="s">
        <v>299</v>
      </c>
    </row>
    <row r="156" spans="1:11" ht="30.75" x14ac:dyDescent="0.2">
      <c r="A156" s="5"/>
      <c r="B156" s="4" t="s">
        <v>290</v>
      </c>
      <c r="C156" s="4" t="s">
        <v>323</v>
      </c>
      <c r="D156" s="10" t="s">
        <v>325</v>
      </c>
      <c r="E156" s="4"/>
      <c r="F156" s="4"/>
      <c r="G156" s="4" t="s">
        <v>297</v>
      </c>
      <c r="H156" s="4" t="s">
        <v>328</v>
      </c>
      <c r="I156" s="4" t="s">
        <v>77</v>
      </c>
      <c r="J156" s="4" t="s">
        <v>327</v>
      </c>
      <c r="K156" s="4" t="s">
        <v>299</v>
      </c>
    </row>
    <row r="157" spans="1:11" ht="30.75" x14ac:dyDescent="0.2">
      <c r="A157" s="5"/>
      <c r="B157" s="4" t="s">
        <v>290</v>
      </c>
      <c r="C157" s="4" t="s">
        <v>323</v>
      </c>
      <c r="D157" s="10" t="s">
        <v>326</v>
      </c>
      <c r="E157" s="4"/>
      <c r="F157" s="4"/>
      <c r="G157" s="4" t="s">
        <v>297</v>
      </c>
      <c r="H157" s="4" t="s">
        <v>328</v>
      </c>
      <c r="I157" s="4" t="s">
        <v>77</v>
      </c>
      <c r="J157" s="4" t="s">
        <v>327</v>
      </c>
      <c r="K157" s="4" t="s">
        <v>299</v>
      </c>
    </row>
    <row r="158" spans="1:11" x14ac:dyDescent="0.2">
      <c r="A158" s="5"/>
      <c r="B158" s="4"/>
      <c r="C158" s="4"/>
      <c r="D158" s="10"/>
      <c r="E158" s="4"/>
      <c r="F158" s="4"/>
      <c r="G158" s="4"/>
      <c r="H158" s="4"/>
      <c r="I158" s="4"/>
      <c r="J158" s="4"/>
      <c r="K158" s="4"/>
    </row>
    <row r="159" spans="1:11" x14ac:dyDescent="0.2">
      <c r="A159" s="5"/>
      <c r="B159" s="4"/>
      <c r="C159" s="4"/>
      <c r="D159" s="10"/>
      <c r="E159" s="4"/>
      <c r="F159" s="4"/>
      <c r="G159" s="4"/>
      <c r="H159" s="4"/>
      <c r="I159" s="4"/>
      <c r="J159" s="4"/>
      <c r="K159" s="4"/>
    </row>
    <row r="160" spans="1:11" x14ac:dyDescent="0.2">
      <c r="A160" s="5"/>
      <c r="B160" s="4"/>
      <c r="C160" s="4"/>
      <c r="D160" s="10"/>
      <c r="E160" s="4"/>
      <c r="F160" s="4"/>
      <c r="G160" s="4"/>
      <c r="H160" s="4"/>
      <c r="I160" s="4"/>
      <c r="J160" s="4"/>
      <c r="K160" s="4"/>
    </row>
    <row r="161" spans="1:11" x14ac:dyDescent="0.2">
      <c r="A161" s="5"/>
      <c r="B161" s="4"/>
      <c r="C161" s="4"/>
      <c r="D161" s="10"/>
      <c r="E161" s="4"/>
      <c r="F161" s="4"/>
      <c r="G161" s="4"/>
      <c r="H161" s="4"/>
      <c r="I161" s="4"/>
      <c r="J161" s="4"/>
      <c r="K161" s="4"/>
    </row>
    <row r="162" spans="1:11" x14ac:dyDescent="0.2">
      <c r="A162" s="5"/>
      <c r="B162" s="4"/>
      <c r="C162" s="4"/>
      <c r="D162" s="10"/>
      <c r="E162" s="4"/>
      <c r="F162" s="4"/>
      <c r="G162" s="4"/>
      <c r="H162" s="4"/>
      <c r="I162" s="4"/>
      <c r="J162" s="4"/>
      <c r="K162" s="4"/>
    </row>
    <row r="163" spans="1:11" x14ac:dyDescent="0.2">
      <c r="A163" s="5"/>
      <c r="B163" s="4"/>
      <c r="C163" s="4"/>
      <c r="D163" s="10"/>
      <c r="E163" s="4"/>
      <c r="F163" s="4"/>
      <c r="G163" s="4"/>
      <c r="H163" s="4"/>
      <c r="I163" s="4"/>
      <c r="J163" s="4"/>
      <c r="K163" s="4"/>
    </row>
    <row r="164" spans="1:11" x14ac:dyDescent="0.2">
      <c r="A164" s="5"/>
      <c r="B164" s="4"/>
      <c r="C164" s="4"/>
      <c r="D164" s="10"/>
      <c r="E164" s="4"/>
      <c r="F164" s="4"/>
      <c r="G164" s="4"/>
      <c r="H164" s="4"/>
      <c r="I164" s="4"/>
      <c r="J164" s="4"/>
      <c r="K164" s="4"/>
    </row>
    <row r="165" spans="1:11" x14ac:dyDescent="0.2">
      <c r="A165" s="5"/>
      <c r="B165" s="4"/>
      <c r="C165" s="4"/>
      <c r="D165" s="10"/>
      <c r="E165" s="4"/>
      <c r="F165" s="4"/>
      <c r="G165" s="4"/>
      <c r="H165" s="4"/>
      <c r="I165" s="4"/>
      <c r="J165" s="4"/>
      <c r="K165" s="4"/>
    </row>
    <row r="166" spans="1:11" x14ac:dyDescent="0.2">
      <c r="A166" s="5"/>
      <c r="B166" s="4"/>
      <c r="C166" s="4"/>
      <c r="D166" s="10"/>
      <c r="E166" s="4"/>
      <c r="F166" s="4"/>
      <c r="G166" s="4"/>
      <c r="H166" s="4"/>
      <c r="I166" s="4"/>
      <c r="J166" s="4"/>
      <c r="K166" s="4"/>
    </row>
    <row r="167" spans="1:11" x14ac:dyDescent="0.2">
      <c r="A167" s="5"/>
      <c r="B167" s="4"/>
      <c r="C167" s="4"/>
      <c r="D167" s="10"/>
      <c r="E167" s="4"/>
      <c r="F167" s="4"/>
      <c r="G167" s="4"/>
      <c r="H167" s="4"/>
      <c r="I167" s="4"/>
      <c r="J167" s="4"/>
      <c r="K167" s="4"/>
    </row>
    <row r="168" spans="1:11" x14ac:dyDescent="0.2">
      <c r="A168" s="5"/>
      <c r="B168" s="4"/>
      <c r="C168" s="4"/>
      <c r="D168" s="10"/>
      <c r="E168" s="4"/>
      <c r="F168" s="4"/>
      <c r="G168" s="4"/>
      <c r="H168" s="4"/>
      <c r="I168" s="4"/>
      <c r="J168" s="4"/>
      <c r="K168" s="4"/>
    </row>
    <row r="169" spans="1:11" x14ac:dyDescent="0.2">
      <c r="A169" s="5"/>
      <c r="B169" s="4"/>
      <c r="C169" s="4"/>
      <c r="D169" s="10"/>
      <c r="E169" s="4"/>
      <c r="F169" s="4"/>
      <c r="G169" s="4"/>
      <c r="H169" s="4"/>
      <c r="I169" s="4"/>
      <c r="J169" s="4"/>
      <c r="K169" s="4"/>
    </row>
    <row r="170" spans="1:11" x14ac:dyDescent="0.2">
      <c r="A170" s="5"/>
      <c r="B170" s="4"/>
      <c r="C170" s="4"/>
      <c r="D170" s="10"/>
      <c r="E170" s="4"/>
      <c r="F170" s="4"/>
      <c r="G170" s="4"/>
      <c r="H170" s="4"/>
      <c r="I170" s="4"/>
      <c r="J170" s="4"/>
      <c r="K170" s="4"/>
    </row>
    <row r="171" spans="1:11" x14ac:dyDescent="0.2">
      <c r="A171" s="5"/>
      <c r="B171" s="4"/>
      <c r="C171" s="4"/>
      <c r="D171" s="10"/>
      <c r="E171" s="4"/>
      <c r="F171" s="4"/>
      <c r="G171" s="4"/>
      <c r="H171" s="4"/>
      <c r="I171" s="4"/>
      <c r="J171" s="4"/>
      <c r="K171" s="4"/>
    </row>
    <row r="172" spans="1:11" x14ac:dyDescent="0.2">
      <c r="A172" s="5"/>
      <c r="B172" s="4"/>
      <c r="C172" s="4"/>
      <c r="D172" s="10"/>
      <c r="E172" s="4"/>
      <c r="F172" s="4"/>
      <c r="G172" s="4"/>
      <c r="H172" s="4"/>
      <c r="I172" s="4"/>
      <c r="J172" s="4"/>
      <c r="K172" s="4"/>
    </row>
  </sheetData>
  <mergeCells count="7">
    <mergeCell ref="A1:A2"/>
    <mergeCell ref="E1:F1"/>
    <mergeCell ref="G1:I1"/>
    <mergeCell ref="J1:K1"/>
    <mergeCell ref="B1:B2"/>
    <mergeCell ref="C1:C2"/>
    <mergeCell ref="D1:D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F7E6-52D8-4262-BBEB-70E7CCEE6E23}">
  <dimension ref="B1:F7"/>
  <sheetViews>
    <sheetView workbookViewId="0">
      <selection activeCell="C4" sqref="C4"/>
    </sheetView>
  </sheetViews>
  <sheetFormatPr defaultRowHeight="14.25" x14ac:dyDescent="0.2"/>
  <cols>
    <col min="1" max="1" width="9" style="1"/>
    <col min="2" max="2" width="36.375" style="1" bestFit="1" customWidth="1"/>
    <col min="3" max="3" width="41.625" style="1" customWidth="1"/>
    <col min="4" max="4" width="5.875" style="1" customWidth="1"/>
    <col min="5" max="5" width="74.125" style="1" customWidth="1"/>
    <col min="6" max="6" width="18.75" style="1" customWidth="1"/>
    <col min="7" max="16384" width="9" style="1"/>
  </cols>
  <sheetData>
    <row r="1" spans="2:6" x14ac:dyDescent="0.2">
      <c r="B1" s="13" t="s">
        <v>65</v>
      </c>
      <c r="C1" s="13" t="s">
        <v>64</v>
      </c>
      <c r="E1" s="13" t="s">
        <v>66</v>
      </c>
      <c r="F1" s="13" t="s">
        <v>64</v>
      </c>
    </row>
    <row r="2" spans="2:6" x14ac:dyDescent="0.2">
      <c r="B2" s="6" t="s">
        <v>0</v>
      </c>
      <c r="C2" s="9" t="s">
        <v>3</v>
      </c>
      <c r="E2" s="9" t="str" cm="1">
        <f t="array" aca="1" ref="E2:E6" ca="1">TRANSPOSE(OFFSET(Классификатор!G3,MATCH(Модель!C4,Классификатор!D2:D1000,0),0,1,5))&amp;""</f>
        <v>Номинальная мощность (кВА / МВА)</v>
      </c>
      <c r="F2" s="6"/>
    </row>
    <row r="3" spans="2:6" x14ac:dyDescent="0.2">
      <c r="B3" s="6" t="s">
        <v>1</v>
      </c>
      <c r="C3" s="9" t="s">
        <v>4</v>
      </c>
      <c r="E3" s="9" t="str">
        <f ca="1"/>
        <v>Номинальное напряжение — первичное/вторичное (кВ)</v>
      </c>
      <c r="F3" s="6"/>
    </row>
    <row r="4" spans="2:6" x14ac:dyDescent="0.2">
      <c r="B4" s="6" t="s">
        <v>2</v>
      </c>
      <c r="C4" s="10" t="s">
        <v>7</v>
      </c>
      <c r="E4" s="9" t="str">
        <f ca="1"/>
        <v>Марка (модель) и заводской номер</v>
      </c>
      <c r="F4" s="6"/>
    </row>
    <row r="5" spans="2:6" x14ac:dyDescent="0.2">
      <c r="B5" s="14"/>
      <c r="C5" s="14"/>
      <c r="E5" s="9" t="str">
        <f ca="1"/>
        <v>Тип охлаждения (масляное, сухое, естественное/принудительное)</v>
      </c>
      <c r="F5" s="6"/>
    </row>
    <row r="6" spans="2:6" x14ac:dyDescent="0.2">
      <c r="B6" s="6" t="s">
        <v>15</v>
      </c>
      <c r="C6" s="6"/>
      <c r="E6" s="9" t="str">
        <f ca="1"/>
        <v/>
      </c>
      <c r="F6" s="6"/>
    </row>
    <row r="7" spans="2:6" x14ac:dyDescent="0.2">
      <c r="B7" s="6" t="s">
        <v>16</v>
      </c>
      <c r="C7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A45715-523B-440B-8F0A-59BDF1F060A1}">
          <x14:formula1>
            <xm:f>_xlfn.ANCHORARRAY(параметры!$A$2)</xm:f>
          </x14:formula1>
          <xm:sqref>C2</xm:sqref>
        </x14:dataValidation>
        <x14:dataValidation type="list" allowBlank="1" showInputMessage="1" showErrorMessage="1" xr:uid="{3B400E5B-B94E-4DA5-9DC6-68D556538E5D}">
          <x14:formula1>
            <xm:f>OFFSET(параметры!C2,MATCH(C2,параметры!C2:C1000,0)-1,1,COUNTIF(параметры!C2:C1000,C2),1)</xm:f>
          </x14:formula1>
          <xm:sqref>C3</xm:sqref>
        </x14:dataValidation>
        <x14:dataValidation type="list" allowBlank="1" showInputMessage="1" showErrorMessage="1" xr:uid="{63E74670-C5D7-4437-A003-5FBEAEF77760}">
          <x14:formula1>
            <xm:f>OFFSET(Классификатор!C2,MATCH(C3,Классификатор!C2:C1000,0)-1,1,COUNTIF(Классификатор!C2:C1000,C3),1)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7A1D-55E2-4E38-9B0A-883EE9575595}">
  <dimension ref="A1:D32"/>
  <sheetViews>
    <sheetView workbookViewId="0">
      <selection activeCell="C2" sqref="C2"/>
    </sheetView>
  </sheetViews>
  <sheetFormatPr defaultRowHeight="14.25" x14ac:dyDescent="0.2"/>
  <cols>
    <col min="3" max="3" width="50.125" customWidth="1"/>
  </cols>
  <sheetData>
    <row r="1" spans="1:4" x14ac:dyDescent="0.2">
      <c r="A1" t="s">
        <v>67</v>
      </c>
      <c r="C1" t="s">
        <v>67</v>
      </c>
      <c r="D1" t="s">
        <v>68</v>
      </c>
    </row>
    <row r="2" spans="1:4" x14ac:dyDescent="0.2">
      <c r="A2" t="str" cm="1">
        <f t="array" ref="A2:A10">_xlfn.UNIQUE(_xlfn._xlws.FILTER(Классификатор!B2:B1000,Классификатор!B2:B1000&lt;&gt;""))</f>
        <v>Энергетическое оборудование</v>
      </c>
      <c r="C2" t="str" cm="1">
        <f t="array" ref="C2:D32">_xlfn.UNIQUE(_xlfn._xlws.FILTER(Классификатор!B2:C1000, (Классификатор!B2:B1000&lt;&gt;"") * (Классификатор!C2:C1000&lt;&gt;"")))</f>
        <v>Энергетическое оборудование</v>
      </c>
      <c r="D2" t="str">
        <v>Трансформаторы</v>
      </c>
    </row>
    <row r="3" spans="1:4" x14ac:dyDescent="0.2">
      <c r="A3" t="str">
        <v>Подъёмно-транспортное оборудование</v>
      </c>
      <c r="C3" t="str">
        <v>Энергетическое оборудование</v>
      </c>
      <c r="D3" t="str">
        <v>Генераторы</v>
      </c>
    </row>
    <row r="4" spans="1:4" x14ac:dyDescent="0.2">
      <c r="A4" t="str">
        <v>Строительное и специальное оборудование</v>
      </c>
      <c r="C4" t="str">
        <v>Энергетическое оборудование</v>
      </c>
      <c r="D4" t="str">
        <v>Распределительные устройства</v>
      </c>
    </row>
    <row r="5" spans="1:4" x14ac:dyDescent="0.2">
      <c r="A5" t="str">
        <v>Медицинское оборудование</v>
      </c>
      <c r="C5" t="str">
        <v>Энергетическое оборудование</v>
      </c>
      <c r="D5" t="str">
        <v>Котельное оборудование</v>
      </c>
    </row>
    <row r="6" spans="1:4" x14ac:dyDescent="0.2">
      <c r="A6" t="str">
        <v>Лабораторное и измерительное оборудование</v>
      </c>
      <c r="C6" t="str">
        <v>Энергетическое оборудование</v>
      </c>
      <c r="D6" t="str">
        <v>Электрощитовое оборудование</v>
      </c>
    </row>
    <row r="7" spans="1:4" x14ac:dyDescent="0.2">
      <c r="A7" t="str">
        <v>Офисное оборудование и мебель</v>
      </c>
      <c r="C7" t="str">
        <v>Подъёмно-транспортное оборудование</v>
      </c>
      <c r="D7" t="str">
        <v>Краны</v>
      </c>
    </row>
    <row r="8" spans="1:4" x14ac:dyDescent="0.2">
      <c r="A8" t="str">
        <v>Торговое оборудование</v>
      </c>
      <c r="C8" t="str">
        <v>Подъёмно-транспортное оборудование</v>
      </c>
      <c r="D8" t="str">
        <v>Конвейеры, транспортёры</v>
      </c>
    </row>
    <row r="9" spans="1:4" x14ac:dyDescent="0.2">
      <c r="A9" t="str">
        <v>Нематериальные компоненты движимого имущества</v>
      </c>
      <c r="C9" t="str">
        <v>Подъёмно-транспортное оборудование</v>
      </c>
      <c r="D9" t="str">
        <v>Тельферы, тали, лебёдки</v>
      </c>
    </row>
    <row r="10" spans="1:4" x14ac:dyDescent="0.2">
      <c r="A10" t="str">
        <v>Спецтехника</v>
      </c>
      <c r="C10" t="str">
        <v>Строительное и специальное оборудование</v>
      </c>
      <c r="D10" t="str">
        <v>Бетоносмесительное и растворосмесительное оборудование</v>
      </c>
    </row>
    <row r="11" spans="1:4" x14ac:dyDescent="0.2">
      <c r="C11" t="str">
        <v>Строительное и специальное оборудование</v>
      </c>
      <c r="D11" t="str">
        <v>Вибрационное оборудование</v>
      </c>
    </row>
    <row r="12" spans="1:4" x14ac:dyDescent="0.2">
      <c r="C12" t="str">
        <v>Строительное и специальное оборудование</v>
      </c>
      <c r="D12" t="str">
        <v>Инструмент (электро-, пневмо-, ручной)</v>
      </c>
    </row>
    <row r="13" spans="1:4" x14ac:dyDescent="0.2">
      <c r="C13" t="str">
        <v>Медицинское оборудование</v>
      </c>
      <c r="D13" t="str">
        <v>Диагностическое оборудование</v>
      </c>
    </row>
    <row r="14" spans="1:4" x14ac:dyDescent="0.2">
      <c r="C14" t="str">
        <v>Медицинское оборудование</v>
      </c>
      <c r="D14" t="str">
        <v>Лечебное (терапевтическое) оборудование</v>
      </c>
    </row>
    <row r="15" spans="1:4" x14ac:dyDescent="0.2">
      <c r="C15" t="str">
        <v>Медицинское оборудование</v>
      </c>
      <c r="D15" t="str">
        <v>Стоматологическое оборудование</v>
      </c>
    </row>
    <row r="16" spans="1:4" x14ac:dyDescent="0.2">
      <c r="C16" t="str">
        <v>Медицинское оборудование</v>
      </c>
      <c r="D16" t="str">
        <v>Медицинская мебель и оснащение кабинетов</v>
      </c>
    </row>
    <row r="17" spans="3:4" x14ac:dyDescent="0.2">
      <c r="C17" t="str">
        <v>Лабораторное и измерительное оборудование</v>
      </c>
      <c r="D17" t="str">
        <v>Лабораторные приборы и установки</v>
      </c>
    </row>
    <row r="18" spans="3:4" x14ac:dyDescent="0.2">
      <c r="C18" t="str">
        <v>Лабораторное и измерительное оборудование</v>
      </c>
      <c r="D18" t="str">
        <v>Контрольно-измерительные приборы (КИП)</v>
      </c>
    </row>
    <row r="19" spans="3:4" x14ac:dyDescent="0.2">
      <c r="C19" t="str">
        <v>Офисное оборудование и мебель</v>
      </c>
      <c r="D19" t="str">
        <v>Компьютерная и оргтехника</v>
      </c>
    </row>
    <row r="20" spans="3:4" x14ac:dyDescent="0.2">
      <c r="C20" t="str">
        <v>Офисное оборудование и мебель</v>
      </c>
      <c r="D20" t="str">
        <v>Системы связи и видеонаблюдения</v>
      </c>
    </row>
    <row r="21" spans="3:4" x14ac:dyDescent="0.2">
      <c r="C21" t="str">
        <v>Офисное оборудование и мебель</v>
      </c>
      <c r="D21" t="str">
        <v>Офисная мебель</v>
      </c>
    </row>
    <row r="22" spans="3:4" x14ac:dyDescent="0.2">
      <c r="C22" t="str">
        <v>Торговое оборудование</v>
      </c>
      <c r="D22" t="str">
        <v>Холодильное и морозильное оборудование</v>
      </c>
    </row>
    <row r="23" spans="3:4" x14ac:dyDescent="0.2">
      <c r="C23" t="str">
        <v>Торговое оборудование</v>
      </c>
      <c r="D23" t="str">
        <v>Стеллажи и складское оборудование</v>
      </c>
    </row>
    <row r="24" spans="3:4" x14ac:dyDescent="0.2">
      <c r="C24" t="str">
        <v>Торговое оборудование</v>
      </c>
      <c r="D24" t="str">
        <v>Кассовое оборудование и весы</v>
      </c>
    </row>
    <row r="25" spans="3:4" x14ac:dyDescent="0.2">
      <c r="C25" t="str">
        <v>Нематериальные компоненты движимого имущества</v>
      </c>
      <c r="D25" t="str">
        <v>Встроенное и системное программное обеспечение</v>
      </c>
    </row>
    <row r="26" spans="3:4" x14ac:dyDescent="0.2">
      <c r="C26" t="str">
        <v>Нематериальные компоненты движимого имущества</v>
      </c>
      <c r="D26" t="str">
        <v>Прикладное программное обеспечение и цифровые лицензии</v>
      </c>
    </row>
    <row r="27" spans="3:4" x14ac:dyDescent="0.2">
      <c r="C27" t="str">
        <v>Нематериальные компоненты движимого имущества</v>
      </c>
      <c r="D27" t="str">
        <v>Технологические базы данных и конфигурации</v>
      </c>
    </row>
    <row r="28" spans="3:4" x14ac:dyDescent="0.2">
      <c r="C28" t="str">
        <v>Спецтехника</v>
      </c>
      <c r="D28" t="str">
        <v>Строительная спецтехника</v>
      </c>
    </row>
    <row r="29" spans="3:4" x14ac:dyDescent="0.2">
      <c r="C29" t="str">
        <v>Спецтехника</v>
      </c>
      <c r="D29" t="str">
        <v>Коммунальная спецтехника</v>
      </c>
    </row>
    <row r="30" spans="3:4" x14ac:dyDescent="0.2">
      <c r="C30" t="str">
        <v>Спецтехника</v>
      </c>
      <c r="D30" t="str">
        <v>Сельскохозяйственная спецтехника</v>
      </c>
    </row>
    <row r="31" spans="3:4" x14ac:dyDescent="0.2">
      <c r="C31" t="str">
        <v>Спецтехника</v>
      </c>
      <c r="D31" t="str">
        <v>Погрузочно-разгрузочная спецтехника</v>
      </c>
    </row>
    <row r="32" spans="3:4" x14ac:dyDescent="0.2">
      <c r="C32" t="str">
        <v>Спецтехника</v>
      </c>
      <c r="D32" t="str">
        <v>Грузоподъёмная самоходная спецтехника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Схема движки</vt:lpstr>
      <vt:lpstr>Классификатор</vt:lpstr>
      <vt:lpstr>Модель</vt:lpstr>
      <vt:lpstr>параметры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Шулин Никита</cp:lastModifiedBy>
  <dcterms:created xsi:type="dcterms:W3CDTF">2015-06-05T18:19:34Z</dcterms:created>
  <dcterms:modified xsi:type="dcterms:W3CDTF">2026-09-22T04:11:53Z</dcterms:modified>
</cp:coreProperties>
</file>